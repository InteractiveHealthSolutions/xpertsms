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20" windowWidth="11355" windowHeight="6150" tabRatio="596" activeTab="3"/>
  </bookViews>
  <sheets>
    <sheet name="TB07-PROVINCIAL." sheetId="16" r:id="rId1"/>
    <sheet name="TB07-OJHA" sheetId="14" r:id="rId2"/>
    <sheet name="TB07-NGO" sheetId="15" r:id="rId3"/>
    <sheet name="TB07-CDGK" sheetId="3" r:id="rId4"/>
  </sheets>
  <externalReferences>
    <externalReference r:id="rId5"/>
  </externalReferences>
  <definedNames>
    <definedName name="_xlnm.Print_Area" localSheetId="3">'TB07-CDGK'!$A$1:$CB$143</definedName>
  </definedNames>
  <calcPr calcId="124519"/>
</workbook>
</file>

<file path=xl/calcChain.xml><?xml version="1.0" encoding="utf-8"?>
<calcChain xmlns="http://schemas.openxmlformats.org/spreadsheetml/2006/main">
  <c r="E20" i="15"/>
  <c r="I20"/>
  <c r="X20"/>
  <c r="N20"/>
  <c r="Q20"/>
  <c r="Z20"/>
  <c r="AI20"/>
  <c r="AR20"/>
  <c r="AS20"/>
  <c r="AT20"/>
  <c r="AU20"/>
  <c r="AX20"/>
  <c r="BA20"/>
  <c r="BC20"/>
  <c r="BY20"/>
  <c r="BZ20"/>
  <c r="CA20"/>
  <c r="E59"/>
  <c r="I59"/>
  <c r="Y59"/>
  <c r="N59"/>
  <c r="Q59"/>
  <c r="T59"/>
  <c r="K59"/>
  <c r="AI59"/>
  <c r="AR59"/>
  <c r="AS59"/>
  <c r="AT59"/>
  <c r="AU59"/>
  <c r="AX59"/>
  <c r="BA59"/>
  <c r="BC59"/>
  <c r="BY59"/>
  <c r="BZ59"/>
  <c r="CA59"/>
  <c r="BL113" i="3"/>
  <c r="BM113"/>
  <c r="BN113"/>
  <c r="BO113"/>
  <c r="BP113"/>
  <c r="BQ113"/>
  <c r="BR113"/>
  <c r="BS113"/>
  <c r="BT113"/>
  <c r="BU113"/>
  <c r="BV113"/>
  <c r="BW113"/>
  <c r="BX113"/>
  <c r="BY113"/>
  <c r="AN113"/>
  <c r="AO113"/>
  <c r="AE113"/>
  <c r="AF113"/>
  <c r="H113"/>
  <c r="I113"/>
  <c r="K113"/>
  <c r="L113"/>
  <c r="N113"/>
  <c r="O113"/>
  <c r="Q113"/>
  <c r="R113"/>
  <c r="A64"/>
  <c r="A65"/>
  <c r="A66"/>
  <c r="A67"/>
  <c r="E6"/>
  <c r="E8"/>
  <c r="E65"/>
  <c r="E10"/>
  <c r="E11"/>
  <c r="E68"/>
  <c r="E12"/>
  <c r="E14"/>
  <c r="E71"/>
  <c r="E15"/>
  <c r="E16"/>
  <c r="E73"/>
  <c r="E17"/>
  <c r="E20"/>
  <c r="E77"/>
  <c r="E78"/>
  <c r="E22"/>
  <c r="E79"/>
  <c r="E23"/>
  <c r="E80"/>
  <c r="E24"/>
  <c r="E81"/>
  <c r="BZ35"/>
  <c r="BZ36"/>
  <c r="BZ37"/>
  <c r="BZ38"/>
  <c r="BZ39"/>
  <c r="BZ40"/>
  <c r="BZ41"/>
  <c r="BZ42"/>
  <c r="BZ43"/>
  <c r="BZ44"/>
  <c r="BZ45"/>
  <c r="BZ46"/>
  <c r="BZ47"/>
  <c r="BZ48"/>
  <c r="BZ49"/>
  <c r="BZ50"/>
  <c r="BZ51"/>
  <c r="BZ52"/>
  <c r="BZ53"/>
  <c r="BZ54"/>
  <c r="BZ55"/>
  <c r="BZ56"/>
  <c r="CA35"/>
  <c r="CA36"/>
  <c r="CA37"/>
  <c r="CA38"/>
  <c r="CA39"/>
  <c r="CA40"/>
  <c r="CA41"/>
  <c r="CA42"/>
  <c r="CA43"/>
  <c r="CA44"/>
  <c r="CA45"/>
  <c r="CA46"/>
  <c r="CA47"/>
  <c r="CA48"/>
  <c r="CA49"/>
  <c r="CA50"/>
  <c r="CA51"/>
  <c r="CA52"/>
  <c r="CA53"/>
  <c r="CA54"/>
  <c r="CA55"/>
  <c r="CA56"/>
  <c r="CB35"/>
  <c r="CB36"/>
  <c r="CB37"/>
  <c r="CB38"/>
  <c r="CB39"/>
  <c r="CB40"/>
  <c r="CB41"/>
  <c r="CB42"/>
  <c r="CB43"/>
  <c r="CB44"/>
  <c r="CB45"/>
  <c r="CB46"/>
  <c r="CB47"/>
  <c r="CB48"/>
  <c r="CB49"/>
  <c r="CB50"/>
  <c r="CB51"/>
  <c r="CB52"/>
  <c r="CB53"/>
  <c r="CB54"/>
  <c r="CB55"/>
  <c r="CB56"/>
  <c r="AN56"/>
  <c r="AO56"/>
  <c r="AE56"/>
  <c r="AF56"/>
  <c r="H56"/>
  <c r="I56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K56"/>
  <c r="L56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N56"/>
  <c r="O56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Q56"/>
  <c r="R56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E9"/>
  <c r="E13"/>
  <c r="E18"/>
  <c r="E19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113"/>
  <c r="C25"/>
  <c r="C110"/>
  <c r="C24"/>
  <c r="C109"/>
  <c r="C23"/>
  <c r="C22"/>
  <c r="C21"/>
  <c r="C20"/>
  <c r="C105"/>
  <c r="C19"/>
  <c r="C76"/>
  <c r="C18"/>
  <c r="C104"/>
  <c r="C17"/>
  <c r="C16"/>
  <c r="C15"/>
  <c r="C101"/>
  <c r="C14"/>
  <c r="C100"/>
  <c r="C13"/>
  <c r="C12"/>
  <c r="C11"/>
  <c r="C10"/>
  <c r="C9"/>
  <c r="C8"/>
  <c r="C7"/>
  <c r="C94"/>
  <c r="C6"/>
  <c r="C93"/>
  <c r="AG112"/>
  <c r="AV112"/>
  <c r="AG111"/>
  <c r="AV111"/>
  <c r="AG110"/>
  <c r="AV110"/>
  <c r="AG109"/>
  <c r="AV109"/>
  <c r="AG108"/>
  <c r="AV108"/>
  <c r="AG107"/>
  <c r="AV107"/>
  <c r="AG106"/>
  <c r="AV106"/>
  <c r="AG105"/>
  <c r="AV105"/>
  <c r="AG104"/>
  <c r="AV104"/>
  <c r="AG103"/>
  <c r="AV103"/>
  <c r="AG102"/>
  <c r="AV102"/>
  <c r="AG101"/>
  <c r="AV101"/>
  <c r="AG100"/>
  <c r="AV100"/>
  <c r="AG99"/>
  <c r="AV99"/>
  <c r="AG98"/>
  <c r="AV98"/>
  <c r="AG97"/>
  <c r="AV97"/>
  <c r="AG96"/>
  <c r="AV96"/>
  <c r="AG95"/>
  <c r="AV95"/>
  <c r="AG94"/>
  <c r="AV94"/>
  <c r="AG93"/>
  <c r="AV93"/>
  <c r="B6"/>
  <c r="B93"/>
  <c r="B7"/>
  <c r="B8"/>
  <c r="B9"/>
  <c r="B96"/>
  <c r="B97"/>
  <c r="B11"/>
  <c r="B12"/>
  <c r="B13"/>
  <c r="B99"/>
  <c r="B14"/>
  <c r="B15"/>
  <c r="B101"/>
  <c r="B16"/>
  <c r="B17"/>
  <c r="B103"/>
  <c r="B18"/>
  <c r="B19"/>
  <c r="B20"/>
  <c r="B105"/>
  <c r="B21"/>
  <c r="B106"/>
  <c r="B22"/>
  <c r="B107"/>
  <c r="B23"/>
  <c r="B108"/>
  <c r="B24"/>
  <c r="B110"/>
  <c r="C64"/>
  <c r="C66"/>
  <c r="B67"/>
  <c r="C68"/>
  <c r="C69"/>
  <c r="C71"/>
  <c r="B72"/>
  <c r="C72"/>
  <c r="C73"/>
  <c r="B74"/>
  <c r="C75"/>
  <c r="B76"/>
  <c r="B77"/>
  <c r="C77"/>
  <c r="B78"/>
  <c r="C78"/>
  <c r="B79"/>
  <c r="B80"/>
  <c r="B81"/>
  <c r="C81"/>
  <c r="B82"/>
  <c r="C82"/>
  <c r="J112"/>
  <c r="J111"/>
  <c r="J110"/>
  <c r="I124" i="15"/>
  <c r="I125"/>
  <c r="I126"/>
  <c r="I127"/>
  <c r="I128"/>
  <c r="I129"/>
  <c r="I130"/>
  <c r="I131"/>
  <c r="G132"/>
  <c r="H132"/>
  <c r="I132"/>
  <c r="I133"/>
  <c r="I134"/>
  <c r="I135"/>
  <c r="G136"/>
  <c r="H136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G156"/>
  <c r="H156"/>
  <c r="I156"/>
  <c r="G157"/>
  <c r="H157"/>
  <c r="I157"/>
  <c r="H62" i="16"/>
  <c r="AQ62"/>
  <c r="AQ156" i="15"/>
  <c r="AQ157"/>
  <c r="AQ136"/>
  <c r="AQ132"/>
  <c r="M156"/>
  <c r="M136"/>
  <c r="M132"/>
  <c r="M157"/>
  <c r="P156"/>
  <c r="P157"/>
  <c r="P136"/>
  <c r="P132"/>
  <c r="S156"/>
  <c r="S136"/>
  <c r="S132"/>
  <c r="S157"/>
  <c r="AH156"/>
  <c r="AH157"/>
  <c r="AH136"/>
  <c r="AH132"/>
  <c r="L156"/>
  <c r="L157"/>
  <c r="L136"/>
  <c r="L132"/>
  <c r="O156"/>
  <c r="O136"/>
  <c r="O132"/>
  <c r="O157"/>
  <c r="R156"/>
  <c r="R157"/>
  <c r="R136"/>
  <c r="R132"/>
  <c r="AG156"/>
  <c r="AG136"/>
  <c r="AG132"/>
  <c r="AG157"/>
  <c r="AP156"/>
  <c r="AP157"/>
  <c r="AP136"/>
  <c r="AP132"/>
  <c r="AP62" i="16"/>
  <c r="BK156" i="15"/>
  <c r="BK157"/>
  <c r="BK136"/>
  <c r="BK132"/>
  <c r="BL156"/>
  <c r="BL136"/>
  <c r="BL132"/>
  <c r="BL157"/>
  <c r="BM156"/>
  <c r="BM157"/>
  <c r="BM136"/>
  <c r="BM132"/>
  <c r="BN156"/>
  <c r="BN136"/>
  <c r="BN132"/>
  <c r="BN157"/>
  <c r="BO156"/>
  <c r="BO157"/>
  <c r="BO136"/>
  <c r="BO132"/>
  <c r="BP156"/>
  <c r="BP136"/>
  <c r="BP132"/>
  <c r="BP157"/>
  <c r="BQ156"/>
  <c r="BQ157"/>
  <c r="BQ136"/>
  <c r="BQ132"/>
  <c r="BR156"/>
  <c r="BR136"/>
  <c r="BR132"/>
  <c r="BR157"/>
  <c r="BS156"/>
  <c r="BS157"/>
  <c r="BS136"/>
  <c r="BS132"/>
  <c r="BT156"/>
  <c r="BT136"/>
  <c r="BT132"/>
  <c r="BT157"/>
  <c r="BU156"/>
  <c r="BU157"/>
  <c r="BU136"/>
  <c r="BU132"/>
  <c r="BV156"/>
  <c r="BV136"/>
  <c r="BV132"/>
  <c r="BV157"/>
  <c r="BW156"/>
  <c r="BW157"/>
  <c r="BW136"/>
  <c r="BW132"/>
  <c r="BX156"/>
  <c r="BX136"/>
  <c r="BX132"/>
  <c r="BX157"/>
  <c r="BY154"/>
  <c r="BY153"/>
  <c r="BY151"/>
  <c r="BY150"/>
  <c r="BY149"/>
  <c r="BY148"/>
  <c r="BY147"/>
  <c r="BY146"/>
  <c r="BY145"/>
  <c r="BY144"/>
  <c r="BY143"/>
  <c r="BY142"/>
  <c r="BY141"/>
  <c r="BY140"/>
  <c r="BY139"/>
  <c r="BY138"/>
  <c r="BY137"/>
  <c r="BY155"/>
  <c r="BY156"/>
  <c r="BY133"/>
  <c r="BY134"/>
  <c r="BY135"/>
  <c r="BY136"/>
  <c r="BY124"/>
  <c r="BY125"/>
  <c r="BY132"/>
  <c r="BY157"/>
  <c r="BY126"/>
  <c r="BY127"/>
  <c r="BY128"/>
  <c r="BY129"/>
  <c r="BY130"/>
  <c r="BY131"/>
  <c r="BZ154"/>
  <c r="BZ153"/>
  <c r="BZ151"/>
  <c r="BZ150"/>
  <c r="BZ149"/>
  <c r="BZ148"/>
  <c r="BZ147"/>
  <c r="BZ146"/>
  <c r="BZ145"/>
  <c r="BZ144"/>
  <c r="BZ143"/>
  <c r="BZ142"/>
  <c r="BZ141"/>
  <c r="BZ140"/>
  <c r="BZ139"/>
  <c r="BZ138"/>
  <c r="BZ137"/>
  <c r="BZ155"/>
  <c r="BZ156"/>
  <c r="BZ133"/>
  <c r="BZ134"/>
  <c r="BZ135"/>
  <c r="BZ136"/>
  <c r="BZ124"/>
  <c r="BZ125"/>
  <c r="BZ132"/>
  <c r="BZ157"/>
  <c r="BZ126"/>
  <c r="BZ127"/>
  <c r="BZ128"/>
  <c r="BZ129"/>
  <c r="BZ130"/>
  <c r="BZ131"/>
  <c r="CA154"/>
  <c r="CA153"/>
  <c r="CA151"/>
  <c r="CA150"/>
  <c r="CA149"/>
  <c r="CA148"/>
  <c r="CA147"/>
  <c r="CA146"/>
  <c r="CA145"/>
  <c r="CA144"/>
  <c r="CA143"/>
  <c r="CA142"/>
  <c r="CA141"/>
  <c r="CA140"/>
  <c r="CA139"/>
  <c r="CA138"/>
  <c r="CA137"/>
  <c r="CA155"/>
  <c r="CA156"/>
  <c r="CA133"/>
  <c r="CA134"/>
  <c r="CA135"/>
  <c r="CA136"/>
  <c r="CA124"/>
  <c r="CA125"/>
  <c r="CA132"/>
  <c r="CA157"/>
  <c r="CA126"/>
  <c r="CA127"/>
  <c r="CA128"/>
  <c r="CA129"/>
  <c r="CA130"/>
  <c r="CA131"/>
  <c r="AT61" i="16"/>
  <c r="AS61"/>
  <c r="AT59"/>
  <c r="AS59"/>
  <c r="AT58"/>
  <c r="AS58"/>
  <c r="AT57"/>
  <c r="AS57"/>
  <c r="AT56"/>
  <c r="AS56"/>
  <c r="AT55"/>
  <c r="AS55"/>
  <c r="AT54"/>
  <c r="AS54"/>
  <c r="AR62"/>
  <c r="N154" i="15"/>
  <c r="N153"/>
  <c r="N151"/>
  <c r="N150"/>
  <c r="N149"/>
  <c r="N148"/>
  <c r="N147"/>
  <c r="N146"/>
  <c r="N145"/>
  <c r="N144"/>
  <c r="N143"/>
  <c r="N142"/>
  <c r="N141"/>
  <c r="N140"/>
  <c r="N139"/>
  <c r="N138"/>
  <c r="N137"/>
  <c r="N155"/>
  <c r="N156"/>
  <c r="N133"/>
  <c r="N134"/>
  <c r="N135"/>
  <c r="N136"/>
  <c r="N124"/>
  <c r="N125"/>
  <c r="N132"/>
  <c r="N126"/>
  <c r="N127"/>
  <c r="N128"/>
  <c r="N129"/>
  <c r="N130"/>
  <c r="N131"/>
  <c r="Q153"/>
  <c r="Q151"/>
  <c r="Q150"/>
  <c r="Q149"/>
  <c r="Q148"/>
  <c r="Q147"/>
  <c r="Q146"/>
  <c r="Q145"/>
  <c r="Q144"/>
  <c r="Q143"/>
  <c r="Q142"/>
  <c r="Q141"/>
  <c r="Q140"/>
  <c r="Q139"/>
  <c r="Q138"/>
  <c r="Q137"/>
  <c r="Q154"/>
  <c r="Q155"/>
  <c r="Q156"/>
  <c r="Q133"/>
  <c r="Q134"/>
  <c r="Q135"/>
  <c r="Q136"/>
  <c r="Q124"/>
  <c r="Q125"/>
  <c r="Q132"/>
  <c r="Q126"/>
  <c r="Q127"/>
  <c r="Q128"/>
  <c r="Q129"/>
  <c r="Q130"/>
  <c r="Q131"/>
  <c r="T153"/>
  <c r="T156"/>
  <c r="T151"/>
  <c r="T150"/>
  <c r="T149"/>
  <c r="T148"/>
  <c r="T147"/>
  <c r="T146"/>
  <c r="T145"/>
  <c r="T144"/>
  <c r="T143"/>
  <c r="T142"/>
  <c r="T141"/>
  <c r="T140"/>
  <c r="T139"/>
  <c r="T138"/>
  <c r="T137"/>
  <c r="T155"/>
  <c r="T133"/>
  <c r="T136"/>
  <c r="T134"/>
  <c r="T135"/>
  <c r="T124"/>
  <c r="T125"/>
  <c r="T126"/>
  <c r="T127"/>
  <c r="T128"/>
  <c r="T129"/>
  <c r="T130"/>
  <c r="T131"/>
  <c r="T132"/>
  <c r="AS141"/>
  <c r="AT141"/>
  <c r="AU141"/>
  <c r="AS142"/>
  <c r="AT142"/>
  <c r="AU142"/>
  <c r="AS144"/>
  <c r="AT144"/>
  <c r="AU144"/>
  <c r="AT145"/>
  <c r="AS145"/>
  <c r="AU145"/>
  <c r="AS146"/>
  <c r="AT146"/>
  <c r="AU146"/>
  <c r="AS150"/>
  <c r="AT150"/>
  <c r="AU150"/>
  <c r="AS139"/>
  <c r="AT139"/>
  <c r="AU139"/>
  <c r="AS155"/>
  <c r="AT155"/>
  <c r="AU155"/>
  <c r="AS154"/>
  <c r="AT154"/>
  <c r="AU154"/>
  <c r="AS153"/>
  <c r="AS156"/>
  <c r="AT153"/>
  <c r="AU153"/>
  <c r="AS151"/>
  <c r="AT151"/>
  <c r="AU151"/>
  <c r="AS149"/>
  <c r="AT149"/>
  <c r="AU149"/>
  <c r="AS148"/>
  <c r="AT148"/>
  <c r="AU148"/>
  <c r="AS147"/>
  <c r="AT147"/>
  <c r="AU147"/>
  <c r="AS143"/>
  <c r="AT143"/>
  <c r="AU143"/>
  <c r="AS140"/>
  <c r="AT140"/>
  <c r="AU140"/>
  <c r="AS138"/>
  <c r="AT138"/>
  <c r="AU138"/>
  <c r="AS137"/>
  <c r="AT137"/>
  <c r="AU137"/>
  <c r="AT156"/>
  <c r="AR141"/>
  <c r="AR142"/>
  <c r="AR150"/>
  <c r="AR154"/>
  <c r="AR153"/>
  <c r="AR151"/>
  <c r="AR149"/>
  <c r="AR148"/>
  <c r="AR147"/>
  <c r="AR146"/>
  <c r="AR145"/>
  <c r="AR144"/>
  <c r="AR143"/>
  <c r="AR140"/>
  <c r="AR139"/>
  <c r="AR138"/>
  <c r="AR137"/>
  <c r="AR155"/>
  <c r="AR156"/>
  <c r="AO156"/>
  <c r="AN156"/>
  <c r="AM156"/>
  <c r="AL156"/>
  <c r="AK156"/>
  <c r="AJ156"/>
  <c r="AI141"/>
  <c r="AI142"/>
  <c r="AI144"/>
  <c r="AI145"/>
  <c r="AI146"/>
  <c r="AI150"/>
  <c r="AI139"/>
  <c r="AI155"/>
  <c r="AX155"/>
  <c r="AI154"/>
  <c r="AI153"/>
  <c r="AI156"/>
  <c r="AI151"/>
  <c r="AI149"/>
  <c r="AI148"/>
  <c r="AI147"/>
  <c r="AI143"/>
  <c r="AI140"/>
  <c r="AI138"/>
  <c r="AI137"/>
  <c r="AF156"/>
  <c r="AE156"/>
  <c r="AD156"/>
  <c r="AC156"/>
  <c r="AB156"/>
  <c r="AA156"/>
  <c r="W156"/>
  <c r="V156"/>
  <c r="U156"/>
  <c r="BD155"/>
  <c r="BC155"/>
  <c r="BB155"/>
  <c r="BA155"/>
  <c r="Z155"/>
  <c r="K155"/>
  <c r="BC154"/>
  <c r="AX154"/>
  <c r="Z154"/>
  <c r="AS152"/>
  <c r="AT152"/>
  <c r="AU152"/>
  <c r="AS135"/>
  <c r="AT135"/>
  <c r="AU135"/>
  <c r="AS134"/>
  <c r="AT134"/>
  <c r="AU134"/>
  <c r="AS133"/>
  <c r="AT133"/>
  <c r="AU133"/>
  <c r="U132"/>
  <c r="AS132"/>
  <c r="V132"/>
  <c r="AT132"/>
  <c r="AS131"/>
  <c r="AT131"/>
  <c r="AU131"/>
  <c r="AS130"/>
  <c r="AT130"/>
  <c r="AU130"/>
  <c r="AS129"/>
  <c r="AT129"/>
  <c r="AU129"/>
  <c r="AT128"/>
  <c r="AS128"/>
  <c r="AU128"/>
  <c r="AS127"/>
  <c r="AT127"/>
  <c r="AU127"/>
  <c r="AS126"/>
  <c r="AT126"/>
  <c r="AU126"/>
  <c r="AS125"/>
  <c r="AT125"/>
  <c r="AU125"/>
  <c r="AR135"/>
  <c r="AR134"/>
  <c r="AR133"/>
  <c r="AR132"/>
  <c r="AR131"/>
  <c r="AR130"/>
  <c r="AR129"/>
  <c r="AR128"/>
  <c r="AR127"/>
  <c r="AR126"/>
  <c r="AR125"/>
  <c r="AR124"/>
  <c r="AR152"/>
  <c r="CA112" i="3"/>
  <c r="BZ112"/>
  <c r="CB112"/>
  <c r="AQ112"/>
  <c r="AR112"/>
  <c r="AU112"/>
  <c r="BB112"/>
  <c r="BA112"/>
  <c r="AY112"/>
  <c r="AP112"/>
  <c r="X112"/>
  <c r="BC46" i="14"/>
  <c r="BD46"/>
  <c r="Q62" i="16"/>
  <c r="R62"/>
  <c r="N62"/>
  <c r="O62"/>
  <c r="K62"/>
  <c r="L62"/>
  <c r="G62"/>
  <c r="I115" i="15"/>
  <c r="AI115"/>
  <c r="AX115"/>
  <c r="I114"/>
  <c r="I118"/>
  <c r="AI114"/>
  <c r="AX114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K114"/>
  <c r="N115"/>
  <c r="N116"/>
  <c r="N93"/>
  <c r="N94"/>
  <c r="N95"/>
  <c r="N96"/>
  <c r="N84"/>
  <c r="N85"/>
  <c r="N92"/>
  <c r="N86"/>
  <c r="N87"/>
  <c r="N88"/>
  <c r="N89"/>
  <c r="N90"/>
  <c r="N91"/>
  <c r="Q97"/>
  <c r="Q98"/>
  <c r="K98"/>
  <c r="Q99"/>
  <c r="Q100"/>
  <c r="K100"/>
  <c r="Q101"/>
  <c r="Q102"/>
  <c r="Q103"/>
  <c r="Q104"/>
  <c r="K104"/>
  <c r="Q105"/>
  <c r="Q106"/>
  <c r="K106"/>
  <c r="Q107"/>
  <c r="Q108"/>
  <c r="K108"/>
  <c r="Q109"/>
  <c r="Q110"/>
  <c r="K110"/>
  <c r="Q111"/>
  <c r="Q112"/>
  <c r="K112"/>
  <c r="Q113"/>
  <c r="Q114"/>
  <c r="Q115"/>
  <c r="Q116"/>
  <c r="Q93"/>
  <c r="Q94"/>
  <c r="Q95"/>
  <c r="Q96"/>
  <c r="Q84"/>
  <c r="Q85"/>
  <c r="Q92"/>
  <c r="Q117"/>
  <c r="Q86"/>
  <c r="Q87"/>
  <c r="K87"/>
  <c r="Q88"/>
  <c r="Q89"/>
  <c r="K89"/>
  <c r="Q90"/>
  <c r="Q91"/>
  <c r="K91"/>
  <c r="R116"/>
  <c r="S116"/>
  <c r="T116"/>
  <c r="T117"/>
  <c r="T93"/>
  <c r="T96"/>
  <c r="T94"/>
  <c r="T95"/>
  <c r="K95"/>
  <c r="T84"/>
  <c r="T85"/>
  <c r="T86"/>
  <c r="T87"/>
  <c r="T88"/>
  <c r="T89"/>
  <c r="T90"/>
  <c r="T91"/>
  <c r="T92"/>
  <c r="T115"/>
  <c r="K115"/>
  <c r="T112"/>
  <c r="T113"/>
  <c r="T114"/>
  <c r="K113"/>
  <c r="T111"/>
  <c r="K111"/>
  <c r="T110"/>
  <c r="T109"/>
  <c r="K109"/>
  <c r="T106"/>
  <c r="T107"/>
  <c r="T108"/>
  <c r="K107"/>
  <c r="T105"/>
  <c r="K105"/>
  <c r="T104"/>
  <c r="T101"/>
  <c r="K101"/>
  <c r="T102"/>
  <c r="T103"/>
  <c r="K103"/>
  <c r="K102"/>
  <c r="T98"/>
  <c r="T99"/>
  <c r="T100"/>
  <c r="K99"/>
  <c r="K94"/>
  <c r="K90"/>
  <c r="K88"/>
  <c r="K86"/>
  <c r="K84"/>
  <c r="N74"/>
  <c r="N72"/>
  <c r="N75"/>
  <c r="N71"/>
  <c r="N70"/>
  <c r="N68"/>
  <c r="N67"/>
  <c r="N66"/>
  <c r="N65"/>
  <c r="N64"/>
  <c r="N63"/>
  <c r="N62"/>
  <c r="N61"/>
  <c r="N60"/>
  <c r="N58"/>
  <c r="N54"/>
  <c r="N57"/>
  <c r="K57"/>
  <c r="N55"/>
  <c r="N56"/>
  <c r="N45"/>
  <c r="N46"/>
  <c r="N47"/>
  <c r="N48"/>
  <c r="N49"/>
  <c r="N50"/>
  <c r="N51"/>
  <c r="N52"/>
  <c r="N53"/>
  <c r="Q74"/>
  <c r="K74"/>
  <c r="Q72"/>
  <c r="Q71"/>
  <c r="K71"/>
  <c r="Q70"/>
  <c r="Q69"/>
  <c r="K69"/>
  <c r="Q68"/>
  <c r="Q67"/>
  <c r="K67"/>
  <c r="Q66"/>
  <c r="Q65"/>
  <c r="K65"/>
  <c r="Q64"/>
  <c r="Q63"/>
  <c r="K63"/>
  <c r="Q62"/>
  <c r="Q61"/>
  <c r="K61"/>
  <c r="Q58"/>
  <c r="Q75"/>
  <c r="Q54"/>
  <c r="Q55"/>
  <c r="Q56"/>
  <c r="Q57"/>
  <c r="Q45"/>
  <c r="Q46"/>
  <c r="Q53"/>
  <c r="Q47"/>
  <c r="Q48"/>
  <c r="K48"/>
  <c r="Q49"/>
  <c r="Q50"/>
  <c r="K50"/>
  <c r="Q51"/>
  <c r="Q52"/>
  <c r="K52"/>
  <c r="T74"/>
  <c r="T72"/>
  <c r="T71"/>
  <c r="T70"/>
  <c r="T69"/>
  <c r="T68"/>
  <c r="T67"/>
  <c r="T66"/>
  <c r="T65"/>
  <c r="T64"/>
  <c r="T63"/>
  <c r="T62"/>
  <c r="T61"/>
  <c r="T60"/>
  <c r="T58"/>
  <c r="T75"/>
  <c r="T54"/>
  <c r="T55"/>
  <c r="T56"/>
  <c r="T57"/>
  <c r="T45"/>
  <c r="T46"/>
  <c r="T53"/>
  <c r="T76"/>
  <c r="T47"/>
  <c r="T48"/>
  <c r="T49"/>
  <c r="T50"/>
  <c r="T51"/>
  <c r="T52"/>
  <c r="N73"/>
  <c r="K73"/>
  <c r="Q73"/>
  <c r="T73"/>
  <c r="K72"/>
  <c r="K70"/>
  <c r="K68"/>
  <c r="K66"/>
  <c r="K64"/>
  <c r="K62"/>
  <c r="K60"/>
  <c r="K58"/>
  <c r="K56"/>
  <c r="K55"/>
  <c r="K54"/>
  <c r="K51"/>
  <c r="K49"/>
  <c r="K47"/>
  <c r="K45"/>
  <c r="N19"/>
  <c r="N21"/>
  <c r="N36"/>
  <c r="N22"/>
  <c r="N23"/>
  <c r="N24"/>
  <c r="N25"/>
  <c r="N26"/>
  <c r="N27"/>
  <c r="N28"/>
  <c r="N29"/>
  <c r="N30"/>
  <c r="N31"/>
  <c r="N32"/>
  <c r="N33"/>
  <c r="N34"/>
  <c r="N35"/>
  <c r="N15"/>
  <c r="N18"/>
  <c r="K18"/>
  <c r="N16"/>
  <c r="N17"/>
  <c r="N6"/>
  <c r="N7"/>
  <c r="N8"/>
  <c r="N9"/>
  <c r="N10"/>
  <c r="N11"/>
  <c r="N12"/>
  <c r="N13"/>
  <c r="N14"/>
  <c r="Q19"/>
  <c r="Q21"/>
  <c r="Q22"/>
  <c r="Q23"/>
  <c r="Q24"/>
  <c r="Q25"/>
  <c r="Q26"/>
  <c r="Q27"/>
  <c r="Q28"/>
  <c r="Q29"/>
  <c r="Q30"/>
  <c r="Q31"/>
  <c r="Q32"/>
  <c r="K32"/>
  <c r="Q33"/>
  <c r="Q34"/>
  <c r="Q35"/>
  <c r="Q36"/>
  <c r="Q15"/>
  <c r="Q16"/>
  <c r="Q17"/>
  <c r="Q18"/>
  <c r="Q6"/>
  <c r="Q7"/>
  <c r="Q14"/>
  <c r="Q8"/>
  <c r="Q9"/>
  <c r="Q10"/>
  <c r="Q11"/>
  <c r="Q12"/>
  <c r="Q13"/>
  <c r="T15"/>
  <c r="T16"/>
  <c r="T17"/>
  <c r="T18"/>
  <c r="T6"/>
  <c r="T7"/>
  <c r="T14"/>
  <c r="T37"/>
  <c r="T8"/>
  <c r="T9"/>
  <c r="T10"/>
  <c r="T11"/>
  <c r="T12"/>
  <c r="T13"/>
  <c r="T35"/>
  <c r="K35"/>
  <c r="T34"/>
  <c r="K34"/>
  <c r="K33"/>
  <c r="T32"/>
  <c r="T31"/>
  <c r="K31"/>
  <c r="T28"/>
  <c r="K28"/>
  <c r="T29"/>
  <c r="T30"/>
  <c r="K30"/>
  <c r="K29"/>
  <c r="I27"/>
  <c r="T27"/>
  <c r="K27"/>
  <c r="T24"/>
  <c r="T25"/>
  <c r="T26"/>
  <c r="K26"/>
  <c r="K24"/>
  <c r="T21"/>
  <c r="T22"/>
  <c r="K23"/>
  <c r="K22"/>
  <c r="K21"/>
  <c r="T19"/>
  <c r="K19"/>
  <c r="K17"/>
  <c r="K16"/>
  <c r="K15"/>
  <c r="K13"/>
  <c r="K12"/>
  <c r="K11"/>
  <c r="AS58"/>
  <c r="AS60"/>
  <c r="AS61"/>
  <c r="AS62"/>
  <c r="AS63"/>
  <c r="AS64"/>
  <c r="AS65"/>
  <c r="AS66"/>
  <c r="AS67"/>
  <c r="AS68"/>
  <c r="AS69"/>
  <c r="AS70"/>
  <c r="AS71"/>
  <c r="AS72"/>
  <c r="AS73"/>
  <c r="AS74"/>
  <c r="AS75"/>
  <c r="AT58"/>
  <c r="AT60"/>
  <c r="AT61"/>
  <c r="AT62"/>
  <c r="AT75"/>
  <c r="AT63"/>
  <c r="AT64"/>
  <c r="AT65"/>
  <c r="AT66"/>
  <c r="AT67"/>
  <c r="AT68"/>
  <c r="AT69"/>
  <c r="AT70"/>
  <c r="AT71"/>
  <c r="AT72"/>
  <c r="AT73"/>
  <c r="AT74"/>
  <c r="AO57"/>
  <c r="AT57"/>
  <c r="AM57"/>
  <c r="AK57"/>
  <c r="AF57"/>
  <c r="AD57"/>
  <c r="AB57"/>
  <c r="V57"/>
  <c r="S57"/>
  <c r="P57"/>
  <c r="M57"/>
  <c r="H57"/>
  <c r="AO53"/>
  <c r="AT53"/>
  <c r="AM53"/>
  <c r="AK53"/>
  <c r="AF53"/>
  <c r="AD53"/>
  <c r="AB53"/>
  <c r="V53"/>
  <c r="S53"/>
  <c r="P53"/>
  <c r="M53"/>
  <c r="H53"/>
  <c r="AN57"/>
  <c r="AL57"/>
  <c r="AJ57"/>
  <c r="AE57"/>
  <c r="AC57"/>
  <c r="AA57"/>
  <c r="U57"/>
  <c r="R57"/>
  <c r="O57"/>
  <c r="L57"/>
  <c r="G57"/>
  <c r="AS57"/>
  <c r="AS76"/>
  <c r="AN53"/>
  <c r="AL53"/>
  <c r="AJ53"/>
  <c r="AE53"/>
  <c r="AC53"/>
  <c r="AA53"/>
  <c r="U53"/>
  <c r="R53"/>
  <c r="O53"/>
  <c r="L53"/>
  <c r="G53"/>
  <c r="AS53"/>
  <c r="H75"/>
  <c r="H76"/>
  <c r="I55"/>
  <c r="J64" i="3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AE85"/>
  <c r="AF85"/>
  <c r="AG85"/>
  <c r="AG84"/>
  <c r="AV84"/>
  <c r="AG83"/>
  <c r="AV83"/>
  <c r="AG82"/>
  <c r="AV82"/>
  <c r="AG81"/>
  <c r="AV81"/>
  <c r="AG80"/>
  <c r="AV80"/>
  <c r="AG79"/>
  <c r="AV79"/>
  <c r="AG78"/>
  <c r="AV78"/>
  <c r="AG77"/>
  <c r="AV77"/>
  <c r="AG76"/>
  <c r="AV76"/>
  <c r="AG75"/>
  <c r="AV75"/>
  <c r="AG74"/>
  <c r="AV74"/>
  <c r="AG73"/>
  <c r="AV73"/>
  <c r="AG72"/>
  <c r="AV72"/>
  <c r="AG71"/>
  <c r="AV71"/>
  <c r="AG70"/>
  <c r="AV70"/>
  <c r="AG69"/>
  <c r="AV69"/>
  <c r="AG68"/>
  <c r="AV68"/>
  <c r="AG67"/>
  <c r="AV67"/>
  <c r="AG66"/>
  <c r="AV66"/>
  <c r="AG65"/>
  <c r="AV65"/>
  <c r="AG64"/>
  <c r="AV64"/>
  <c r="M64"/>
  <c r="P64"/>
  <c r="S64"/>
  <c r="BD64"/>
  <c r="M65"/>
  <c r="P65"/>
  <c r="S65"/>
  <c r="BD65"/>
  <c r="M66"/>
  <c r="P66"/>
  <c r="S66"/>
  <c r="BD66"/>
  <c r="M67"/>
  <c r="P67"/>
  <c r="S67"/>
  <c r="BD67"/>
  <c r="M68"/>
  <c r="P68"/>
  <c r="S68"/>
  <c r="BD68"/>
  <c r="M69"/>
  <c r="P69"/>
  <c r="S69"/>
  <c r="BD69"/>
  <c r="M70"/>
  <c r="P70"/>
  <c r="S70"/>
  <c r="BD70"/>
  <c r="M71"/>
  <c r="P71"/>
  <c r="S71"/>
  <c r="BD71"/>
  <c r="M72"/>
  <c r="P72"/>
  <c r="S72"/>
  <c r="BD72"/>
  <c r="M73"/>
  <c r="P73"/>
  <c r="S73"/>
  <c r="BD73"/>
  <c r="M74"/>
  <c r="P74"/>
  <c r="S74"/>
  <c r="BD74"/>
  <c r="M75"/>
  <c r="P75"/>
  <c r="S75"/>
  <c r="BD75"/>
  <c r="M76"/>
  <c r="P76"/>
  <c r="S76"/>
  <c r="BD76"/>
  <c r="M77"/>
  <c r="P77"/>
  <c r="S77"/>
  <c r="BD77"/>
  <c r="M78"/>
  <c r="P78"/>
  <c r="S78"/>
  <c r="BD78"/>
  <c r="M79"/>
  <c r="P79"/>
  <c r="S79"/>
  <c r="BD79"/>
  <c r="M80"/>
  <c r="P80"/>
  <c r="S80"/>
  <c r="BD80"/>
  <c r="M81"/>
  <c r="P81"/>
  <c r="BD81"/>
  <c r="M82"/>
  <c r="BD82"/>
  <c r="P82"/>
  <c r="S82"/>
  <c r="M83"/>
  <c r="BD83"/>
  <c r="P83"/>
  <c r="S83"/>
  <c r="M84"/>
  <c r="BD84"/>
  <c r="P84"/>
  <c r="S84"/>
  <c r="BC85"/>
  <c r="AS10" i="14"/>
  <c r="AT10"/>
  <c r="AR42"/>
  <c r="AQ42"/>
  <c r="G22"/>
  <c r="H22"/>
  <c r="I22"/>
  <c r="I54" i="15"/>
  <c r="I56"/>
  <c r="I57"/>
  <c r="I58"/>
  <c r="I60"/>
  <c r="I75"/>
  <c r="I76"/>
  <c r="I61"/>
  <c r="I62"/>
  <c r="I63"/>
  <c r="I64"/>
  <c r="I65"/>
  <c r="I66"/>
  <c r="I67"/>
  <c r="I68"/>
  <c r="I69"/>
  <c r="I70"/>
  <c r="I71"/>
  <c r="I72"/>
  <c r="I73"/>
  <c r="I74"/>
  <c r="I45"/>
  <c r="I46"/>
  <c r="I47"/>
  <c r="I48"/>
  <c r="I49"/>
  <c r="I50"/>
  <c r="I51"/>
  <c r="I52"/>
  <c r="I53"/>
  <c r="K22" i="14"/>
  <c r="L22"/>
  <c r="M22"/>
  <c r="N22"/>
  <c r="O22"/>
  <c r="P22"/>
  <c r="Q22"/>
  <c r="R75" i="15"/>
  <c r="R76"/>
  <c r="R22" i="14"/>
  <c r="S75" i="15"/>
  <c r="S76"/>
  <c r="H27" i="3"/>
  <c r="G36" i="15"/>
  <c r="G18"/>
  <c r="G14"/>
  <c r="G37"/>
  <c r="G10" i="14"/>
  <c r="I27" i="3"/>
  <c r="H36" i="15"/>
  <c r="H18"/>
  <c r="H14"/>
  <c r="H37"/>
  <c r="H10" i="14"/>
  <c r="K27" i="3"/>
  <c r="L36" i="15"/>
  <c r="L37"/>
  <c r="L18"/>
  <c r="L14"/>
  <c r="K10" i="14"/>
  <c r="L27" i="3"/>
  <c r="M36" i="15"/>
  <c r="M37"/>
  <c r="M18"/>
  <c r="M14"/>
  <c r="L10" i="14"/>
  <c r="N27" i="3"/>
  <c r="O36" i="15"/>
  <c r="O18"/>
  <c r="O14"/>
  <c r="O37"/>
  <c r="N10" i="14"/>
  <c r="O27" i="3"/>
  <c r="P36" i="15"/>
  <c r="P18"/>
  <c r="P14"/>
  <c r="P37"/>
  <c r="O10" i="14"/>
  <c r="Q27" i="3"/>
  <c r="R36" i="15"/>
  <c r="R37"/>
  <c r="R18"/>
  <c r="R14"/>
  <c r="Q10" i="14"/>
  <c r="R27" i="3"/>
  <c r="S36" i="15"/>
  <c r="S37"/>
  <c r="S18"/>
  <c r="S14"/>
  <c r="R10" i="14"/>
  <c r="K85" i="3"/>
  <c r="L116" i="15"/>
  <c r="L117"/>
  <c r="L96"/>
  <c r="L92"/>
  <c r="K34" i="14"/>
  <c r="L85" i="3"/>
  <c r="M116" i="15"/>
  <c r="M96"/>
  <c r="M92"/>
  <c r="M117"/>
  <c r="L34" i="14"/>
  <c r="N85" i="3"/>
  <c r="O116" i="15"/>
  <c r="O96"/>
  <c r="O92"/>
  <c r="O117"/>
  <c r="N34" i="14"/>
  <c r="O85" i="3"/>
  <c r="P116" i="15"/>
  <c r="P117"/>
  <c r="P96"/>
  <c r="P92"/>
  <c r="O34" i="14"/>
  <c r="J93" i="3"/>
  <c r="J94"/>
  <c r="J95"/>
  <c r="J96"/>
  <c r="J97"/>
  <c r="J98"/>
  <c r="J99"/>
  <c r="J100"/>
  <c r="J101"/>
  <c r="J102"/>
  <c r="J103"/>
  <c r="J104"/>
  <c r="J105"/>
  <c r="J106"/>
  <c r="J107"/>
  <c r="J108"/>
  <c r="J109"/>
  <c r="S42" i="14"/>
  <c r="S43"/>
  <c r="S44"/>
  <c r="S45"/>
  <c r="Q46"/>
  <c r="R46"/>
  <c r="S46"/>
  <c r="P42"/>
  <c r="P43"/>
  <c r="P44"/>
  <c r="P45"/>
  <c r="N46"/>
  <c r="O46"/>
  <c r="P46"/>
  <c r="M42"/>
  <c r="M43"/>
  <c r="M44"/>
  <c r="M45"/>
  <c r="K46"/>
  <c r="L46"/>
  <c r="M46"/>
  <c r="AG42"/>
  <c r="AG43"/>
  <c r="AG44"/>
  <c r="AG45"/>
  <c r="AE46"/>
  <c r="AF46"/>
  <c r="AG46"/>
  <c r="I42"/>
  <c r="I43"/>
  <c r="I44"/>
  <c r="I45"/>
  <c r="G46"/>
  <c r="H46"/>
  <c r="I46"/>
  <c r="S54" i="16"/>
  <c r="S55"/>
  <c r="S56"/>
  <c r="S57"/>
  <c r="S58"/>
  <c r="S59"/>
  <c r="S60"/>
  <c r="S61"/>
  <c r="S62"/>
  <c r="P54"/>
  <c r="P55"/>
  <c r="P56"/>
  <c r="P57"/>
  <c r="P58"/>
  <c r="P59"/>
  <c r="P60"/>
  <c r="P61"/>
  <c r="P62"/>
  <c r="M54"/>
  <c r="M55"/>
  <c r="M56"/>
  <c r="M57"/>
  <c r="M58"/>
  <c r="M59"/>
  <c r="M60"/>
  <c r="M61"/>
  <c r="M62"/>
  <c r="AI54"/>
  <c r="AI55"/>
  <c r="AI56"/>
  <c r="AI57"/>
  <c r="AI58"/>
  <c r="AI59"/>
  <c r="AI61"/>
  <c r="I54"/>
  <c r="I55"/>
  <c r="I56"/>
  <c r="I57"/>
  <c r="I58"/>
  <c r="I59"/>
  <c r="I60"/>
  <c r="I61"/>
  <c r="I62"/>
  <c r="T152" i="15"/>
  <c r="Q152"/>
  <c r="N152"/>
  <c r="AI124"/>
  <c r="AI125"/>
  <c r="AI126"/>
  <c r="AI127"/>
  <c r="AI128"/>
  <c r="AI129"/>
  <c r="AI130"/>
  <c r="AI131"/>
  <c r="AI132"/>
  <c r="AI133"/>
  <c r="AI134"/>
  <c r="AI135"/>
  <c r="AI136"/>
  <c r="AI152"/>
  <c r="M30" i="14"/>
  <c r="M31"/>
  <c r="M34"/>
  <c r="M32"/>
  <c r="M33"/>
  <c r="AG116" i="15"/>
  <c r="AG96"/>
  <c r="AG92"/>
  <c r="AG117"/>
  <c r="AI117"/>
  <c r="AH116"/>
  <c r="AH96"/>
  <c r="AH92"/>
  <c r="AH117"/>
  <c r="AE34" i="14"/>
  <c r="AF34"/>
  <c r="AG34"/>
  <c r="Q85" i="3"/>
  <c r="R85"/>
  <c r="S85"/>
  <c r="H85"/>
  <c r="I85"/>
  <c r="R96" i="15"/>
  <c r="R92"/>
  <c r="R117"/>
  <c r="S96"/>
  <c r="S92"/>
  <c r="S117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6"/>
  <c r="G116"/>
  <c r="G96"/>
  <c r="G92"/>
  <c r="H116"/>
  <c r="H96"/>
  <c r="H92"/>
  <c r="I116"/>
  <c r="I93"/>
  <c r="I96"/>
  <c r="I94"/>
  <c r="I95"/>
  <c r="I84"/>
  <c r="I85"/>
  <c r="I92"/>
  <c r="I86"/>
  <c r="I87"/>
  <c r="I88"/>
  <c r="I89"/>
  <c r="I90"/>
  <c r="I91"/>
  <c r="I113"/>
  <c r="I112"/>
  <c r="I111"/>
  <c r="I110"/>
  <c r="I109"/>
  <c r="I97"/>
  <c r="I98"/>
  <c r="I99"/>
  <c r="I100"/>
  <c r="I101"/>
  <c r="I102"/>
  <c r="I103"/>
  <c r="I104"/>
  <c r="I105"/>
  <c r="I106"/>
  <c r="I107"/>
  <c r="I108"/>
  <c r="Q34" i="14"/>
  <c r="R34"/>
  <c r="S30"/>
  <c r="S31"/>
  <c r="S34"/>
  <c r="S32"/>
  <c r="S33"/>
  <c r="P30"/>
  <c r="P31"/>
  <c r="P32"/>
  <c r="P33"/>
  <c r="P34"/>
  <c r="AG30"/>
  <c r="AG31"/>
  <c r="AG32"/>
  <c r="AG33"/>
  <c r="G34"/>
  <c r="H34"/>
  <c r="I30"/>
  <c r="I31"/>
  <c r="I34"/>
  <c r="I32"/>
  <c r="I33"/>
  <c r="AN46"/>
  <c r="AO46"/>
  <c r="F6" i="3"/>
  <c r="F27"/>
  <c r="F7"/>
  <c r="F8"/>
  <c r="F9"/>
  <c r="F10"/>
  <c r="F11"/>
  <c r="F12"/>
  <c r="F13"/>
  <c r="F14"/>
  <c r="F15"/>
  <c r="F16"/>
  <c r="F17"/>
  <c r="F18"/>
  <c r="F19"/>
  <c r="F20"/>
  <c r="F21"/>
  <c r="F22"/>
  <c r="F23"/>
  <c r="F25"/>
  <c r="E19" i="15"/>
  <c r="E21"/>
  <c r="E22"/>
  <c r="E23"/>
  <c r="E24"/>
  <c r="E25"/>
  <c r="E26"/>
  <c r="E27"/>
  <c r="E28"/>
  <c r="E29"/>
  <c r="E30"/>
  <c r="E31"/>
  <c r="E32"/>
  <c r="E33"/>
  <c r="E34"/>
  <c r="E35"/>
  <c r="E36"/>
  <c r="E37"/>
  <c r="F18"/>
  <c r="E18"/>
  <c r="F14"/>
  <c r="E14"/>
  <c r="E10" i="14"/>
  <c r="AQ111" i="3"/>
  <c r="AR111"/>
  <c r="AU111"/>
  <c r="AQ110"/>
  <c r="AR110"/>
  <c r="AU110"/>
  <c r="AQ109"/>
  <c r="AR109"/>
  <c r="AU109"/>
  <c r="AQ108"/>
  <c r="AR108"/>
  <c r="AU108"/>
  <c r="AQ107"/>
  <c r="AR107"/>
  <c r="AU107"/>
  <c r="AQ106"/>
  <c r="AR106"/>
  <c r="AU106"/>
  <c r="AQ105"/>
  <c r="AR105"/>
  <c r="AU105"/>
  <c r="AQ104"/>
  <c r="AR104"/>
  <c r="AU104"/>
  <c r="AQ103"/>
  <c r="AR103"/>
  <c r="AU103"/>
  <c r="AQ102"/>
  <c r="AR102"/>
  <c r="AU102"/>
  <c r="AQ101"/>
  <c r="AR101"/>
  <c r="AU101"/>
  <c r="AQ100"/>
  <c r="AR100"/>
  <c r="AU100"/>
  <c r="AQ99"/>
  <c r="AR99"/>
  <c r="AU99"/>
  <c r="AQ98"/>
  <c r="AR98"/>
  <c r="AU98"/>
  <c r="AQ97"/>
  <c r="AR97"/>
  <c r="AU97"/>
  <c r="AQ96"/>
  <c r="AR96"/>
  <c r="AU96"/>
  <c r="AQ95"/>
  <c r="AR95"/>
  <c r="AU95"/>
  <c r="AQ94"/>
  <c r="AR94"/>
  <c r="AU94"/>
  <c r="AQ93"/>
  <c r="AR93"/>
  <c r="AR113"/>
  <c r="CA111"/>
  <c r="BZ111"/>
  <c r="CB111"/>
  <c r="BA111"/>
  <c r="AP111"/>
  <c r="X111"/>
  <c r="F111"/>
  <c r="U136" i="15"/>
  <c r="AS136"/>
  <c r="V136"/>
  <c r="AT136"/>
  <c r="AT157"/>
  <c r="AR136"/>
  <c r="AP46" i="14"/>
  <c r="AP45"/>
  <c r="AP44"/>
  <c r="AP43"/>
  <c r="AP42"/>
  <c r="AU42"/>
  <c r="AQ43"/>
  <c r="AR43"/>
  <c r="AU43"/>
  <c r="AQ44"/>
  <c r="AR44"/>
  <c r="AU44"/>
  <c r="AQ45"/>
  <c r="AR45"/>
  <c r="AU45"/>
  <c r="U46"/>
  <c r="AR46"/>
  <c r="T46"/>
  <c r="AQ46"/>
  <c r="V65" i="3"/>
  <c r="BK62" i="16"/>
  <c r="BJ46" i="14"/>
  <c r="BL62" i="16"/>
  <c r="BK46" i="14"/>
  <c r="BM62" i="16"/>
  <c r="BL46" i="14"/>
  <c r="BN62" i="16"/>
  <c r="BM46" i="14"/>
  <c r="BO62" i="16"/>
  <c r="BN46" i="14"/>
  <c r="BP62" i="16"/>
  <c r="BO46" i="14"/>
  <c r="BQ62" i="16"/>
  <c r="BP46" i="14"/>
  <c r="BR62" i="16"/>
  <c r="BQ46" i="14"/>
  <c r="BS62" i="16"/>
  <c r="BR46" i="14"/>
  <c r="BT62" i="16"/>
  <c r="BS46" i="14"/>
  <c r="BU62" i="16"/>
  <c r="BT46" i="14"/>
  <c r="BV62" i="16"/>
  <c r="BU46" i="14"/>
  <c r="BW62" i="16"/>
  <c r="BV46" i="14"/>
  <c r="BX62" i="16"/>
  <c r="BW46" i="14"/>
  <c r="BX42"/>
  <c r="BX43"/>
  <c r="BX46"/>
  <c r="BX44"/>
  <c r="BX45"/>
  <c r="BY42"/>
  <c r="BY43"/>
  <c r="BY46"/>
  <c r="BY44"/>
  <c r="BY45"/>
  <c r="BZ42"/>
  <c r="BZ43"/>
  <c r="BZ46"/>
  <c r="BZ44"/>
  <c r="BZ45"/>
  <c r="AQ6"/>
  <c r="AQ7"/>
  <c r="AQ8"/>
  <c r="AQ9"/>
  <c r="AQ10"/>
  <c r="AR6"/>
  <c r="AR7"/>
  <c r="AR10"/>
  <c r="AR8"/>
  <c r="AR9"/>
  <c r="AP116" i="15"/>
  <c r="AP117"/>
  <c r="AP96"/>
  <c r="AP92"/>
  <c r="AN85" i="3"/>
  <c r="AN34" i="14"/>
  <c r="G117" i="15"/>
  <c r="AQ116"/>
  <c r="AQ96"/>
  <c r="AQ92"/>
  <c r="AQ117"/>
  <c r="AO85" i="3"/>
  <c r="AO34" i="14"/>
  <c r="H117" i="15"/>
  <c r="BM85" i="3"/>
  <c r="BL116" i="15"/>
  <c r="BL117"/>
  <c r="BL96"/>
  <c r="BL92"/>
  <c r="BK34" i="14"/>
  <c r="BO85" i="3"/>
  <c r="BN116" i="15"/>
  <c r="BN96"/>
  <c r="BN92"/>
  <c r="BN117"/>
  <c r="BM34" i="14"/>
  <c r="BQ85" i="3"/>
  <c r="BP116" i="15"/>
  <c r="BP117"/>
  <c r="BP96"/>
  <c r="BP92"/>
  <c r="BO34" i="14"/>
  <c r="BS85" i="3"/>
  <c r="BR116" i="15"/>
  <c r="BR96"/>
  <c r="BR92"/>
  <c r="BR117"/>
  <c r="BQ34" i="14"/>
  <c r="BU85" i="3"/>
  <c r="BT116" i="15"/>
  <c r="BT117"/>
  <c r="BT96"/>
  <c r="BT92"/>
  <c r="BS34" i="14"/>
  <c r="BW85" i="3"/>
  <c r="BV116" i="15"/>
  <c r="BV96"/>
  <c r="BV92"/>
  <c r="BV117"/>
  <c r="BU34" i="14"/>
  <c r="BY85" i="3"/>
  <c r="BX116" i="15"/>
  <c r="BX117"/>
  <c r="BX96"/>
  <c r="BX92"/>
  <c r="BL85" i="3"/>
  <c r="BK116" i="15"/>
  <c r="BK117"/>
  <c r="BK96"/>
  <c r="BK92"/>
  <c r="BJ34" i="14"/>
  <c r="BN85" i="3"/>
  <c r="BM116" i="15"/>
  <c r="BM96"/>
  <c r="BM92"/>
  <c r="BM117"/>
  <c r="BL34" i="14"/>
  <c r="BP85" i="3"/>
  <c r="BO116" i="15"/>
  <c r="BO117"/>
  <c r="BO96"/>
  <c r="BO92"/>
  <c r="BN34" i="14"/>
  <c r="BR85" i="3"/>
  <c r="BQ116" i="15"/>
  <c r="BQ96"/>
  <c r="BQ92"/>
  <c r="BQ117"/>
  <c r="BP34" i="14"/>
  <c r="BT85" i="3"/>
  <c r="BS116" i="15"/>
  <c r="BS117"/>
  <c r="BS96"/>
  <c r="BS92"/>
  <c r="BR34" i="14"/>
  <c r="BV85" i="3"/>
  <c r="BU116" i="15"/>
  <c r="BU96"/>
  <c r="BU92"/>
  <c r="BU117"/>
  <c r="BT34" i="14"/>
  <c r="BX85" i="3"/>
  <c r="BW116" i="15"/>
  <c r="BW117"/>
  <c r="BW96"/>
  <c r="BW92"/>
  <c r="BY30" i="14"/>
  <c r="BX30"/>
  <c r="AS104" i="15"/>
  <c r="AS113"/>
  <c r="AS106"/>
  <c r="AS111"/>
  <c r="AS112"/>
  <c r="AS114"/>
  <c r="AS115"/>
  <c r="AS97"/>
  <c r="AS98"/>
  <c r="AS99"/>
  <c r="AS100"/>
  <c r="AS101"/>
  <c r="AS102"/>
  <c r="AS103"/>
  <c r="AS105"/>
  <c r="AS107"/>
  <c r="AS108"/>
  <c r="AS109"/>
  <c r="AS110"/>
  <c r="AS116"/>
  <c r="AT104"/>
  <c r="AT113"/>
  <c r="AT106"/>
  <c r="AT111"/>
  <c r="AT112"/>
  <c r="AT114"/>
  <c r="AT115"/>
  <c r="AT97"/>
  <c r="AT98"/>
  <c r="AT99"/>
  <c r="AT100"/>
  <c r="AT101"/>
  <c r="AT102"/>
  <c r="AT103"/>
  <c r="AT105"/>
  <c r="AT107"/>
  <c r="AT108"/>
  <c r="AT109"/>
  <c r="AT110"/>
  <c r="AT116"/>
  <c r="AS93"/>
  <c r="AS94"/>
  <c r="AS95"/>
  <c r="AS96"/>
  <c r="AT93"/>
  <c r="AT94"/>
  <c r="AT95"/>
  <c r="AT96"/>
  <c r="AS84"/>
  <c r="AS85"/>
  <c r="AS92"/>
  <c r="AS117"/>
  <c r="AS86"/>
  <c r="AS87"/>
  <c r="AS88"/>
  <c r="AS89"/>
  <c r="AS90"/>
  <c r="AS91"/>
  <c r="AT84"/>
  <c r="AT85"/>
  <c r="AT86"/>
  <c r="AT87"/>
  <c r="AT88"/>
  <c r="AT89"/>
  <c r="AT90"/>
  <c r="AT91"/>
  <c r="AT92"/>
  <c r="AP34" i="14"/>
  <c r="AP85" i="3"/>
  <c r="AQ46" i="16"/>
  <c r="BY97" i="15"/>
  <c r="BY98"/>
  <c r="BY99"/>
  <c r="BY100"/>
  <c r="BY101"/>
  <c r="BY102"/>
  <c r="BY103"/>
  <c r="BY104"/>
  <c r="BY105"/>
  <c r="BY106"/>
  <c r="BY107"/>
  <c r="BY108"/>
  <c r="BY109"/>
  <c r="BY110"/>
  <c r="BY111"/>
  <c r="BY112"/>
  <c r="BY113"/>
  <c r="BY114"/>
  <c r="BY115"/>
  <c r="BY116"/>
  <c r="BZ104"/>
  <c r="BZ113"/>
  <c r="BZ97"/>
  <c r="BZ98"/>
  <c r="BZ99"/>
  <c r="BZ100"/>
  <c r="BZ101"/>
  <c r="BZ102"/>
  <c r="BZ103"/>
  <c r="BZ105"/>
  <c r="BZ106"/>
  <c r="BZ107"/>
  <c r="BZ108"/>
  <c r="BZ109"/>
  <c r="BZ110"/>
  <c r="BZ111"/>
  <c r="BZ112"/>
  <c r="BZ114"/>
  <c r="CA114"/>
  <c r="BZ115"/>
  <c r="BZ116"/>
  <c r="AT117"/>
  <c r="CA115"/>
  <c r="AR115"/>
  <c r="AU115"/>
  <c r="BA115"/>
  <c r="BB115"/>
  <c r="BD115"/>
  <c r="Z115"/>
  <c r="BC115"/>
  <c r="AU114"/>
  <c r="BA114"/>
  <c r="BB114"/>
  <c r="AR114"/>
  <c r="Z114"/>
  <c r="BC114"/>
  <c r="G75"/>
  <c r="AE75"/>
  <c r="AF75"/>
  <c r="AS124"/>
  <c r="AT124"/>
  <c r="AU124"/>
  <c r="AU117"/>
  <c r="AU116"/>
  <c r="AU113"/>
  <c r="AU112"/>
  <c r="AU111"/>
  <c r="AU110"/>
  <c r="AU109"/>
  <c r="AU108"/>
  <c r="AU107"/>
  <c r="AU106"/>
  <c r="AU105"/>
  <c r="AU104"/>
  <c r="AU103"/>
  <c r="AU102"/>
  <c r="AU101"/>
  <c r="AU100"/>
  <c r="AU99"/>
  <c r="AU98"/>
  <c r="AU97"/>
  <c r="AU96"/>
  <c r="AU95"/>
  <c r="AU94"/>
  <c r="AU93"/>
  <c r="AU92"/>
  <c r="AU91"/>
  <c r="AU90"/>
  <c r="AU89"/>
  <c r="AU88"/>
  <c r="AU87"/>
  <c r="AU86"/>
  <c r="AU85"/>
  <c r="AU84"/>
  <c r="W80"/>
  <c r="AP110" i="3"/>
  <c r="AP109"/>
  <c r="AP108"/>
  <c r="AP107"/>
  <c r="AP106"/>
  <c r="AP105"/>
  <c r="AP104"/>
  <c r="AP103"/>
  <c r="AP102"/>
  <c r="AP101"/>
  <c r="AP100"/>
  <c r="AP99"/>
  <c r="AP98"/>
  <c r="AP97"/>
  <c r="AP96"/>
  <c r="AP95"/>
  <c r="AP94"/>
  <c r="AP93"/>
  <c r="AP84"/>
  <c r="AP83"/>
  <c r="AP82"/>
  <c r="AP81"/>
  <c r="AP80"/>
  <c r="AP79"/>
  <c r="AP78"/>
  <c r="AP77"/>
  <c r="AP76"/>
  <c r="AP75"/>
  <c r="AP74"/>
  <c r="AP73"/>
  <c r="AP72"/>
  <c r="AP71"/>
  <c r="AP70"/>
  <c r="AP69"/>
  <c r="AP68"/>
  <c r="AP67"/>
  <c r="AP66"/>
  <c r="AP65"/>
  <c r="AP64"/>
  <c r="AR116" i="15"/>
  <c r="AR113"/>
  <c r="AR112"/>
  <c r="AR111"/>
  <c r="AR110"/>
  <c r="AR109"/>
  <c r="AR108"/>
  <c r="AR107"/>
  <c r="AR106"/>
  <c r="AR105"/>
  <c r="AR104"/>
  <c r="AR103"/>
  <c r="AR102"/>
  <c r="AR101"/>
  <c r="AR100"/>
  <c r="AR99"/>
  <c r="AR98"/>
  <c r="AR97"/>
  <c r="AR96"/>
  <c r="AR95"/>
  <c r="AR94"/>
  <c r="AR93"/>
  <c r="AR92"/>
  <c r="AR91"/>
  <c r="AR90"/>
  <c r="AR89"/>
  <c r="AR88"/>
  <c r="AR87"/>
  <c r="AR86"/>
  <c r="AR85"/>
  <c r="AR84"/>
  <c r="H46" i="16"/>
  <c r="L46"/>
  <c r="O46"/>
  <c r="R46"/>
  <c r="G46"/>
  <c r="K46"/>
  <c r="N46"/>
  <c r="Q46"/>
  <c r="AT45"/>
  <c r="AS45"/>
  <c r="AT43"/>
  <c r="AT42"/>
  <c r="AS42"/>
  <c r="AT41"/>
  <c r="AS41"/>
  <c r="AT40"/>
  <c r="AS40"/>
  <c r="AT39"/>
  <c r="AS39"/>
  <c r="AX24" i="14"/>
  <c r="AX25"/>
  <c r="AW2"/>
  <c r="AW3"/>
  <c r="I46" i="16"/>
  <c r="I45"/>
  <c r="AI45"/>
  <c r="I44"/>
  <c r="I43"/>
  <c r="AI43"/>
  <c r="I42"/>
  <c r="AI42"/>
  <c r="I41"/>
  <c r="AI41"/>
  <c r="I40"/>
  <c r="AI40"/>
  <c r="I39"/>
  <c r="AI39"/>
  <c r="I38"/>
  <c r="AI38"/>
  <c r="AE6" i="3"/>
  <c r="AE7"/>
  <c r="AE27"/>
  <c r="AE8"/>
  <c r="AE9"/>
  <c r="AE11"/>
  <c r="AE12"/>
  <c r="AE13"/>
  <c r="AE14"/>
  <c r="AE15"/>
  <c r="AE16"/>
  <c r="AE17"/>
  <c r="AE18"/>
  <c r="AE19"/>
  <c r="AE20"/>
  <c r="AE21"/>
  <c r="AE22"/>
  <c r="AE23"/>
  <c r="AE24"/>
  <c r="AE25"/>
  <c r="AE26"/>
  <c r="AF6"/>
  <c r="AF27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W61" i="16"/>
  <c r="AO132" i="15"/>
  <c r="AM132"/>
  <c r="AK132"/>
  <c r="AF132"/>
  <c r="AD132"/>
  <c r="AB132"/>
  <c r="AN132"/>
  <c r="AL132"/>
  <c r="AJ132"/>
  <c r="AE132"/>
  <c r="AC132"/>
  <c r="AA132"/>
  <c r="BD124"/>
  <c r="BD125"/>
  <c r="BD132"/>
  <c r="BD126"/>
  <c r="BD127"/>
  <c r="BD128"/>
  <c r="BD129"/>
  <c r="BD130"/>
  <c r="BD131"/>
  <c r="BC124"/>
  <c r="BC125"/>
  <c r="BC132"/>
  <c r="BC126"/>
  <c r="BC127"/>
  <c r="BC128"/>
  <c r="BC129"/>
  <c r="BC130"/>
  <c r="BC131"/>
  <c r="BB124"/>
  <c r="BB125"/>
  <c r="BB132"/>
  <c r="BB126"/>
  <c r="BB127"/>
  <c r="BB128"/>
  <c r="BB129"/>
  <c r="BB130"/>
  <c r="BB131"/>
  <c r="BA124"/>
  <c r="BA125"/>
  <c r="BA132"/>
  <c r="BA126"/>
  <c r="BA127"/>
  <c r="BA128"/>
  <c r="BA129"/>
  <c r="BA130"/>
  <c r="BA131"/>
  <c r="F132"/>
  <c r="E132"/>
  <c r="AX132"/>
  <c r="BC59" i="16"/>
  <c r="AW61"/>
  <c r="BD61"/>
  <c r="BC61"/>
  <c r="I33" i="15"/>
  <c r="AS33"/>
  <c r="AT33"/>
  <c r="AU33"/>
  <c r="AU72"/>
  <c r="BZ65" i="3"/>
  <c r="CA65"/>
  <c r="CB65"/>
  <c r="AQ72"/>
  <c r="AR72"/>
  <c r="AU72"/>
  <c r="AQ74"/>
  <c r="AR74"/>
  <c r="AU74"/>
  <c r="AQ68"/>
  <c r="AR68"/>
  <c r="AU68"/>
  <c r="AQ66"/>
  <c r="AR66"/>
  <c r="AU66"/>
  <c r="AQ64"/>
  <c r="AR64"/>
  <c r="AU64"/>
  <c r="AQ84"/>
  <c r="AR84"/>
  <c r="AU84"/>
  <c r="AQ65"/>
  <c r="AR65"/>
  <c r="AU65"/>
  <c r="AQ70"/>
  <c r="AR70"/>
  <c r="AU70"/>
  <c r="AQ67"/>
  <c r="AR67"/>
  <c r="AU67"/>
  <c r="AQ69"/>
  <c r="AR69"/>
  <c r="AU69"/>
  <c r="AQ71"/>
  <c r="AR71"/>
  <c r="AU71"/>
  <c r="AQ73"/>
  <c r="AR73"/>
  <c r="AU73"/>
  <c r="AQ75"/>
  <c r="AR75"/>
  <c r="AU75"/>
  <c r="AQ76"/>
  <c r="AR76"/>
  <c r="AU76"/>
  <c r="AQ77"/>
  <c r="AR77"/>
  <c r="AU77"/>
  <c r="AQ78"/>
  <c r="AR78"/>
  <c r="AU78"/>
  <c r="AQ79"/>
  <c r="AR79"/>
  <c r="AU79"/>
  <c r="AQ80"/>
  <c r="AR80"/>
  <c r="AU80"/>
  <c r="AQ81"/>
  <c r="AR81"/>
  <c r="AU81"/>
  <c r="AQ82"/>
  <c r="AR82"/>
  <c r="AU82"/>
  <c r="AQ83"/>
  <c r="AR83"/>
  <c r="AU83"/>
  <c r="T34" i="14"/>
  <c r="AQ34"/>
  <c r="V116" i="15"/>
  <c r="V96"/>
  <c r="V92"/>
  <c r="AF116"/>
  <c r="AF117"/>
  <c r="AF96"/>
  <c r="AF92"/>
  <c r="AL85" i="3"/>
  <c r="AJ34" i="14"/>
  <c r="AM116" i="15"/>
  <c r="AM96"/>
  <c r="AM92"/>
  <c r="AM117"/>
  <c r="AM85" i="3"/>
  <c r="AK34" i="14"/>
  <c r="AN116" i="15"/>
  <c r="AN117"/>
  <c r="AN96"/>
  <c r="AN92"/>
  <c r="AR85" i="3"/>
  <c r="U116" i="15"/>
  <c r="U96"/>
  <c r="U92"/>
  <c r="AQ85" i="3"/>
  <c r="AO116" i="15"/>
  <c r="AO117"/>
  <c r="AO96"/>
  <c r="AO92"/>
  <c r="AM34" i="14"/>
  <c r="AL34"/>
  <c r="AK85" i="3"/>
  <c r="AI34" i="14"/>
  <c r="AL116" i="15"/>
  <c r="AL96"/>
  <c r="AL92"/>
  <c r="AL117"/>
  <c r="AJ85" i="3"/>
  <c r="AH34" i="14"/>
  <c r="AK116" i="15"/>
  <c r="AK117"/>
  <c r="AK96"/>
  <c r="AK92"/>
  <c r="AI85" i="3"/>
  <c r="AJ116" i="15"/>
  <c r="AJ96"/>
  <c r="AJ92"/>
  <c r="AJ117"/>
  <c r="AH85" i="3"/>
  <c r="AE116" i="15"/>
  <c r="AE96"/>
  <c r="AE92"/>
  <c r="AE117"/>
  <c r="AD85" i="3"/>
  <c r="AD34" i="14"/>
  <c r="AC85" i="3"/>
  <c r="AC34" i="14"/>
  <c r="AD116" i="15"/>
  <c r="AD96"/>
  <c r="AD92"/>
  <c r="AD117"/>
  <c r="AB85" i="3"/>
  <c r="AB34" i="14"/>
  <c r="AC116" i="15"/>
  <c r="AC117"/>
  <c r="AC96"/>
  <c r="AC92"/>
  <c r="AA85" i="3"/>
  <c r="AA34" i="14"/>
  <c r="AB116" i="15"/>
  <c r="AB96"/>
  <c r="AB92"/>
  <c r="AB117"/>
  <c r="Z85" i="3"/>
  <c r="Z34" i="14"/>
  <c r="AA116" i="15"/>
  <c r="AA117"/>
  <c r="AA96"/>
  <c r="AA92"/>
  <c r="Y85" i="3"/>
  <c r="Y34" i="14"/>
  <c r="D116" i="15"/>
  <c r="Z116"/>
  <c r="Z93"/>
  <c r="Z94"/>
  <c r="Z95"/>
  <c r="Z96"/>
  <c r="Z84"/>
  <c r="Z85"/>
  <c r="Z92"/>
  <c r="Z117"/>
  <c r="Z86"/>
  <c r="Z87"/>
  <c r="Z88"/>
  <c r="Z89"/>
  <c r="Z90"/>
  <c r="Z91"/>
  <c r="U117"/>
  <c r="U34" i="14"/>
  <c r="V117" i="15"/>
  <c r="BZ72" i="3"/>
  <c r="CA72"/>
  <c r="CB72"/>
  <c r="BZ74"/>
  <c r="CA74"/>
  <c r="CB74"/>
  <c r="CA66"/>
  <c r="BZ66"/>
  <c r="CB66"/>
  <c r="BZ64"/>
  <c r="CA64"/>
  <c r="CB64"/>
  <c r="BZ84"/>
  <c r="CA84"/>
  <c r="CB84"/>
  <c r="CA67"/>
  <c r="BZ67"/>
  <c r="CB67"/>
  <c r="CA68"/>
  <c r="BZ68"/>
  <c r="CB68"/>
  <c r="CA69"/>
  <c r="BZ69"/>
  <c r="CB69"/>
  <c r="CA70"/>
  <c r="BZ70"/>
  <c r="CB70"/>
  <c r="CA71"/>
  <c r="BZ71"/>
  <c r="CB71"/>
  <c r="CA73"/>
  <c r="BZ73"/>
  <c r="CB73"/>
  <c r="CA75"/>
  <c r="BZ75"/>
  <c r="CB75"/>
  <c r="CA76"/>
  <c r="BZ76"/>
  <c r="CB76"/>
  <c r="CA77"/>
  <c r="BZ77"/>
  <c r="CB77"/>
  <c r="CA78"/>
  <c r="BZ78"/>
  <c r="CB78"/>
  <c r="CA79"/>
  <c r="BZ79"/>
  <c r="CB79"/>
  <c r="CA80"/>
  <c r="BZ80"/>
  <c r="CB80"/>
  <c r="CA81"/>
  <c r="BZ81"/>
  <c r="CB81"/>
  <c r="CA82"/>
  <c r="BZ82"/>
  <c r="CB82"/>
  <c r="CA83"/>
  <c r="BZ83"/>
  <c r="CB83"/>
  <c r="BK46" i="16"/>
  <c r="BM46"/>
  <c r="BO46"/>
  <c r="BQ46"/>
  <c r="BS46"/>
  <c r="BU46"/>
  <c r="BW46"/>
  <c r="BL46"/>
  <c r="BN46"/>
  <c r="BP46"/>
  <c r="BR46"/>
  <c r="BT46"/>
  <c r="BV46"/>
  <c r="BX46"/>
  <c r="BZ30" i="14"/>
  <c r="BY31"/>
  <c r="BX31"/>
  <c r="BZ31"/>
  <c r="BY32"/>
  <c r="BX32"/>
  <c r="BZ32"/>
  <c r="BY33"/>
  <c r="BX33"/>
  <c r="BZ33"/>
  <c r="BY93" i="15"/>
  <c r="BY94"/>
  <c r="BY95"/>
  <c r="BY96"/>
  <c r="BY84"/>
  <c r="BY85"/>
  <c r="BY92"/>
  <c r="BY86"/>
  <c r="BY87"/>
  <c r="BY88"/>
  <c r="BY89"/>
  <c r="BY90"/>
  <c r="BY91"/>
  <c r="BZ93"/>
  <c r="BZ94"/>
  <c r="BZ95"/>
  <c r="BZ96"/>
  <c r="BZ84"/>
  <c r="BZ85"/>
  <c r="BZ92"/>
  <c r="BZ117"/>
  <c r="BZ86"/>
  <c r="BZ87"/>
  <c r="BZ88"/>
  <c r="BZ89"/>
  <c r="BZ90"/>
  <c r="BZ91"/>
  <c r="CA85" i="3"/>
  <c r="BY34" i="14"/>
  <c r="BZ85" i="3"/>
  <c r="BX34" i="14"/>
  <c r="BW34"/>
  <c r="BV34"/>
  <c r="BJ116" i="15"/>
  <c r="BJ96"/>
  <c r="BJ92"/>
  <c r="BJ117"/>
  <c r="BI116"/>
  <c r="BI117"/>
  <c r="BI96"/>
  <c r="BI92"/>
  <c r="V34" i="14"/>
  <c r="F34"/>
  <c r="W34"/>
  <c r="D34"/>
  <c r="X34"/>
  <c r="AR34"/>
  <c r="AQ30"/>
  <c r="AR30"/>
  <c r="AU30"/>
  <c r="AQ31"/>
  <c r="AR31"/>
  <c r="AU31"/>
  <c r="AQ32"/>
  <c r="AR32"/>
  <c r="AU32"/>
  <c r="AQ33"/>
  <c r="AR33"/>
  <c r="AU33"/>
  <c r="AV34"/>
  <c r="BA34"/>
  <c r="AP33"/>
  <c r="AP32"/>
  <c r="AP31"/>
  <c r="AP30"/>
  <c r="W116" i="15"/>
  <c r="W96"/>
  <c r="W92"/>
  <c r="W117"/>
  <c r="E97"/>
  <c r="E116"/>
  <c r="E98"/>
  <c r="E99"/>
  <c r="E100"/>
  <c r="E101"/>
  <c r="E102"/>
  <c r="E103"/>
  <c r="E104"/>
  <c r="E105"/>
  <c r="E106"/>
  <c r="E107"/>
  <c r="E108"/>
  <c r="E109"/>
  <c r="E110"/>
  <c r="E111"/>
  <c r="E112"/>
  <c r="E113"/>
  <c r="F96"/>
  <c r="E96"/>
  <c r="F92"/>
  <c r="E92"/>
  <c r="D96"/>
  <c r="D92"/>
  <c r="D117"/>
  <c r="M46" i="16"/>
  <c r="P46"/>
  <c r="S46"/>
  <c r="M85" i="3"/>
  <c r="P85"/>
  <c r="V85"/>
  <c r="BB90" i="15"/>
  <c r="G76"/>
  <c r="L75"/>
  <c r="L76"/>
  <c r="O75"/>
  <c r="O76"/>
  <c r="AE76"/>
  <c r="AL22" i="14"/>
  <c r="AN75" i="15"/>
  <c r="AN76"/>
  <c r="M75"/>
  <c r="M76"/>
  <c r="P75"/>
  <c r="P76"/>
  <c r="AF76"/>
  <c r="AM22" i="14"/>
  <c r="AO75" i="15"/>
  <c r="AO76"/>
  <c r="S22" i="14"/>
  <c r="AG56" i="3"/>
  <c r="AV56"/>
  <c r="BC44" i="16"/>
  <c r="E53" i="3"/>
  <c r="X53"/>
  <c r="G85"/>
  <c r="W85"/>
  <c r="W84"/>
  <c r="W83"/>
  <c r="W82"/>
  <c r="W81"/>
  <c r="W80"/>
  <c r="W79"/>
  <c r="W78"/>
  <c r="W77"/>
  <c r="W76"/>
  <c r="W75"/>
  <c r="W74"/>
  <c r="W73"/>
  <c r="W72"/>
  <c r="W71"/>
  <c r="W70"/>
  <c r="W69"/>
  <c r="W68"/>
  <c r="W67"/>
  <c r="W66"/>
  <c r="W65"/>
  <c r="W64"/>
  <c r="X83"/>
  <c r="V83"/>
  <c r="F83"/>
  <c r="CA116" i="15"/>
  <c r="CA96"/>
  <c r="M38" i="16"/>
  <c r="G27" i="3"/>
  <c r="I19" i="15"/>
  <c r="I21"/>
  <c r="I36"/>
  <c r="I22"/>
  <c r="I23"/>
  <c r="I24"/>
  <c r="I25"/>
  <c r="I26"/>
  <c r="I28"/>
  <c r="I29"/>
  <c r="I30"/>
  <c r="I31"/>
  <c r="I32"/>
  <c r="I34"/>
  <c r="I35"/>
  <c r="I15"/>
  <c r="I18"/>
  <c r="I16"/>
  <c r="I17"/>
  <c r="I6"/>
  <c r="I7"/>
  <c r="I8"/>
  <c r="I9"/>
  <c r="I10"/>
  <c r="I11"/>
  <c r="I12"/>
  <c r="I13"/>
  <c r="I14"/>
  <c r="BL56" i="3"/>
  <c r="BJ22" i="14"/>
  <c r="BK75" i="15"/>
  <c r="BK57"/>
  <c r="BK53"/>
  <c r="BK76"/>
  <c r="BM56" i="3"/>
  <c r="BK22" i="14"/>
  <c r="BL75" i="15"/>
  <c r="BL57"/>
  <c r="BL53"/>
  <c r="BL76"/>
  <c r="BW22" i="14"/>
  <c r="BU22"/>
  <c r="BS22"/>
  <c r="BQ22"/>
  <c r="BO22"/>
  <c r="BM22"/>
  <c r="BY22"/>
  <c r="BV22"/>
  <c r="BT22"/>
  <c r="BX22"/>
  <c r="BZ22"/>
  <c r="BR22"/>
  <c r="BP22"/>
  <c r="BN22"/>
  <c r="BL22"/>
  <c r="BZ74" i="15"/>
  <c r="BY74"/>
  <c r="CA74"/>
  <c r="BZ72"/>
  <c r="BY72"/>
  <c r="CA72"/>
  <c r="BZ71"/>
  <c r="BY71"/>
  <c r="CA71"/>
  <c r="BZ70"/>
  <c r="BY70"/>
  <c r="CA70"/>
  <c r="BZ69"/>
  <c r="BY69"/>
  <c r="CA69"/>
  <c r="BZ68"/>
  <c r="BY68"/>
  <c r="CA68"/>
  <c r="BZ67"/>
  <c r="BY67"/>
  <c r="CA67"/>
  <c r="BZ66"/>
  <c r="BY66"/>
  <c r="CA66"/>
  <c r="BZ65"/>
  <c r="BY65"/>
  <c r="CA65"/>
  <c r="BZ64"/>
  <c r="BY64"/>
  <c r="CA64"/>
  <c r="BZ63"/>
  <c r="BY63"/>
  <c r="CA63"/>
  <c r="BZ62"/>
  <c r="BY62"/>
  <c r="CA62"/>
  <c r="BZ61"/>
  <c r="BY61"/>
  <c r="CA61"/>
  <c r="BZ60"/>
  <c r="BY60"/>
  <c r="CA60"/>
  <c r="BZ58"/>
  <c r="BY58"/>
  <c r="CA58"/>
  <c r="BZ54"/>
  <c r="BY54"/>
  <c r="CA54"/>
  <c r="BZ55"/>
  <c r="BY55"/>
  <c r="CA55"/>
  <c r="BZ56"/>
  <c r="BY56"/>
  <c r="CA56"/>
  <c r="BZ45"/>
  <c r="BY45"/>
  <c r="CA45"/>
  <c r="BZ46"/>
  <c r="BY46"/>
  <c r="CA46"/>
  <c r="BZ47"/>
  <c r="BY47"/>
  <c r="CA47"/>
  <c r="BZ48"/>
  <c r="BY48"/>
  <c r="CA48"/>
  <c r="BZ49"/>
  <c r="BY49"/>
  <c r="CA49"/>
  <c r="BZ50"/>
  <c r="BY50"/>
  <c r="CA50"/>
  <c r="BZ51"/>
  <c r="BY51"/>
  <c r="CA51"/>
  <c r="BZ52"/>
  <c r="BY52"/>
  <c r="CA52"/>
  <c r="BN56" i="3"/>
  <c r="BM75" i="15"/>
  <c r="BM76"/>
  <c r="BM57"/>
  <c r="BM53"/>
  <c r="BO56" i="3"/>
  <c r="BN75" i="15"/>
  <c r="BN57"/>
  <c r="BN53"/>
  <c r="BN76"/>
  <c r="BP56" i="3"/>
  <c r="BO75" i="15"/>
  <c r="BO76"/>
  <c r="BO57"/>
  <c r="BO53"/>
  <c r="BQ56" i="3"/>
  <c r="BP75" i="15"/>
  <c r="BP57"/>
  <c r="BP53"/>
  <c r="BP76"/>
  <c r="BR56" i="3"/>
  <c r="BQ75" i="15"/>
  <c r="BQ76"/>
  <c r="BQ57"/>
  <c r="BQ53"/>
  <c r="BS56" i="3"/>
  <c r="BR75" i="15"/>
  <c r="BR57"/>
  <c r="BR53"/>
  <c r="BR76"/>
  <c r="BT56" i="3"/>
  <c r="BS75" i="15"/>
  <c r="BS76"/>
  <c r="BS57"/>
  <c r="BS53"/>
  <c r="BU56" i="3"/>
  <c r="BT75" i="15"/>
  <c r="BT57"/>
  <c r="BT53"/>
  <c r="BT76"/>
  <c r="BV56" i="3"/>
  <c r="BU75" i="15"/>
  <c r="BU76"/>
  <c r="BU57"/>
  <c r="BU53"/>
  <c r="BW56" i="3"/>
  <c r="BV75" i="15"/>
  <c r="BV57"/>
  <c r="BV53"/>
  <c r="BV76"/>
  <c r="I6" i="14"/>
  <c r="I7"/>
  <c r="I10"/>
  <c r="I8"/>
  <c r="I9"/>
  <c r="BY56" i="3"/>
  <c r="BX75" i="15"/>
  <c r="BX57"/>
  <c r="BX53"/>
  <c r="BX76"/>
  <c r="BX56" i="3"/>
  <c r="BW75" i="15"/>
  <c r="BW76"/>
  <c r="BW57"/>
  <c r="BW53"/>
  <c r="BY75"/>
  <c r="BY76"/>
  <c r="BY57"/>
  <c r="BY53"/>
  <c r="BZ75"/>
  <c r="BZ76"/>
  <c r="BZ57"/>
  <c r="BZ53"/>
  <c r="AP22" i="14"/>
  <c r="AP56" i="3"/>
  <c r="M6" i="14"/>
  <c r="M7"/>
  <c r="M10"/>
  <c r="M8"/>
  <c r="M9"/>
  <c r="AE36" i="15"/>
  <c r="AE37"/>
  <c r="AE18"/>
  <c r="AE14"/>
  <c r="AF36"/>
  <c r="AF37"/>
  <c r="AF18"/>
  <c r="AF14"/>
  <c r="AI35"/>
  <c r="AI33"/>
  <c r="AI32"/>
  <c r="AI31"/>
  <c r="AI30"/>
  <c r="U75"/>
  <c r="U76"/>
  <c r="V75"/>
  <c r="V76"/>
  <c r="W75"/>
  <c r="W57"/>
  <c r="W53"/>
  <c r="W76"/>
  <c r="F75"/>
  <c r="F76"/>
  <c r="Y76"/>
  <c r="F57"/>
  <c r="F53"/>
  <c r="Z75"/>
  <c r="Z54"/>
  <c r="Z55"/>
  <c r="Z56"/>
  <c r="Z57"/>
  <c r="Z45"/>
  <c r="Z46"/>
  <c r="Z53"/>
  <c r="Z76"/>
  <c r="Z47"/>
  <c r="Z48"/>
  <c r="Z49"/>
  <c r="Z50"/>
  <c r="Z51"/>
  <c r="Z52"/>
  <c r="AA75"/>
  <c r="AA76"/>
  <c r="AB75"/>
  <c r="AB76"/>
  <c r="AC75"/>
  <c r="AC76"/>
  <c r="AD75"/>
  <c r="AD76"/>
  <c r="AK75"/>
  <c r="AK76"/>
  <c r="AL75"/>
  <c r="AL76"/>
  <c r="AM75"/>
  <c r="AM76"/>
  <c r="AJ75"/>
  <c r="AU75"/>
  <c r="AS54"/>
  <c r="AT54"/>
  <c r="AU54"/>
  <c r="AS55"/>
  <c r="AT55"/>
  <c r="AU55"/>
  <c r="AS56"/>
  <c r="AT56"/>
  <c r="AU56"/>
  <c r="AS45"/>
  <c r="AT45"/>
  <c r="AU45"/>
  <c r="AS46"/>
  <c r="AT46"/>
  <c r="AU46"/>
  <c r="AS47"/>
  <c r="AT47"/>
  <c r="AU47"/>
  <c r="AS48"/>
  <c r="AT48"/>
  <c r="AU48"/>
  <c r="AS49"/>
  <c r="AT49"/>
  <c r="AU49"/>
  <c r="AS50"/>
  <c r="AT50"/>
  <c r="AU50"/>
  <c r="AS51"/>
  <c r="AT51"/>
  <c r="AU51"/>
  <c r="AS52"/>
  <c r="AT52"/>
  <c r="AU52"/>
  <c r="AI76"/>
  <c r="AX76"/>
  <c r="E58"/>
  <c r="E60"/>
  <c r="E61"/>
  <c r="E62"/>
  <c r="E63"/>
  <c r="E64"/>
  <c r="E65"/>
  <c r="E66"/>
  <c r="E67"/>
  <c r="E68"/>
  <c r="E69"/>
  <c r="E70"/>
  <c r="E71"/>
  <c r="E72"/>
  <c r="E73"/>
  <c r="E74"/>
  <c r="E75"/>
  <c r="E76"/>
  <c r="E57"/>
  <c r="E53"/>
  <c r="BC76"/>
  <c r="T22" i="14"/>
  <c r="U22"/>
  <c r="V22"/>
  <c r="X22"/>
  <c r="Y22"/>
  <c r="Z22"/>
  <c r="AA22"/>
  <c r="AB22"/>
  <c r="AH22"/>
  <c r="AI22"/>
  <c r="AJ22"/>
  <c r="AK22"/>
  <c r="AC22"/>
  <c r="AD22"/>
  <c r="BJ75" i="15"/>
  <c r="BJ57"/>
  <c r="BJ53"/>
  <c r="BJ76"/>
  <c r="E35" i="3"/>
  <c r="BB35"/>
  <c r="E37"/>
  <c r="E38"/>
  <c r="BB38"/>
  <c r="E40"/>
  <c r="E42"/>
  <c r="BB42"/>
  <c r="E43"/>
  <c r="E44"/>
  <c r="BB44"/>
  <c r="E45"/>
  <c r="E46"/>
  <c r="BB46"/>
  <c r="E47"/>
  <c r="E48"/>
  <c r="BB48"/>
  <c r="E49"/>
  <c r="E51"/>
  <c r="BB51"/>
  <c r="E52"/>
  <c r="E36"/>
  <c r="E50"/>
  <c r="E54"/>
  <c r="AQ56"/>
  <c r="AR56"/>
  <c r="AU56"/>
  <c r="CA6"/>
  <c r="CA7"/>
  <c r="CA8"/>
  <c r="CA9"/>
  <c r="CA10"/>
  <c r="CA11"/>
  <c r="CA12"/>
  <c r="CA13"/>
  <c r="CA14"/>
  <c r="CA15"/>
  <c r="CA16"/>
  <c r="CA17"/>
  <c r="CA18"/>
  <c r="CA19"/>
  <c r="CA20"/>
  <c r="CA21"/>
  <c r="CA22"/>
  <c r="CA23"/>
  <c r="CA24"/>
  <c r="CA25"/>
  <c r="CA26"/>
  <c r="CA27"/>
  <c r="BZ6"/>
  <c r="BZ27"/>
  <c r="BZ7"/>
  <c r="BZ8"/>
  <c r="BZ9"/>
  <c r="BZ10"/>
  <c r="BZ11"/>
  <c r="BZ12"/>
  <c r="BZ13"/>
  <c r="BZ14"/>
  <c r="BZ15"/>
  <c r="BZ16"/>
  <c r="BZ17"/>
  <c r="BZ18"/>
  <c r="BZ19"/>
  <c r="BZ20"/>
  <c r="BZ21"/>
  <c r="BZ22"/>
  <c r="BZ23"/>
  <c r="BZ24"/>
  <c r="BZ25"/>
  <c r="BZ26"/>
  <c r="I25" i="16"/>
  <c r="AR55" i="3"/>
  <c r="AQ55"/>
  <c r="AR54"/>
  <c r="AQ54"/>
  <c r="AR53"/>
  <c r="AQ53"/>
  <c r="AR52"/>
  <c r="AQ52"/>
  <c r="AR51"/>
  <c r="AQ51"/>
  <c r="AR50"/>
  <c r="AQ50"/>
  <c r="AR49"/>
  <c r="AQ49"/>
  <c r="AR48"/>
  <c r="AQ48"/>
  <c r="AR47"/>
  <c r="AQ47"/>
  <c r="AR46"/>
  <c r="AQ46"/>
  <c r="AR45"/>
  <c r="AQ45"/>
  <c r="AR44"/>
  <c r="AQ44"/>
  <c r="AR43"/>
  <c r="AQ43"/>
  <c r="AR42"/>
  <c r="AQ42"/>
  <c r="AR41"/>
  <c r="AQ41"/>
  <c r="AR40"/>
  <c r="AQ40"/>
  <c r="AR39"/>
  <c r="AQ39"/>
  <c r="AR38"/>
  <c r="AQ38"/>
  <c r="AR37"/>
  <c r="AQ37"/>
  <c r="AR36"/>
  <c r="AQ36"/>
  <c r="AR35"/>
  <c r="AQ35"/>
  <c r="F35"/>
  <c r="F56"/>
  <c r="F36"/>
  <c r="F37"/>
  <c r="F38"/>
  <c r="F39"/>
  <c r="F40"/>
  <c r="F41"/>
  <c r="F42"/>
  <c r="F43"/>
  <c r="F44"/>
  <c r="F45"/>
  <c r="F46"/>
  <c r="F47"/>
  <c r="F48"/>
  <c r="F49"/>
  <c r="F50"/>
  <c r="F51"/>
  <c r="F52"/>
  <c r="F54"/>
  <c r="AU55"/>
  <c r="BB55"/>
  <c r="BA55"/>
  <c r="AZ55"/>
  <c r="AY55"/>
  <c r="AX55"/>
  <c r="AG55"/>
  <c r="AV55"/>
  <c r="AU54"/>
  <c r="BB54"/>
  <c r="BA54"/>
  <c r="AZ54"/>
  <c r="AY54"/>
  <c r="AX54"/>
  <c r="AG54"/>
  <c r="AV54"/>
  <c r="AU53"/>
  <c r="BB53"/>
  <c r="BA53"/>
  <c r="AZ53"/>
  <c r="AY53"/>
  <c r="AX53"/>
  <c r="AG53"/>
  <c r="AV53"/>
  <c r="AU52"/>
  <c r="BB52"/>
  <c r="BA52"/>
  <c r="AZ52"/>
  <c r="AY52"/>
  <c r="AX52"/>
  <c r="AG52"/>
  <c r="AV52"/>
  <c r="AU51"/>
  <c r="AZ51"/>
  <c r="AX51"/>
  <c r="AG51"/>
  <c r="AV51"/>
  <c r="AU50"/>
  <c r="BB50"/>
  <c r="BA50"/>
  <c r="AZ50"/>
  <c r="AY50"/>
  <c r="AX50"/>
  <c r="AG50"/>
  <c r="AV50"/>
  <c r="AU49"/>
  <c r="BB49"/>
  <c r="BA49"/>
  <c r="AZ49"/>
  <c r="AY49"/>
  <c r="AX49"/>
  <c r="AG49"/>
  <c r="AV49"/>
  <c r="AU48"/>
  <c r="AZ48"/>
  <c r="AX48"/>
  <c r="AG48"/>
  <c r="AV48"/>
  <c r="AU47"/>
  <c r="BB47"/>
  <c r="BA47"/>
  <c r="AZ47"/>
  <c r="AY47"/>
  <c r="AX47"/>
  <c r="AG47"/>
  <c r="AV47"/>
  <c r="AU46"/>
  <c r="AZ46"/>
  <c r="AX46"/>
  <c r="AG46"/>
  <c r="AV46"/>
  <c r="AU45"/>
  <c r="BB45"/>
  <c r="BA45"/>
  <c r="AZ45"/>
  <c r="AY45"/>
  <c r="AX45"/>
  <c r="AG45"/>
  <c r="AV45"/>
  <c r="AU44"/>
  <c r="AZ44"/>
  <c r="AX44"/>
  <c r="AG44"/>
  <c r="AV44"/>
  <c r="AU43"/>
  <c r="BB43"/>
  <c r="BA43"/>
  <c r="AZ43"/>
  <c r="AY43"/>
  <c r="AX43"/>
  <c r="AG43"/>
  <c r="AV43"/>
  <c r="AU42"/>
  <c r="AZ42"/>
  <c r="AX42"/>
  <c r="AG42"/>
  <c r="AV42"/>
  <c r="AU41"/>
  <c r="AZ41"/>
  <c r="AX41"/>
  <c r="AG41"/>
  <c r="AV41"/>
  <c r="AU40"/>
  <c r="BB40"/>
  <c r="AZ40"/>
  <c r="AX40"/>
  <c r="AG40"/>
  <c r="AV40"/>
  <c r="AU39"/>
  <c r="AZ39"/>
  <c r="AX39"/>
  <c r="AG39"/>
  <c r="AV39"/>
  <c r="AU38"/>
  <c r="AZ38"/>
  <c r="AX38"/>
  <c r="AG38"/>
  <c r="AV38"/>
  <c r="AU37"/>
  <c r="BB37"/>
  <c r="BA37"/>
  <c r="AZ37"/>
  <c r="AY37"/>
  <c r="AX37"/>
  <c r="AG37"/>
  <c r="AV37"/>
  <c r="AU36"/>
  <c r="BB36"/>
  <c r="BA36"/>
  <c r="AZ36"/>
  <c r="AY36"/>
  <c r="AX36"/>
  <c r="AG36"/>
  <c r="AV36"/>
  <c r="AU35"/>
  <c r="AZ35"/>
  <c r="AX35"/>
  <c r="AG35"/>
  <c r="AV35"/>
  <c r="AP55"/>
  <c r="AP54"/>
  <c r="AP53"/>
  <c r="AP52"/>
  <c r="AP51"/>
  <c r="AP50"/>
  <c r="AP49"/>
  <c r="AP48"/>
  <c r="AP47"/>
  <c r="AP46"/>
  <c r="AP45"/>
  <c r="AP44"/>
  <c r="AP43"/>
  <c r="AP42"/>
  <c r="AP41"/>
  <c r="AP40"/>
  <c r="AP39"/>
  <c r="AP38"/>
  <c r="AP37"/>
  <c r="AP36"/>
  <c r="AP35"/>
  <c r="BA46" i="14"/>
  <c r="F46"/>
  <c r="E46"/>
  <c r="AV46"/>
  <c r="BB45"/>
  <c r="BA45"/>
  <c r="AZ45"/>
  <c r="AY45"/>
  <c r="E45"/>
  <c r="AX45"/>
  <c r="AV45"/>
  <c r="BB44"/>
  <c r="BA44"/>
  <c r="AZ44"/>
  <c r="AY44"/>
  <c r="E44"/>
  <c r="AX44"/>
  <c r="AV44"/>
  <c r="BB43"/>
  <c r="BA43"/>
  <c r="AZ43"/>
  <c r="AY43"/>
  <c r="E43"/>
  <c r="AX43"/>
  <c r="AV43"/>
  <c r="BB42"/>
  <c r="BA42"/>
  <c r="AZ42"/>
  <c r="AY42"/>
  <c r="E42"/>
  <c r="AX42"/>
  <c r="AV42"/>
  <c r="BA33"/>
  <c r="E33"/>
  <c r="AV33"/>
  <c r="BB32"/>
  <c r="BA32"/>
  <c r="AZ32"/>
  <c r="AY32"/>
  <c r="E32"/>
  <c r="AX32"/>
  <c r="AV32"/>
  <c r="BA31"/>
  <c r="E31"/>
  <c r="AV31"/>
  <c r="BB30"/>
  <c r="BA30"/>
  <c r="AZ30"/>
  <c r="AY30"/>
  <c r="E30"/>
  <c r="AX30"/>
  <c r="AV30"/>
  <c r="BA22"/>
  <c r="F22"/>
  <c r="E22"/>
  <c r="AG22"/>
  <c r="AV22"/>
  <c r="AQ21"/>
  <c r="AR21"/>
  <c r="AU21"/>
  <c r="I21"/>
  <c r="BA21"/>
  <c r="M21"/>
  <c r="P21"/>
  <c r="S21"/>
  <c r="E21"/>
  <c r="AG21"/>
  <c r="AV21"/>
  <c r="AQ20"/>
  <c r="AR20"/>
  <c r="AU20"/>
  <c r="BB20"/>
  <c r="I20"/>
  <c r="BA20"/>
  <c r="M20"/>
  <c r="AZ20"/>
  <c r="P20"/>
  <c r="S20"/>
  <c r="AY20"/>
  <c r="E20"/>
  <c r="AX20"/>
  <c r="AG20"/>
  <c r="AV20"/>
  <c r="AQ19"/>
  <c r="AR19"/>
  <c r="AU19"/>
  <c r="I19"/>
  <c r="BA19"/>
  <c r="M19"/>
  <c r="P19"/>
  <c r="S19"/>
  <c r="E19"/>
  <c r="AG19"/>
  <c r="AV19"/>
  <c r="AQ18"/>
  <c r="AR18"/>
  <c r="AU18"/>
  <c r="BB18"/>
  <c r="I18"/>
  <c r="BA18"/>
  <c r="M18"/>
  <c r="AZ18"/>
  <c r="P18"/>
  <c r="S18"/>
  <c r="AY18"/>
  <c r="E18"/>
  <c r="AX18"/>
  <c r="AG18"/>
  <c r="AV18"/>
  <c r="AP21"/>
  <c r="AP20"/>
  <c r="AP19"/>
  <c r="AP18"/>
  <c r="BZ22" i="16"/>
  <c r="BY22"/>
  <c r="CA22"/>
  <c r="M7" i="3"/>
  <c r="AQ7"/>
  <c r="AQ27"/>
  <c r="AQ6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N36" i="15"/>
  <c r="AN37"/>
  <c r="AN18"/>
  <c r="AN14"/>
  <c r="AL36"/>
  <c r="AL37"/>
  <c r="AL18"/>
  <c r="AL14"/>
  <c r="AJ36"/>
  <c r="AJ37"/>
  <c r="AJ18"/>
  <c r="AJ14"/>
  <c r="AC36"/>
  <c r="AC37"/>
  <c r="AC18"/>
  <c r="AC14"/>
  <c r="AA36"/>
  <c r="AA37"/>
  <c r="AA18"/>
  <c r="AA14"/>
  <c r="U36"/>
  <c r="U18"/>
  <c r="U37"/>
  <c r="AO36"/>
  <c r="AO37"/>
  <c r="AO18"/>
  <c r="AO14"/>
  <c r="AM36"/>
  <c r="AM37"/>
  <c r="AM18"/>
  <c r="AM14"/>
  <c r="AK36"/>
  <c r="AK37"/>
  <c r="AK18"/>
  <c r="AK14"/>
  <c r="AD36"/>
  <c r="AD37"/>
  <c r="AD18"/>
  <c r="AD14"/>
  <c r="AB36"/>
  <c r="AB37"/>
  <c r="AB18"/>
  <c r="AB14"/>
  <c r="V36"/>
  <c r="V18"/>
  <c r="V37"/>
  <c r="AR6" i="3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BI75" i="15"/>
  <c r="BI57"/>
  <c r="BI53"/>
  <c r="BI76"/>
  <c r="BI30" i="16"/>
  <c r="BJ30"/>
  <c r="BK30"/>
  <c r="BL30"/>
  <c r="BM30"/>
  <c r="BN30"/>
  <c r="BO30"/>
  <c r="BP30"/>
  <c r="BQ30"/>
  <c r="BR30"/>
  <c r="BS30"/>
  <c r="BT30"/>
  <c r="BU30"/>
  <c r="BV30"/>
  <c r="BW30"/>
  <c r="BX30"/>
  <c r="BY30"/>
  <c r="BZ30"/>
  <c r="CA30"/>
  <c r="G30"/>
  <c r="H30"/>
  <c r="I30"/>
  <c r="K30"/>
  <c r="N30"/>
  <c r="Q30"/>
  <c r="AE30"/>
  <c r="AN30"/>
  <c r="L30"/>
  <c r="O30"/>
  <c r="R30"/>
  <c r="AF30"/>
  <c r="AO30"/>
  <c r="AJ76" i="15"/>
  <c r="G56" i="3"/>
  <c r="W56"/>
  <c r="W22" i="14"/>
  <c r="W55" i="3"/>
  <c r="W54"/>
  <c r="W53"/>
  <c r="W52"/>
  <c r="W51"/>
  <c r="W50"/>
  <c r="W49"/>
  <c r="W48"/>
  <c r="W47"/>
  <c r="W46"/>
  <c r="W45"/>
  <c r="W44"/>
  <c r="W43"/>
  <c r="W42"/>
  <c r="W41"/>
  <c r="W40"/>
  <c r="W39"/>
  <c r="W38"/>
  <c r="W37"/>
  <c r="W36"/>
  <c r="W35"/>
  <c r="Y75" i="15"/>
  <c r="Y74"/>
  <c r="Y73"/>
  <c r="Y72"/>
  <c r="Y71"/>
  <c r="Y70"/>
  <c r="Y69"/>
  <c r="Y68"/>
  <c r="Y67"/>
  <c r="Y66"/>
  <c r="Y65"/>
  <c r="Y64"/>
  <c r="Y63"/>
  <c r="Y62"/>
  <c r="Y61"/>
  <c r="Y60"/>
  <c r="Y58"/>
  <c r="Y57"/>
  <c r="Y56"/>
  <c r="Y55"/>
  <c r="Y54"/>
  <c r="Y53"/>
  <c r="Y52"/>
  <c r="Y51"/>
  <c r="Y50"/>
  <c r="Y49"/>
  <c r="Y48"/>
  <c r="Y47"/>
  <c r="Y46"/>
  <c r="Y45"/>
  <c r="AU10" i="14"/>
  <c r="AG6"/>
  <c r="AV6"/>
  <c r="AG7"/>
  <c r="AG8"/>
  <c r="AV8"/>
  <c r="AG9"/>
  <c r="AG10"/>
  <c r="AU9"/>
  <c r="AU8"/>
  <c r="AU7"/>
  <c r="AU6"/>
  <c r="AV9"/>
  <c r="AV7"/>
  <c r="AU26" i="3"/>
  <c r="AU25"/>
  <c r="AU24"/>
  <c r="AU23"/>
  <c r="AU22"/>
  <c r="AU21"/>
  <c r="AU20"/>
  <c r="AU19"/>
  <c r="AU18"/>
  <c r="AU17"/>
  <c r="AU16"/>
  <c r="AU15"/>
  <c r="AU14"/>
  <c r="AU13"/>
  <c r="AU12"/>
  <c r="AU11"/>
  <c r="AU10"/>
  <c r="AU9"/>
  <c r="AU8"/>
  <c r="AU7"/>
  <c r="AU6"/>
  <c r="AS34" i="15"/>
  <c r="AT34"/>
  <c r="AU34"/>
  <c r="BC15"/>
  <c r="BC18"/>
  <c r="BC16"/>
  <c r="BC17"/>
  <c r="AS15"/>
  <c r="AT15"/>
  <c r="AU15"/>
  <c r="BD15"/>
  <c r="AS16"/>
  <c r="AT16"/>
  <c r="AU16"/>
  <c r="BD16"/>
  <c r="AS17"/>
  <c r="AT17"/>
  <c r="AU17"/>
  <c r="BD17"/>
  <c r="AS19"/>
  <c r="AS21"/>
  <c r="AS22"/>
  <c r="AS23"/>
  <c r="AS24"/>
  <c r="AS25"/>
  <c r="AS26"/>
  <c r="AS27"/>
  <c r="AS28"/>
  <c r="AS29"/>
  <c r="AS30"/>
  <c r="AS31"/>
  <c r="AS32"/>
  <c r="AS35"/>
  <c r="AS36"/>
  <c r="AT19"/>
  <c r="AT21"/>
  <c r="AT36"/>
  <c r="AU36"/>
  <c r="AT22"/>
  <c r="AT23"/>
  <c r="AU23"/>
  <c r="AT24"/>
  <c r="AT25"/>
  <c r="AU25"/>
  <c r="AT26"/>
  <c r="AT27"/>
  <c r="AU27"/>
  <c r="AT28"/>
  <c r="AT29"/>
  <c r="AU29"/>
  <c r="AT30"/>
  <c r="AT31"/>
  <c r="AU31"/>
  <c r="AT32"/>
  <c r="AT35"/>
  <c r="AU35"/>
  <c r="AU32"/>
  <c r="AU30"/>
  <c r="AU28"/>
  <c r="AU26"/>
  <c r="AU24"/>
  <c r="AU22"/>
  <c r="AU19"/>
  <c r="AS18"/>
  <c r="AT18"/>
  <c r="AU18"/>
  <c r="AS6"/>
  <c r="AS7"/>
  <c r="AS8"/>
  <c r="AS9"/>
  <c r="AS10"/>
  <c r="AS11"/>
  <c r="AS12"/>
  <c r="AS13"/>
  <c r="AS14"/>
  <c r="AT6"/>
  <c r="AT7"/>
  <c r="AT14"/>
  <c r="AU14"/>
  <c r="AT8"/>
  <c r="AT9"/>
  <c r="AU9"/>
  <c r="AT10"/>
  <c r="AT11"/>
  <c r="AU11"/>
  <c r="AT12"/>
  <c r="AT13"/>
  <c r="AU13"/>
  <c r="AU12"/>
  <c r="AU10"/>
  <c r="AU8"/>
  <c r="AU6"/>
  <c r="BI56" i="3"/>
  <c r="G113"/>
  <c r="F93"/>
  <c r="F94"/>
  <c r="F95"/>
  <c r="F96"/>
  <c r="F97"/>
  <c r="F98"/>
  <c r="F99"/>
  <c r="F100"/>
  <c r="F101"/>
  <c r="F102"/>
  <c r="F103"/>
  <c r="F104"/>
  <c r="F105"/>
  <c r="F106"/>
  <c r="F107"/>
  <c r="F108"/>
  <c r="F110"/>
  <c r="F113"/>
  <c r="F64"/>
  <c r="F65"/>
  <c r="F85"/>
  <c r="F66"/>
  <c r="F67"/>
  <c r="F68"/>
  <c r="F69"/>
  <c r="F70"/>
  <c r="F71"/>
  <c r="F72"/>
  <c r="F73"/>
  <c r="F74"/>
  <c r="F75"/>
  <c r="F76"/>
  <c r="F77"/>
  <c r="F78"/>
  <c r="F79"/>
  <c r="F80"/>
  <c r="F82"/>
  <c r="AU71" i="15"/>
  <c r="BZ152"/>
  <c r="BY152"/>
  <c r="CA152"/>
  <c r="BD152"/>
  <c r="BC152"/>
  <c r="BB152"/>
  <c r="BA152"/>
  <c r="E152"/>
  <c r="AZ152"/>
  <c r="AX152"/>
  <c r="Z152"/>
  <c r="X152"/>
  <c r="CA112"/>
  <c r="BD112"/>
  <c r="BC112"/>
  <c r="BB112"/>
  <c r="BA112"/>
  <c r="AZ112"/>
  <c r="AX112"/>
  <c r="Z112"/>
  <c r="F156"/>
  <c r="F136"/>
  <c r="F157"/>
  <c r="E137"/>
  <c r="E138"/>
  <c r="E156"/>
  <c r="E157"/>
  <c r="E139"/>
  <c r="E140"/>
  <c r="E141"/>
  <c r="E142"/>
  <c r="E143"/>
  <c r="E144"/>
  <c r="E145"/>
  <c r="E146"/>
  <c r="E147"/>
  <c r="E148"/>
  <c r="E149"/>
  <c r="E150"/>
  <c r="E151"/>
  <c r="E153"/>
  <c r="E136"/>
  <c r="E135"/>
  <c r="E134"/>
  <c r="E133"/>
  <c r="E131"/>
  <c r="E130"/>
  <c r="E129"/>
  <c r="E128"/>
  <c r="E127"/>
  <c r="E126"/>
  <c r="E125"/>
  <c r="E124"/>
  <c r="F116"/>
  <c r="F117"/>
  <c r="E95"/>
  <c r="E94"/>
  <c r="E93"/>
  <c r="E91"/>
  <c r="E90"/>
  <c r="E89"/>
  <c r="E88"/>
  <c r="E87"/>
  <c r="E86"/>
  <c r="E85"/>
  <c r="E84"/>
  <c r="E56"/>
  <c r="E55"/>
  <c r="E54"/>
  <c r="E52"/>
  <c r="E51"/>
  <c r="E50"/>
  <c r="E49"/>
  <c r="E48"/>
  <c r="E47"/>
  <c r="E46"/>
  <c r="E45"/>
  <c r="BZ73"/>
  <c r="BY73"/>
  <c r="CA73"/>
  <c r="AU73"/>
  <c r="BD73"/>
  <c r="BC73"/>
  <c r="BA73"/>
  <c r="AI73"/>
  <c r="AX73"/>
  <c r="AR73"/>
  <c r="Z73"/>
  <c r="X73"/>
  <c r="AG6" i="3"/>
  <c r="AG27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O6"/>
  <c r="AN6"/>
  <c r="AP6"/>
  <c r="AO7"/>
  <c r="AN7"/>
  <c r="AP7"/>
  <c r="AO8"/>
  <c r="AN8"/>
  <c r="AP8"/>
  <c r="AO9"/>
  <c r="AN9"/>
  <c r="AP9"/>
  <c r="AO10"/>
  <c r="AN10"/>
  <c r="AP10"/>
  <c r="AO11"/>
  <c r="AN11"/>
  <c r="AP11"/>
  <c r="AO12"/>
  <c r="AN12"/>
  <c r="AP12"/>
  <c r="AO13"/>
  <c r="AN13"/>
  <c r="AP13"/>
  <c r="AO14"/>
  <c r="AN14"/>
  <c r="AP14"/>
  <c r="AO15"/>
  <c r="AN15"/>
  <c r="AP15"/>
  <c r="AO16"/>
  <c r="AN16"/>
  <c r="AP16"/>
  <c r="AO17"/>
  <c r="AN17"/>
  <c r="AP17"/>
  <c r="AO18"/>
  <c r="AN18"/>
  <c r="AP18"/>
  <c r="AO19"/>
  <c r="AN19"/>
  <c r="AP19"/>
  <c r="AO20"/>
  <c r="AN20"/>
  <c r="AP20"/>
  <c r="AO21"/>
  <c r="AN21"/>
  <c r="AP21"/>
  <c r="AO22"/>
  <c r="AN22"/>
  <c r="AP22"/>
  <c r="AO23"/>
  <c r="AN23"/>
  <c r="AP23"/>
  <c r="AO24"/>
  <c r="AN24"/>
  <c r="AP24"/>
  <c r="AO25"/>
  <c r="AN25"/>
  <c r="AP25"/>
  <c r="AO26"/>
  <c r="AN26"/>
  <c r="AP26"/>
  <c r="AP6" i="14"/>
  <c r="AP7"/>
  <c r="AP10"/>
  <c r="AP8"/>
  <c r="AP9"/>
  <c r="AR19" i="15"/>
  <c r="AR21"/>
  <c r="AR22"/>
  <c r="AR23"/>
  <c r="AR24"/>
  <c r="AR25"/>
  <c r="AR26"/>
  <c r="AR27"/>
  <c r="AR28"/>
  <c r="AR29"/>
  <c r="AR30"/>
  <c r="AR31"/>
  <c r="AR32"/>
  <c r="AR33"/>
  <c r="AR34"/>
  <c r="AR35"/>
  <c r="AR36"/>
  <c r="AR6"/>
  <c r="AR7"/>
  <c r="AR14"/>
  <c r="AR8"/>
  <c r="AR9"/>
  <c r="AR10"/>
  <c r="AR11"/>
  <c r="AR12"/>
  <c r="AR13"/>
  <c r="D36"/>
  <c r="D37"/>
  <c r="D18"/>
  <c r="D14"/>
  <c r="Z14"/>
  <c r="AY10" i="14"/>
  <c r="W6" i="15"/>
  <c r="W7"/>
  <c r="W8"/>
  <c r="W9"/>
  <c r="W10"/>
  <c r="W11"/>
  <c r="W12"/>
  <c r="W13"/>
  <c r="W14"/>
  <c r="AL27" i="3"/>
  <c r="AM27"/>
  <c r="AO27"/>
  <c r="AC27"/>
  <c r="AD27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M6"/>
  <c r="M8"/>
  <c r="M27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P6"/>
  <c r="P27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AL10" i="14"/>
  <c r="AM10"/>
  <c r="AC10"/>
  <c r="AD10"/>
  <c r="P6"/>
  <c r="P7"/>
  <c r="P8"/>
  <c r="P9"/>
  <c r="P10"/>
  <c r="S6"/>
  <c r="S7"/>
  <c r="S10"/>
  <c r="S8"/>
  <c r="S9"/>
  <c r="T10"/>
  <c r="U10"/>
  <c r="V10"/>
  <c r="AN14" i="16"/>
  <c r="AO14"/>
  <c r="AE14"/>
  <c r="AF14"/>
  <c r="F14"/>
  <c r="G14"/>
  <c r="H14"/>
  <c r="K14"/>
  <c r="L14"/>
  <c r="N14"/>
  <c r="O14"/>
  <c r="Q14"/>
  <c r="R14"/>
  <c r="T14"/>
  <c r="U14"/>
  <c r="V14"/>
  <c r="BK36" i="15"/>
  <c r="BK37"/>
  <c r="BK18"/>
  <c r="BK14"/>
  <c r="BL27" i="3"/>
  <c r="BJ10" i="14"/>
  <c r="BL36" i="15"/>
  <c r="BL18"/>
  <c r="BL14"/>
  <c r="BL37"/>
  <c r="BM27" i="3"/>
  <c r="BK10" i="14"/>
  <c r="BM36" i="15"/>
  <c r="BM37"/>
  <c r="BM18"/>
  <c r="BM14"/>
  <c r="BN27" i="3"/>
  <c r="BL10" i="14"/>
  <c r="BN36" i="15"/>
  <c r="BN18"/>
  <c r="BN14"/>
  <c r="BN37"/>
  <c r="BO27" i="3"/>
  <c r="BM10" i="14"/>
  <c r="BO36" i="15"/>
  <c r="BO37"/>
  <c r="BO18"/>
  <c r="BO14"/>
  <c r="BP27" i="3"/>
  <c r="BN10" i="14"/>
  <c r="BP36" i="15"/>
  <c r="BP18"/>
  <c r="BP14"/>
  <c r="BP37"/>
  <c r="BQ27" i="3"/>
  <c r="BO10" i="14"/>
  <c r="BQ36" i="15"/>
  <c r="BQ37"/>
  <c r="BQ18"/>
  <c r="BQ14"/>
  <c r="BR27" i="3"/>
  <c r="BP10" i="14"/>
  <c r="BR36" i="15"/>
  <c r="BR18"/>
  <c r="BR14"/>
  <c r="BR37"/>
  <c r="BS27" i="3"/>
  <c r="BQ10" i="14"/>
  <c r="BS36" i="15"/>
  <c r="BS37"/>
  <c r="BS18"/>
  <c r="BS14"/>
  <c r="BT27" i="3"/>
  <c r="BR10" i="14"/>
  <c r="BT36" i="15"/>
  <c r="BT18"/>
  <c r="BT14"/>
  <c r="BT37"/>
  <c r="BU27" i="3"/>
  <c r="BS10" i="14"/>
  <c r="BU36" i="15"/>
  <c r="BU37"/>
  <c r="BU18"/>
  <c r="BU14"/>
  <c r="BV27" i="3"/>
  <c r="BT10" i="14"/>
  <c r="BV36" i="15"/>
  <c r="BV18"/>
  <c r="BV14"/>
  <c r="BV37"/>
  <c r="BW27" i="3"/>
  <c r="BU10" i="14"/>
  <c r="BW36" i="15"/>
  <c r="BW37"/>
  <c r="BW18"/>
  <c r="BW14"/>
  <c r="BX27" i="3"/>
  <c r="BV10" i="14"/>
  <c r="BX36" i="15"/>
  <c r="BX18"/>
  <c r="BX14"/>
  <c r="BX37"/>
  <c r="BY27" i="3"/>
  <c r="BW10" i="14"/>
  <c r="BY19" i="15"/>
  <c r="BY21"/>
  <c r="BY22"/>
  <c r="BY23"/>
  <c r="BY24"/>
  <c r="BY25"/>
  <c r="BY26"/>
  <c r="BY27"/>
  <c r="BY28"/>
  <c r="BY29"/>
  <c r="BY30"/>
  <c r="BY31"/>
  <c r="BY32"/>
  <c r="BY33"/>
  <c r="BY34"/>
  <c r="BY35"/>
  <c r="BY36"/>
  <c r="BY15"/>
  <c r="BY16"/>
  <c r="BY17"/>
  <c r="BY18"/>
  <c r="BY6"/>
  <c r="BY7"/>
  <c r="BY14"/>
  <c r="BY37"/>
  <c r="BY8"/>
  <c r="BY9"/>
  <c r="BY10"/>
  <c r="BY11"/>
  <c r="BY12"/>
  <c r="BY13"/>
  <c r="BH10" i="14"/>
  <c r="BX10"/>
  <c r="BZ19" i="15"/>
  <c r="BZ21"/>
  <c r="BZ36"/>
  <c r="BZ37"/>
  <c r="BZ22"/>
  <c r="BZ23"/>
  <c r="CA23"/>
  <c r="BZ24"/>
  <c r="BZ25"/>
  <c r="CA25"/>
  <c r="BZ26"/>
  <c r="BZ27"/>
  <c r="CA27"/>
  <c r="BZ28"/>
  <c r="BZ29"/>
  <c r="CA29"/>
  <c r="BZ30"/>
  <c r="BZ31"/>
  <c r="CA31"/>
  <c r="BZ32"/>
  <c r="BZ33"/>
  <c r="CA33"/>
  <c r="BZ34"/>
  <c r="BZ35"/>
  <c r="CA35"/>
  <c r="BZ15"/>
  <c r="BZ18"/>
  <c r="BZ16"/>
  <c r="BZ17"/>
  <c r="CA17"/>
  <c r="BZ6"/>
  <c r="CA6"/>
  <c r="BZ7"/>
  <c r="BZ8"/>
  <c r="CA8"/>
  <c r="BZ9"/>
  <c r="BZ10"/>
  <c r="CA10"/>
  <c r="BZ11"/>
  <c r="BZ12"/>
  <c r="CA12"/>
  <c r="BZ13"/>
  <c r="BZ14"/>
  <c r="BI10" i="14"/>
  <c r="CA19" i="15"/>
  <c r="CA22"/>
  <c r="CA24"/>
  <c r="CA26"/>
  <c r="CA28"/>
  <c r="CA30"/>
  <c r="CA32"/>
  <c r="CA34"/>
  <c r="CA16"/>
  <c r="CA7"/>
  <c r="CA9"/>
  <c r="CA11"/>
  <c r="CA13"/>
  <c r="BY9" i="14"/>
  <c r="BX9"/>
  <c r="BZ9"/>
  <c r="BY8"/>
  <c r="BX8"/>
  <c r="BZ8"/>
  <c r="BY7"/>
  <c r="BX7"/>
  <c r="BZ7"/>
  <c r="BY6"/>
  <c r="CB26" i="3"/>
  <c r="CB25"/>
  <c r="CB24"/>
  <c r="CB23"/>
  <c r="CB22"/>
  <c r="CB21"/>
  <c r="CB20"/>
  <c r="CB19"/>
  <c r="CB18"/>
  <c r="CB17"/>
  <c r="CB16"/>
  <c r="CB15"/>
  <c r="CB14"/>
  <c r="CB13"/>
  <c r="CB12"/>
  <c r="CB11"/>
  <c r="CB10"/>
  <c r="CB9"/>
  <c r="CB8"/>
  <c r="CB7"/>
  <c r="CB6"/>
  <c r="BZ13" i="16"/>
  <c r="BY13"/>
  <c r="CA13"/>
  <c r="BZ12"/>
  <c r="BY12"/>
  <c r="CA12"/>
  <c r="BZ11"/>
  <c r="BY11"/>
  <c r="CA11"/>
  <c r="BZ10"/>
  <c r="BY10"/>
  <c r="CA10"/>
  <c r="BZ9"/>
  <c r="BY9"/>
  <c r="CA9"/>
  <c r="BZ8"/>
  <c r="BY8"/>
  <c r="CA8"/>
  <c r="BZ7"/>
  <c r="BY7"/>
  <c r="CA7"/>
  <c r="BZ6"/>
  <c r="BY6"/>
  <c r="BI26" i="3"/>
  <c r="BH26"/>
  <c r="BB26"/>
  <c r="BA26"/>
  <c r="AZ26"/>
  <c r="AY26"/>
  <c r="AX26"/>
  <c r="AV26"/>
  <c r="X26"/>
  <c r="W26"/>
  <c r="V26"/>
  <c r="AI34" i="15"/>
  <c r="AX34"/>
  <c r="Z34"/>
  <c r="X34"/>
  <c r="AX10" i="14"/>
  <c r="BB10"/>
  <c r="BI36" i="15"/>
  <c r="BI37"/>
  <c r="BI18"/>
  <c r="BI14"/>
  <c r="BJ36"/>
  <c r="BJ18"/>
  <c r="BJ14"/>
  <c r="BJ37"/>
  <c r="AX25" i="3"/>
  <c r="AX24"/>
  <c r="AX23"/>
  <c r="AX22"/>
  <c r="AX21"/>
  <c r="AX20"/>
  <c r="AX19"/>
  <c r="AX18"/>
  <c r="AX17"/>
  <c r="AX16"/>
  <c r="AX15"/>
  <c r="AX14"/>
  <c r="AX13"/>
  <c r="AX12"/>
  <c r="AX11"/>
  <c r="AX10"/>
  <c r="AX9"/>
  <c r="AX8"/>
  <c r="AX7"/>
  <c r="AX6"/>
  <c r="AE1"/>
  <c r="AV6"/>
  <c r="F36" i="15"/>
  <c r="F37"/>
  <c r="W36"/>
  <c r="W18"/>
  <c r="W37"/>
  <c r="AU74"/>
  <c r="AU70"/>
  <c r="AU69"/>
  <c r="AU68"/>
  <c r="AU67"/>
  <c r="AU66"/>
  <c r="AU65"/>
  <c r="AU64"/>
  <c r="AU63"/>
  <c r="AU62"/>
  <c r="AU61"/>
  <c r="AU60"/>
  <c r="AU58"/>
  <c r="AE136"/>
  <c r="AE157"/>
  <c r="AF136"/>
  <c r="AF157"/>
  <c r="AX156"/>
  <c r="AZ153"/>
  <c r="AX153"/>
  <c r="AZ151"/>
  <c r="AX151"/>
  <c r="AZ150"/>
  <c r="AX150"/>
  <c r="AZ149"/>
  <c r="AX149"/>
  <c r="AZ148"/>
  <c r="AX148"/>
  <c r="AZ147"/>
  <c r="AX147"/>
  <c r="AZ146"/>
  <c r="AX146"/>
  <c r="AZ145"/>
  <c r="AX145"/>
  <c r="AZ144"/>
  <c r="AX144"/>
  <c r="AZ143"/>
  <c r="AX143"/>
  <c r="AZ142"/>
  <c r="AX142"/>
  <c r="AZ141"/>
  <c r="AX141"/>
  <c r="AZ140"/>
  <c r="AX140"/>
  <c r="AZ139"/>
  <c r="AX139"/>
  <c r="AZ138"/>
  <c r="AX138"/>
  <c r="AZ137"/>
  <c r="AX137"/>
  <c r="AX136"/>
  <c r="AZ135"/>
  <c r="AX135"/>
  <c r="AZ134"/>
  <c r="AX134"/>
  <c r="AZ133"/>
  <c r="AX133"/>
  <c r="AZ131"/>
  <c r="AX131"/>
  <c r="AZ130"/>
  <c r="AX130"/>
  <c r="AZ129"/>
  <c r="AX129"/>
  <c r="AZ128"/>
  <c r="AX128"/>
  <c r="AZ127"/>
  <c r="AX127"/>
  <c r="AZ126"/>
  <c r="AX126"/>
  <c r="AZ125"/>
  <c r="AX125"/>
  <c r="AZ124"/>
  <c r="AX124"/>
  <c r="AZ116"/>
  <c r="AX116"/>
  <c r="AZ113"/>
  <c r="AX113"/>
  <c r="AZ111"/>
  <c r="AX111"/>
  <c r="AZ110"/>
  <c r="AX110"/>
  <c r="AZ109"/>
  <c r="AX109"/>
  <c r="AZ108"/>
  <c r="AX108"/>
  <c r="AZ107"/>
  <c r="AX107"/>
  <c r="AZ106"/>
  <c r="AX106"/>
  <c r="AZ105"/>
  <c r="AX105"/>
  <c r="AZ104"/>
  <c r="AX104"/>
  <c r="AZ103"/>
  <c r="AX103"/>
  <c r="AZ102"/>
  <c r="AX102"/>
  <c r="AZ101"/>
  <c r="AX101"/>
  <c r="AZ100"/>
  <c r="AX100"/>
  <c r="AZ99"/>
  <c r="AX99"/>
  <c r="AZ98"/>
  <c r="AX98"/>
  <c r="AZ97"/>
  <c r="AX97"/>
  <c r="AZ96"/>
  <c r="AX96"/>
  <c r="AZ95"/>
  <c r="AX95"/>
  <c r="AZ94"/>
  <c r="AX94"/>
  <c r="AZ93"/>
  <c r="AX93"/>
  <c r="AZ92"/>
  <c r="AX92"/>
  <c r="AZ91"/>
  <c r="AX91"/>
  <c r="AZ90"/>
  <c r="AX90"/>
  <c r="AZ89"/>
  <c r="AX89"/>
  <c r="AZ88"/>
  <c r="AX88"/>
  <c r="AZ87"/>
  <c r="AX87"/>
  <c r="AZ86"/>
  <c r="AX86"/>
  <c r="AZ85"/>
  <c r="AX85"/>
  <c r="AZ84"/>
  <c r="AX84"/>
  <c r="AI75"/>
  <c r="AX75"/>
  <c r="AI74"/>
  <c r="AX74"/>
  <c r="AI72"/>
  <c r="AX72"/>
  <c r="AI71"/>
  <c r="AX71"/>
  <c r="AI70"/>
  <c r="AX70"/>
  <c r="AI69"/>
  <c r="AX69"/>
  <c r="AI68"/>
  <c r="AX68"/>
  <c r="AI67"/>
  <c r="AX67"/>
  <c r="AI66"/>
  <c r="AX66"/>
  <c r="AI65"/>
  <c r="AX65"/>
  <c r="AI64"/>
  <c r="AX64"/>
  <c r="AI63"/>
  <c r="AX63"/>
  <c r="AI62"/>
  <c r="AX62"/>
  <c r="AI61"/>
  <c r="AX61"/>
  <c r="AI60"/>
  <c r="AX60"/>
  <c r="AI58"/>
  <c r="AX58"/>
  <c r="AI57"/>
  <c r="AX57"/>
  <c r="AI56"/>
  <c r="AX56"/>
  <c r="AI55"/>
  <c r="AX55"/>
  <c r="AI54"/>
  <c r="AX54"/>
  <c r="AI53"/>
  <c r="AX53"/>
  <c r="AI52"/>
  <c r="AX52"/>
  <c r="AI51"/>
  <c r="AX51"/>
  <c r="AI50"/>
  <c r="AX50"/>
  <c r="AI49"/>
  <c r="AX49"/>
  <c r="AI48"/>
  <c r="AX48"/>
  <c r="AI47"/>
  <c r="AX47"/>
  <c r="AI46"/>
  <c r="AX46"/>
  <c r="AI45"/>
  <c r="AX45"/>
  <c r="AX35"/>
  <c r="AX33"/>
  <c r="AX32"/>
  <c r="AX31"/>
  <c r="AX30"/>
  <c r="AI29"/>
  <c r="AX29"/>
  <c r="AI28"/>
  <c r="AX28"/>
  <c r="AI27"/>
  <c r="AX27"/>
  <c r="AI26"/>
  <c r="AX26"/>
  <c r="AI25"/>
  <c r="AX25"/>
  <c r="AI24"/>
  <c r="AX24"/>
  <c r="AI23"/>
  <c r="AX23"/>
  <c r="AI22"/>
  <c r="AX22"/>
  <c r="AI21"/>
  <c r="AX21"/>
  <c r="AI19"/>
  <c r="AX19"/>
  <c r="AI18"/>
  <c r="AX18"/>
  <c r="AI17"/>
  <c r="AX17"/>
  <c r="AI16"/>
  <c r="AX16"/>
  <c r="AI15"/>
  <c r="AX15"/>
  <c r="AI14"/>
  <c r="AX14"/>
  <c r="AI13"/>
  <c r="AX13"/>
  <c r="AI12"/>
  <c r="AX12"/>
  <c r="AI11"/>
  <c r="AX11"/>
  <c r="AI10"/>
  <c r="AX10"/>
  <c r="AI9"/>
  <c r="AX9"/>
  <c r="AI8"/>
  <c r="AX8"/>
  <c r="AI7"/>
  <c r="AX7"/>
  <c r="AI6"/>
  <c r="AX6"/>
  <c r="AZ75"/>
  <c r="AZ74"/>
  <c r="AZ72"/>
  <c r="AZ71"/>
  <c r="AZ70"/>
  <c r="AZ69"/>
  <c r="AZ68"/>
  <c r="AZ67"/>
  <c r="AZ66"/>
  <c r="AZ65"/>
  <c r="AZ64"/>
  <c r="AZ63"/>
  <c r="AZ62"/>
  <c r="AZ61"/>
  <c r="AZ60"/>
  <c r="AZ58"/>
  <c r="AZ56"/>
  <c r="AZ55"/>
  <c r="AZ54"/>
  <c r="AZ52"/>
  <c r="AZ51"/>
  <c r="AZ50"/>
  <c r="AZ49"/>
  <c r="AZ48"/>
  <c r="AZ47"/>
  <c r="AZ46"/>
  <c r="AZ45"/>
  <c r="AZ36"/>
  <c r="AZ35"/>
  <c r="AZ33"/>
  <c r="AZ32"/>
  <c r="AZ31"/>
  <c r="AZ30"/>
  <c r="AZ29"/>
  <c r="AZ28"/>
  <c r="AZ27"/>
  <c r="AZ26"/>
  <c r="AZ25"/>
  <c r="AZ24"/>
  <c r="AZ23"/>
  <c r="AZ22"/>
  <c r="AZ19"/>
  <c r="AZ18"/>
  <c r="E17"/>
  <c r="AZ17"/>
  <c r="E16"/>
  <c r="AZ16"/>
  <c r="E15"/>
  <c r="AZ15"/>
  <c r="AZ14"/>
  <c r="E13"/>
  <c r="AZ13"/>
  <c r="E12"/>
  <c r="AZ12"/>
  <c r="E11"/>
  <c r="AZ11"/>
  <c r="E10"/>
  <c r="AZ10"/>
  <c r="E9"/>
  <c r="AZ9"/>
  <c r="E8"/>
  <c r="AZ8"/>
  <c r="E7"/>
  <c r="E6"/>
  <c r="AZ6"/>
  <c r="AN136"/>
  <c r="AN157"/>
  <c r="AO136"/>
  <c r="AO157"/>
  <c r="AR75"/>
  <c r="AR74"/>
  <c r="AR72"/>
  <c r="AR71"/>
  <c r="AR70"/>
  <c r="AR69"/>
  <c r="AR68"/>
  <c r="AR67"/>
  <c r="AR66"/>
  <c r="AR65"/>
  <c r="AR64"/>
  <c r="AR62"/>
  <c r="AR61"/>
  <c r="AR60"/>
  <c r="AR58"/>
  <c r="AR57"/>
  <c r="AR56"/>
  <c r="AR55"/>
  <c r="AR54"/>
  <c r="AR53"/>
  <c r="AR52"/>
  <c r="AR51"/>
  <c r="AR50"/>
  <c r="AR49"/>
  <c r="AR48"/>
  <c r="AR47"/>
  <c r="AR46"/>
  <c r="AR45"/>
  <c r="AR18"/>
  <c r="AR17"/>
  <c r="AR16"/>
  <c r="AR15"/>
  <c r="M8" i="16"/>
  <c r="I8"/>
  <c r="AG6"/>
  <c r="AH6"/>
  <c r="AG7"/>
  <c r="AH7"/>
  <c r="AG12"/>
  <c r="AH12"/>
  <c r="AG8"/>
  <c r="AH8"/>
  <c r="AG9"/>
  <c r="AH9"/>
  <c r="AG10"/>
  <c r="AH10"/>
  <c r="AG11"/>
  <c r="AH11"/>
  <c r="AG13"/>
  <c r="AH13"/>
  <c r="D2" i="14"/>
  <c r="E1"/>
  <c r="D1"/>
  <c r="E2"/>
  <c r="F2"/>
  <c r="F10"/>
  <c r="E2" i="15"/>
  <c r="E1"/>
  <c r="E40"/>
  <c r="D41"/>
  <c r="F40"/>
  <c r="E12" i="14"/>
  <c r="AN62" i="16"/>
  <c r="AL62"/>
  <c r="AJ62"/>
  <c r="AE62"/>
  <c r="AC62"/>
  <c r="AA62"/>
  <c r="AO62"/>
  <c r="AM62"/>
  <c r="AK62"/>
  <c r="AF62"/>
  <c r="AD62"/>
  <c r="AB62"/>
  <c r="AX61"/>
  <c r="AR61"/>
  <c r="Z61"/>
  <c r="BC60"/>
  <c r="AG60"/>
  <c r="AH60"/>
  <c r="AI60"/>
  <c r="AR60"/>
  <c r="Z60"/>
  <c r="W60"/>
  <c r="AW59"/>
  <c r="BD59"/>
  <c r="BB59"/>
  <c r="BA59"/>
  <c r="AX59"/>
  <c r="AR59"/>
  <c r="Z59"/>
  <c r="W59"/>
  <c r="AW58"/>
  <c r="BD58"/>
  <c r="BC58"/>
  <c r="BA58"/>
  <c r="AX58"/>
  <c r="AR58"/>
  <c r="Z58"/>
  <c r="W58"/>
  <c r="AW57"/>
  <c r="BD57"/>
  <c r="BC57"/>
  <c r="BA57"/>
  <c r="AX57"/>
  <c r="AR57"/>
  <c r="Z57"/>
  <c r="W57"/>
  <c r="AW56"/>
  <c r="BD56"/>
  <c r="BC56"/>
  <c r="BA56"/>
  <c r="AX56"/>
  <c r="AR56"/>
  <c r="Z56"/>
  <c r="W56"/>
  <c r="AW55"/>
  <c r="BD55"/>
  <c r="BC55"/>
  <c r="BA55"/>
  <c r="AX55"/>
  <c r="AR55"/>
  <c r="Z55"/>
  <c r="W55"/>
  <c r="AW54"/>
  <c r="BD54"/>
  <c r="BC54"/>
  <c r="BA54"/>
  <c r="AX54"/>
  <c r="AR54"/>
  <c r="Z54"/>
  <c r="W54"/>
  <c r="AN46"/>
  <c r="AL46"/>
  <c r="AJ46"/>
  <c r="AE46"/>
  <c r="AC46"/>
  <c r="AA46"/>
  <c r="AO46"/>
  <c r="AM46"/>
  <c r="AK46"/>
  <c r="AF46"/>
  <c r="AD46"/>
  <c r="AB46"/>
  <c r="AW45"/>
  <c r="BD45"/>
  <c r="BC45"/>
  <c r="M45"/>
  <c r="S45"/>
  <c r="BA45"/>
  <c r="AX45"/>
  <c r="AR45"/>
  <c r="Z45"/>
  <c r="W45"/>
  <c r="M44"/>
  <c r="P44"/>
  <c r="S44"/>
  <c r="AG44"/>
  <c r="AH44"/>
  <c r="AI44"/>
  <c r="AX44"/>
  <c r="AR44"/>
  <c r="Z44"/>
  <c r="W44"/>
  <c r="BC43"/>
  <c r="M43"/>
  <c r="P43"/>
  <c r="S43"/>
  <c r="AX43"/>
  <c r="AP43"/>
  <c r="AR43"/>
  <c r="Z43"/>
  <c r="W43"/>
  <c r="AW42"/>
  <c r="BD42"/>
  <c r="BC42"/>
  <c r="M42"/>
  <c r="P42"/>
  <c r="S42"/>
  <c r="BA42"/>
  <c r="AX42"/>
  <c r="AR42"/>
  <c r="Z42"/>
  <c r="W42"/>
  <c r="AW41"/>
  <c r="BD41"/>
  <c r="BC41"/>
  <c r="M41"/>
  <c r="P41"/>
  <c r="S41"/>
  <c r="BB41"/>
  <c r="AX41"/>
  <c r="AR41"/>
  <c r="Z41"/>
  <c r="W41"/>
  <c r="AW40"/>
  <c r="BD40"/>
  <c r="BC40"/>
  <c r="M40"/>
  <c r="P40"/>
  <c r="S40"/>
  <c r="BA40"/>
  <c r="AZ40"/>
  <c r="AX40"/>
  <c r="AR40"/>
  <c r="Z40"/>
  <c r="W40"/>
  <c r="AW39"/>
  <c r="BD39"/>
  <c r="BC39"/>
  <c r="M39"/>
  <c r="P39"/>
  <c r="S39"/>
  <c r="BB39"/>
  <c r="AZ39"/>
  <c r="AX39"/>
  <c r="AR39"/>
  <c r="Z39"/>
  <c r="W39"/>
  <c r="AS38"/>
  <c r="AT38"/>
  <c r="AW38"/>
  <c r="BC38"/>
  <c r="P38"/>
  <c r="S38"/>
  <c r="AX38"/>
  <c r="AR38"/>
  <c r="Z38"/>
  <c r="W38"/>
  <c r="AL30"/>
  <c r="AJ30"/>
  <c r="AC30"/>
  <c r="AA30"/>
  <c r="AM30"/>
  <c r="AK30"/>
  <c r="AD30"/>
  <c r="AB30"/>
  <c r="M30"/>
  <c r="P30"/>
  <c r="S30"/>
  <c r="AH30"/>
  <c r="AQ30"/>
  <c r="AS29"/>
  <c r="AT29"/>
  <c r="AW29"/>
  <c r="BD29"/>
  <c r="I29"/>
  <c r="M29"/>
  <c r="BB29"/>
  <c r="P29"/>
  <c r="S29"/>
  <c r="BA29"/>
  <c r="AG29"/>
  <c r="AH29"/>
  <c r="AI29"/>
  <c r="AP29"/>
  <c r="AQ29"/>
  <c r="AR29"/>
  <c r="W29"/>
  <c r="AS28"/>
  <c r="AT28"/>
  <c r="AW28"/>
  <c r="I28"/>
  <c r="BC28"/>
  <c r="M28"/>
  <c r="P28"/>
  <c r="S28"/>
  <c r="AG28"/>
  <c r="AH28"/>
  <c r="AI28"/>
  <c r="AX28"/>
  <c r="AP28"/>
  <c r="AQ28"/>
  <c r="AR28"/>
  <c r="Z28"/>
  <c r="W28"/>
  <c r="AS27"/>
  <c r="AT27"/>
  <c r="AW27"/>
  <c r="BD27"/>
  <c r="I27"/>
  <c r="M27"/>
  <c r="BB27"/>
  <c r="P27"/>
  <c r="S27"/>
  <c r="BA27"/>
  <c r="AG27"/>
  <c r="AH27"/>
  <c r="AI27"/>
  <c r="AP27"/>
  <c r="AQ27"/>
  <c r="AR27"/>
  <c r="W27"/>
  <c r="AS26"/>
  <c r="AT26"/>
  <c r="AW26"/>
  <c r="I26"/>
  <c r="BC26"/>
  <c r="M26"/>
  <c r="P26"/>
  <c r="S26"/>
  <c r="AG26"/>
  <c r="AH26"/>
  <c r="AI26"/>
  <c r="AX26"/>
  <c r="AP26"/>
  <c r="AQ26"/>
  <c r="AR26"/>
  <c r="Z26"/>
  <c r="W26"/>
  <c r="AS25"/>
  <c r="AT25"/>
  <c r="AW25"/>
  <c r="BD25"/>
  <c r="BC25"/>
  <c r="M25"/>
  <c r="P25"/>
  <c r="S25"/>
  <c r="BB25"/>
  <c r="AG25"/>
  <c r="AH25"/>
  <c r="AI25"/>
  <c r="AR25"/>
  <c r="Z25"/>
  <c r="W25"/>
  <c r="AS24"/>
  <c r="AT24"/>
  <c r="AW24"/>
  <c r="BD24"/>
  <c r="I24"/>
  <c r="BC24"/>
  <c r="M24"/>
  <c r="BB24"/>
  <c r="P24"/>
  <c r="S24"/>
  <c r="BA24"/>
  <c r="AG24"/>
  <c r="AH24"/>
  <c r="AI24"/>
  <c r="AP24"/>
  <c r="AQ24"/>
  <c r="AR24"/>
  <c r="W24"/>
  <c r="AS23"/>
  <c r="AT23"/>
  <c r="AW23"/>
  <c r="I23"/>
  <c r="BC23"/>
  <c r="M23"/>
  <c r="P23"/>
  <c r="S23"/>
  <c r="AG23"/>
  <c r="AH23"/>
  <c r="AI23"/>
  <c r="AP23"/>
  <c r="AQ23"/>
  <c r="AR23"/>
  <c r="Z23"/>
  <c r="W23"/>
  <c r="AG22"/>
  <c r="AP22"/>
  <c r="AS22"/>
  <c r="AH22"/>
  <c r="AQ22"/>
  <c r="AT22"/>
  <c r="AW22"/>
  <c r="I22"/>
  <c r="Z22"/>
  <c r="M22"/>
  <c r="BB22"/>
  <c r="P22"/>
  <c r="S22"/>
  <c r="AI22"/>
  <c r="AR22"/>
  <c r="AQ6"/>
  <c r="AP6"/>
  <c r="AS6"/>
  <c r="CA111" i="15"/>
  <c r="CA110"/>
  <c r="CA109"/>
  <c r="CA108"/>
  <c r="F62" i="16"/>
  <c r="E57"/>
  <c r="E58"/>
  <c r="E59"/>
  <c r="AZ59"/>
  <c r="E60"/>
  <c r="E61"/>
  <c r="AZ61"/>
  <c r="E62"/>
  <c r="D62"/>
  <c r="BC62"/>
  <c r="F46"/>
  <c r="W46"/>
  <c r="E41"/>
  <c r="AZ41"/>
  <c r="E42"/>
  <c r="AZ42"/>
  <c r="E43"/>
  <c r="E44"/>
  <c r="E45"/>
  <c r="E46"/>
  <c r="D46"/>
  <c r="F30"/>
  <c r="W30"/>
  <c r="E25"/>
  <c r="AZ25"/>
  <c r="E26"/>
  <c r="E27"/>
  <c r="E28"/>
  <c r="E29"/>
  <c r="E30"/>
  <c r="D30"/>
  <c r="Z30"/>
  <c r="AX9" i="14"/>
  <c r="AX8"/>
  <c r="AX7"/>
  <c r="AX6"/>
  <c r="W46"/>
  <c r="W45"/>
  <c r="W44"/>
  <c r="W43"/>
  <c r="W42"/>
  <c r="W33"/>
  <c r="W32"/>
  <c r="W31"/>
  <c r="W30"/>
  <c r="W10"/>
  <c r="W9"/>
  <c r="W8"/>
  <c r="W7"/>
  <c r="W6"/>
  <c r="E13" i="16"/>
  <c r="E12"/>
  <c r="E11"/>
  <c r="E10"/>
  <c r="E9"/>
  <c r="E14"/>
  <c r="I6"/>
  <c r="W21" i="14"/>
  <c r="W20"/>
  <c r="W19"/>
  <c r="W18"/>
  <c r="X36" i="15"/>
  <c r="X35"/>
  <c r="X33"/>
  <c r="X32"/>
  <c r="X31"/>
  <c r="X30"/>
  <c r="X29"/>
  <c r="X28"/>
  <c r="X27"/>
  <c r="X26"/>
  <c r="X25"/>
  <c r="X24"/>
  <c r="X23"/>
  <c r="X22"/>
  <c r="X21"/>
  <c r="X19"/>
  <c r="X18"/>
  <c r="X17"/>
  <c r="X16"/>
  <c r="X15"/>
  <c r="X14"/>
  <c r="X13"/>
  <c r="X12"/>
  <c r="X11"/>
  <c r="X10"/>
  <c r="X9"/>
  <c r="X8"/>
  <c r="X7"/>
  <c r="X6"/>
  <c r="I13" i="16"/>
  <c r="W13"/>
  <c r="I12"/>
  <c r="W12"/>
  <c r="I11"/>
  <c r="W11"/>
  <c r="I10"/>
  <c r="W10"/>
  <c r="I9"/>
  <c r="W9"/>
  <c r="W8"/>
  <c r="I7"/>
  <c r="W7"/>
  <c r="W6"/>
  <c r="BY27"/>
  <c r="BZ27"/>
  <c r="CA27"/>
  <c r="BZ43"/>
  <c r="BY43"/>
  <c r="CA43"/>
  <c r="BZ59"/>
  <c r="BY59"/>
  <c r="CA59"/>
  <c r="M11"/>
  <c r="P11"/>
  <c r="AP11"/>
  <c r="AQ11"/>
  <c r="AR11"/>
  <c r="AI11"/>
  <c r="BY20" i="14"/>
  <c r="BX20"/>
  <c r="BZ20"/>
  <c r="BB65" i="3"/>
  <c r="BA65"/>
  <c r="AZ65"/>
  <c r="AY65"/>
  <c r="X65"/>
  <c r="CA107" i="15"/>
  <c r="AA14" i="16"/>
  <c r="AC14"/>
  <c r="AB14"/>
  <c r="AD14"/>
  <c r="AI13"/>
  <c r="AX13"/>
  <c r="AI12"/>
  <c r="AX12"/>
  <c r="AX11"/>
  <c r="AI10"/>
  <c r="AX10"/>
  <c r="AI9"/>
  <c r="AX9"/>
  <c r="AI8"/>
  <c r="AX8"/>
  <c r="AI7"/>
  <c r="AX7"/>
  <c r="AI6"/>
  <c r="AI14"/>
  <c r="AP13"/>
  <c r="AQ13"/>
  <c r="AR13"/>
  <c r="AP12"/>
  <c r="AQ12"/>
  <c r="AR12"/>
  <c r="AP10"/>
  <c r="AQ10"/>
  <c r="AR10"/>
  <c r="AP9"/>
  <c r="AQ9"/>
  <c r="AR9"/>
  <c r="AP8"/>
  <c r="AQ8"/>
  <c r="AR8"/>
  <c r="AP7"/>
  <c r="AQ7"/>
  <c r="AR7"/>
  <c r="AR6"/>
  <c r="AV25" i="3"/>
  <c r="AV24"/>
  <c r="AV23"/>
  <c r="AV22"/>
  <c r="AV21"/>
  <c r="AV20"/>
  <c r="AV19"/>
  <c r="AV18"/>
  <c r="AV17"/>
  <c r="AV16"/>
  <c r="AV15"/>
  <c r="AV14"/>
  <c r="AV13"/>
  <c r="AV12"/>
  <c r="AV11"/>
  <c r="AV10"/>
  <c r="AV9"/>
  <c r="AV8"/>
  <c r="AV7"/>
  <c r="F16" i="16"/>
  <c r="D14"/>
  <c r="D17"/>
  <c r="W27" i="3"/>
  <c r="W25"/>
  <c r="W24"/>
  <c r="W23"/>
  <c r="W22"/>
  <c r="W21"/>
  <c r="W20"/>
  <c r="W19"/>
  <c r="W18"/>
  <c r="W17"/>
  <c r="W16"/>
  <c r="W15"/>
  <c r="W14"/>
  <c r="W13"/>
  <c r="W12"/>
  <c r="W11"/>
  <c r="W10"/>
  <c r="W9"/>
  <c r="W8"/>
  <c r="W7"/>
  <c r="W6"/>
  <c r="AM136" i="15"/>
  <c r="AM157"/>
  <c r="AK136"/>
  <c r="AK157"/>
  <c r="AD136"/>
  <c r="AD157"/>
  <c r="AB136"/>
  <c r="AB157"/>
  <c r="V157"/>
  <c r="AL136"/>
  <c r="AL157"/>
  <c r="AJ136"/>
  <c r="AJ157"/>
  <c r="AC136"/>
  <c r="AC157"/>
  <c r="AA136"/>
  <c r="AA157"/>
  <c r="U157"/>
  <c r="BX14" i="16"/>
  <c r="BV14"/>
  <c r="BT14"/>
  <c r="BR14"/>
  <c r="BP14"/>
  <c r="BN14"/>
  <c r="BL14"/>
  <c r="BJ14"/>
  <c r="BW14"/>
  <c r="BU14"/>
  <c r="BS14"/>
  <c r="BQ14"/>
  <c r="BO14"/>
  <c r="BM14"/>
  <c r="BK14"/>
  <c r="BI14"/>
  <c r="BI27" i="3"/>
  <c r="BC157" i="15"/>
  <c r="Z124"/>
  <c r="Z125"/>
  <c r="Z132"/>
  <c r="Z126"/>
  <c r="Z127"/>
  <c r="Z128"/>
  <c r="Z129"/>
  <c r="Z130"/>
  <c r="Z131"/>
  <c r="Z156"/>
  <c r="Z157"/>
  <c r="Z133"/>
  <c r="Z134"/>
  <c r="Z135"/>
  <c r="Z136"/>
  <c r="X10" i="14"/>
  <c r="V27" i="3"/>
  <c r="CA110"/>
  <c r="BZ110"/>
  <c r="CB110"/>
  <c r="CA109"/>
  <c r="BZ109"/>
  <c r="CB109"/>
  <c r="CA108"/>
  <c r="BZ108"/>
  <c r="CB108"/>
  <c r="CA107"/>
  <c r="BZ107"/>
  <c r="CB107"/>
  <c r="CA106"/>
  <c r="BZ106"/>
  <c r="CB106"/>
  <c r="CA105"/>
  <c r="BZ105"/>
  <c r="CB105"/>
  <c r="CA104"/>
  <c r="BZ104"/>
  <c r="CB104"/>
  <c r="CA103"/>
  <c r="BZ103"/>
  <c r="CB103"/>
  <c r="CA102"/>
  <c r="BZ102"/>
  <c r="CB102"/>
  <c r="CA101"/>
  <c r="BZ101"/>
  <c r="CB101"/>
  <c r="CA100"/>
  <c r="BZ100"/>
  <c r="CB100"/>
  <c r="CA99"/>
  <c r="BZ99"/>
  <c r="CB99"/>
  <c r="CA98"/>
  <c r="BZ98"/>
  <c r="CB98"/>
  <c r="CA97"/>
  <c r="BZ97"/>
  <c r="CB97"/>
  <c r="CA96"/>
  <c r="BZ96"/>
  <c r="CB96"/>
  <c r="CA95"/>
  <c r="BZ95"/>
  <c r="CB95"/>
  <c r="CA94"/>
  <c r="BZ94"/>
  <c r="CB94"/>
  <c r="CA93"/>
  <c r="CA113"/>
  <c r="BZ93"/>
  <c r="CB93"/>
  <c r="BI113"/>
  <c r="E94"/>
  <c r="E95"/>
  <c r="E96"/>
  <c r="E98"/>
  <c r="BA98"/>
  <c r="E100"/>
  <c r="E102"/>
  <c r="BA102"/>
  <c r="E104"/>
  <c r="E105"/>
  <c r="E106"/>
  <c r="E107"/>
  <c r="E108"/>
  <c r="E109"/>
  <c r="E110"/>
  <c r="BI85"/>
  <c r="BB84"/>
  <c r="BA84"/>
  <c r="AZ84"/>
  <c r="AY84"/>
  <c r="X84"/>
  <c r="V84"/>
  <c r="X55"/>
  <c r="V82"/>
  <c r="V81"/>
  <c r="V80"/>
  <c r="V79"/>
  <c r="V78"/>
  <c r="V77"/>
  <c r="V76"/>
  <c r="V75"/>
  <c r="V74"/>
  <c r="V73"/>
  <c r="V72"/>
  <c r="V71"/>
  <c r="V70"/>
  <c r="V69"/>
  <c r="V68"/>
  <c r="V67"/>
  <c r="V66"/>
  <c r="V64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BY21" i="14"/>
  <c r="BX21"/>
  <c r="BZ21"/>
  <c r="BY19"/>
  <c r="BX19"/>
  <c r="BZ19"/>
  <c r="BX6"/>
  <c r="BZ6"/>
  <c r="BY18"/>
  <c r="BX18"/>
  <c r="BZ18"/>
  <c r="X46"/>
  <c r="X45"/>
  <c r="X44"/>
  <c r="X43"/>
  <c r="X42"/>
  <c r="X33"/>
  <c r="X32"/>
  <c r="X31"/>
  <c r="X30"/>
  <c r="X21"/>
  <c r="X20"/>
  <c r="X19"/>
  <c r="X18"/>
  <c r="BB9"/>
  <c r="BA9"/>
  <c r="AZ9"/>
  <c r="AY9"/>
  <c r="X9"/>
  <c r="BB8"/>
  <c r="BA8"/>
  <c r="AZ8"/>
  <c r="AY8"/>
  <c r="X8"/>
  <c r="BB7"/>
  <c r="BA7"/>
  <c r="AZ7"/>
  <c r="AY7"/>
  <c r="X7"/>
  <c r="BB6"/>
  <c r="BA6"/>
  <c r="AZ6"/>
  <c r="AY6"/>
  <c r="X6"/>
  <c r="CA113" i="15"/>
  <c r="CA106"/>
  <c r="CA105"/>
  <c r="CA104"/>
  <c r="CA103"/>
  <c r="CA102"/>
  <c r="CA101"/>
  <c r="CA100"/>
  <c r="CA99"/>
  <c r="CA98"/>
  <c r="CA97"/>
  <c r="CA93"/>
  <c r="CA94"/>
  <c r="CA95"/>
  <c r="CA84"/>
  <c r="CA85"/>
  <c r="CA86"/>
  <c r="CA87"/>
  <c r="CA88"/>
  <c r="CA89"/>
  <c r="CA90"/>
  <c r="CA91"/>
  <c r="BJ156"/>
  <c r="BJ136"/>
  <c r="BJ132"/>
  <c r="BJ157"/>
  <c r="BI156"/>
  <c r="BI157"/>
  <c r="BI136"/>
  <c r="BI132"/>
  <c r="BJ62" i="16"/>
  <c r="BZ62"/>
  <c r="BI62"/>
  <c r="BY62"/>
  <c r="BJ46"/>
  <c r="BI46"/>
  <c r="BZ61"/>
  <c r="BY61"/>
  <c r="CA61"/>
  <c r="BZ45"/>
  <c r="BY45"/>
  <c r="CA45"/>
  <c r="BZ29"/>
  <c r="BY29"/>
  <c r="CA29"/>
  <c r="BZ60"/>
  <c r="BY60"/>
  <c r="CA60"/>
  <c r="BZ44"/>
  <c r="BY44"/>
  <c r="CA44"/>
  <c r="BZ28"/>
  <c r="BY28"/>
  <c r="CA28"/>
  <c r="BZ58"/>
  <c r="BY58"/>
  <c r="CA58"/>
  <c r="BZ42"/>
  <c r="BY42"/>
  <c r="CA42"/>
  <c r="BZ26"/>
  <c r="BY26"/>
  <c r="CA26"/>
  <c r="BZ57"/>
  <c r="BY57"/>
  <c r="CA57"/>
  <c r="BZ41"/>
  <c r="BY41"/>
  <c r="CA41"/>
  <c r="BZ25"/>
  <c r="BY25"/>
  <c r="CA25"/>
  <c r="BZ56"/>
  <c r="BY56"/>
  <c r="CA56"/>
  <c r="BZ40"/>
  <c r="BY40"/>
  <c r="CA40"/>
  <c r="BZ24"/>
  <c r="BY24"/>
  <c r="CA24"/>
  <c r="BZ55"/>
  <c r="BY55"/>
  <c r="CA55"/>
  <c r="BZ39"/>
  <c r="BY39"/>
  <c r="CA39"/>
  <c r="BZ23"/>
  <c r="BY23"/>
  <c r="CA23"/>
  <c r="BZ54"/>
  <c r="BY54"/>
  <c r="CA54"/>
  <c r="BZ38"/>
  <c r="BY38"/>
  <c r="CA38"/>
  <c r="CA6"/>
  <c r="S13"/>
  <c r="P13"/>
  <c r="M13"/>
  <c r="S12"/>
  <c r="S14"/>
  <c r="P12"/>
  <c r="S10"/>
  <c r="P10"/>
  <c r="M10"/>
  <c r="S9"/>
  <c r="P9"/>
  <c r="M9"/>
  <c r="P8"/>
  <c r="S7"/>
  <c r="P7"/>
  <c r="M7"/>
  <c r="S6"/>
  <c r="S8"/>
  <c r="P6"/>
  <c r="P14"/>
  <c r="M6"/>
  <c r="M14"/>
  <c r="W136" i="15"/>
  <c r="W132"/>
  <c r="W157"/>
  <c r="BC156"/>
  <c r="BD153"/>
  <c r="BC153"/>
  <c r="BB153"/>
  <c r="BA153"/>
  <c r="Z153"/>
  <c r="BD151"/>
  <c r="BC151"/>
  <c r="BB151"/>
  <c r="BA151"/>
  <c r="Z151"/>
  <c r="BD150"/>
  <c r="BC150"/>
  <c r="BB150"/>
  <c r="BA150"/>
  <c r="Z150"/>
  <c r="BD149"/>
  <c r="BC149"/>
  <c r="BB149"/>
  <c r="BA149"/>
  <c r="Z149"/>
  <c r="BD148"/>
  <c r="BC148"/>
  <c r="BB148"/>
  <c r="BA148"/>
  <c r="Z148"/>
  <c r="BD147"/>
  <c r="BC147"/>
  <c r="BB147"/>
  <c r="BA147"/>
  <c r="Z147"/>
  <c r="BD146"/>
  <c r="BC146"/>
  <c r="BB146"/>
  <c r="BA146"/>
  <c r="Z146"/>
  <c r="BD145"/>
  <c r="BC145"/>
  <c r="BB145"/>
  <c r="BA145"/>
  <c r="Z145"/>
  <c r="BD144"/>
  <c r="BC144"/>
  <c r="BB144"/>
  <c r="BA144"/>
  <c r="Z144"/>
  <c r="BD143"/>
  <c r="BC143"/>
  <c r="BB143"/>
  <c r="BA143"/>
  <c r="Z143"/>
  <c r="BD142"/>
  <c r="BC142"/>
  <c r="BB142"/>
  <c r="BA142"/>
  <c r="Z142"/>
  <c r="BD141"/>
  <c r="BC141"/>
  <c r="BB141"/>
  <c r="BA141"/>
  <c r="Z141"/>
  <c r="BD140"/>
  <c r="BC140"/>
  <c r="BB140"/>
  <c r="BA140"/>
  <c r="Z140"/>
  <c r="BD139"/>
  <c r="BC139"/>
  <c r="BB139"/>
  <c r="BA139"/>
  <c r="Z139"/>
  <c r="BD138"/>
  <c r="BC138"/>
  <c r="BB138"/>
  <c r="BA138"/>
  <c r="Z138"/>
  <c r="BD137"/>
  <c r="BC137"/>
  <c r="BB137"/>
  <c r="BA137"/>
  <c r="Z137"/>
  <c r="BF136"/>
  <c r="BD133"/>
  <c r="BD136"/>
  <c r="BD134"/>
  <c r="BD135"/>
  <c r="BC133"/>
  <c r="BC136"/>
  <c r="BC134"/>
  <c r="BC135"/>
  <c r="BB133"/>
  <c r="BB136"/>
  <c r="BB134"/>
  <c r="BB135"/>
  <c r="BA133"/>
  <c r="BA136"/>
  <c r="BA134"/>
  <c r="BA135"/>
  <c r="BF132"/>
  <c r="BD116"/>
  <c r="BC116"/>
  <c r="BB116"/>
  <c r="BA116"/>
  <c r="BD113"/>
  <c r="BC113"/>
  <c r="BB113"/>
  <c r="BA113"/>
  <c r="Z113"/>
  <c r="BD111"/>
  <c r="BC111"/>
  <c r="BB111"/>
  <c r="BA111"/>
  <c r="Z111"/>
  <c r="BD110"/>
  <c r="BC110"/>
  <c r="BB110"/>
  <c r="BA110"/>
  <c r="Z110"/>
  <c r="BD109"/>
  <c r="BC109"/>
  <c r="BB109"/>
  <c r="BA109"/>
  <c r="Z109"/>
  <c r="BD108"/>
  <c r="BC108"/>
  <c r="BB108"/>
  <c r="BA108"/>
  <c r="Z108"/>
  <c r="BD107"/>
  <c r="BC107"/>
  <c r="BB107"/>
  <c r="BA107"/>
  <c r="Z107"/>
  <c r="BD106"/>
  <c r="BC106"/>
  <c r="BB106"/>
  <c r="BA106"/>
  <c r="Z106"/>
  <c r="BD105"/>
  <c r="BC105"/>
  <c r="BB105"/>
  <c r="BA105"/>
  <c r="Z105"/>
  <c r="BD104"/>
  <c r="BC104"/>
  <c r="BB104"/>
  <c r="BA104"/>
  <c r="Z104"/>
  <c r="BD103"/>
  <c r="BC103"/>
  <c r="BB103"/>
  <c r="BA103"/>
  <c r="Z103"/>
  <c r="BD102"/>
  <c r="BC102"/>
  <c r="BB102"/>
  <c r="BA102"/>
  <c r="Z102"/>
  <c r="BD101"/>
  <c r="BC101"/>
  <c r="BB101"/>
  <c r="BA101"/>
  <c r="Z101"/>
  <c r="BD100"/>
  <c r="BC100"/>
  <c r="BB100"/>
  <c r="BA100"/>
  <c r="Z100"/>
  <c r="BD99"/>
  <c r="BC99"/>
  <c r="BB99"/>
  <c r="BA99"/>
  <c r="Z99"/>
  <c r="BD98"/>
  <c r="BC98"/>
  <c r="BB98"/>
  <c r="BA98"/>
  <c r="Z98"/>
  <c r="BD97"/>
  <c r="BC97"/>
  <c r="BA97"/>
  <c r="Z97"/>
  <c r="BD93"/>
  <c r="BD94"/>
  <c r="BD95"/>
  <c r="BD96"/>
  <c r="BC93"/>
  <c r="BC94"/>
  <c r="BC95"/>
  <c r="BC96"/>
  <c r="BB93"/>
  <c r="BB94"/>
  <c r="BB95"/>
  <c r="BB96"/>
  <c r="BA93"/>
  <c r="BA94"/>
  <c r="BA95"/>
  <c r="BA96"/>
  <c r="BD84"/>
  <c r="BD85"/>
  <c r="BD92"/>
  <c r="BD86"/>
  <c r="BD87"/>
  <c r="BD88"/>
  <c r="BD89"/>
  <c r="BD90"/>
  <c r="BD91"/>
  <c r="BC84"/>
  <c r="BC85"/>
  <c r="BC86"/>
  <c r="BC87"/>
  <c r="BC88"/>
  <c r="BC89"/>
  <c r="BC90"/>
  <c r="BC91"/>
  <c r="BC92"/>
  <c r="BB84"/>
  <c r="BB85"/>
  <c r="BB86"/>
  <c r="BB87"/>
  <c r="BB88"/>
  <c r="BB89"/>
  <c r="BB91"/>
  <c r="BB92"/>
  <c r="BA84"/>
  <c r="BA85"/>
  <c r="BA92"/>
  <c r="BA86"/>
  <c r="BA87"/>
  <c r="BA88"/>
  <c r="BA89"/>
  <c r="BA90"/>
  <c r="BA91"/>
  <c r="BD75"/>
  <c r="BC75"/>
  <c r="BB75"/>
  <c r="BA75"/>
  <c r="BD74"/>
  <c r="BC74"/>
  <c r="BB74"/>
  <c r="BA74"/>
  <c r="Z74"/>
  <c r="BD72"/>
  <c r="BC72"/>
  <c r="BB72"/>
  <c r="BA72"/>
  <c r="Z72"/>
  <c r="BD71"/>
  <c r="BC71"/>
  <c r="BB71"/>
  <c r="BA71"/>
  <c r="Z71"/>
  <c r="BD70"/>
  <c r="BC70"/>
  <c r="BB70"/>
  <c r="BA70"/>
  <c r="Z70"/>
  <c r="BD69"/>
  <c r="BC69"/>
  <c r="BB69"/>
  <c r="BA69"/>
  <c r="Z69"/>
  <c r="BD68"/>
  <c r="BC68"/>
  <c r="BB68"/>
  <c r="BA68"/>
  <c r="Z68"/>
  <c r="BD67"/>
  <c r="BC67"/>
  <c r="BB67"/>
  <c r="BA67"/>
  <c r="Z67"/>
  <c r="BD66"/>
  <c r="BC66"/>
  <c r="BB66"/>
  <c r="BA66"/>
  <c r="Z66"/>
  <c r="BD65"/>
  <c r="BC65"/>
  <c r="BB65"/>
  <c r="BA65"/>
  <c r="Z65"/>
  <c r="BD64"/>
  <c r="BC64"/>
  <c r="BB64"/>
  <c r="BA64"/>
  <c r="Z64"/>
  <c r="BD63"/>
  <c r="BC63"/>
  <c r="BB63"/>
  <c r="BA63"/>
  <c r="Z63"/>
  <c r="BD62"/>
  <c r="BC62"/>
  <c r="BB62"/>
  <c r="BA62"/>
  <c r="Z62"/>
  <c r="BD61"/>
  <c r="BC61"/>
  <c r="BB61"/>
  <c r="BA61"/>
  <c r="Z61"/>
  <c r="BD60"/>
  <c r="BC60"/>
  <c r="BB60"/>
  <c r="BA60"/>
  <c r="Z60"/>
  <c r="BD58"/>
  <c r="BC58"/>
  <c r="BB58"/>
  <c r="BA58"/>
  <c r="Z58"/>
  <c r="BF57"/>
  <c r="BD54"/>
  <c r="BD57"/>
  <c r="BD55"/>
  <c r="BD56"/>
  <c r="BC54"/>
  <c r="BC57"/>
  <c r="BC55"/>
  <c r="BC56"/>
  <c r="BB54"/>
  <c r="BB57"/>
  <c r="BB55"/>
  <c r="BB56"/>
  <c r="BA54"/>
  <c r="BA57"/>
  <c r="BA55"/>
  <c r="BA56"/>
  <c r="BF53"/>
  <c r="BD45"/>
  <c r="BD46"/>
  <c r="BD53"/>
  <c r="BD47"/>
  <c r="BD48"/>
  <c r="BD49"/>
  <c r="BD50"/>
  <c r="BD51"/>
  <c r="BD52"/>
  <c r="BC45"/>
  <c r="BC46"/>
  <c r="BC47"/>
  <c r="BC48"/>
  <c r="BC49"/>
  <c r="BC50"/>
  <c r="BC51"/>
  <c r="BC52"/>
  <c r="BC53"/>
  <c r="BB45"/>
  <c r="BB46"/>
  <c r="BB53"/>
  <c r="BB47"/>
  <c r="BB48"/>
  <c r="BB49"/>
  <c r="BB50"/>
  <c r="BB51"/>
  <c r="BB52"/>
  <c r="BA45"/>
  <c r="BA46"/>
  <c r="BA47"/>
  <c r="BA48"/>
  <c r="BA49"/>
  <c r="BA50"/>
  <c r="BA51"/>
  <c r="BA52"/>
  <c r="BA53"/>
  <c r="BD36"/>
  <c r="BC36"/>
  <c r="BB36"/>
  <c r="BA36"/>
  <c r="Z36"/>
  <c r="Z6"/>
  <c r="Z7"/>
  <c r="Z10"/>
  <c r="Z9"/>
  <c r="Z13"/>
  <c r="Z8"/>
  <c r="Z12"/>
  <c r="Z11"/>
  <c r="Z16"/>
  <c r="Z18"/>
  <c r="Z15"/>
  <c r="Z17"/>
  <c r="BB15"/>
  <c r="BB18"/>
  <c r="BB16"/>
  <c r="BB17"/>
  <c r="BA15"/>
  <c r="BA18"/>
  <c r="BA16"/>
  <c r="BA17"/>
  <c r="BD6"/>
  <c r="BD8"/>
  <c r="BD9"/>
  <c r="BD10"/>
  <c r="BD11"/>
  <c r="BD12"/>
  <c r="BD13"/>
  <c r="BC6"/>
  <c r="BC7"/>
  <c r="BC14"/>
  <c r="BC10"/>
  <c r="BC9"/>
  <c r="BC13"/>
  <c r="BC8"/>
  <c r="BC12"/>
  <c r="BC11"/>
  <c r="BB6"/>
  <c r="BB8"/>
  <c r="BB9"/>
  <c r="BB10"/>
  <c r="BB11"/>
  <c r="BB12"/>
  <c r="BB13"/>
  <c r="BA6"/>
  <c r="BA8"/>
  <c r="BA9"/>
  <c r="BA10"/>
  <c r="BA11"/>
  <c r="BA12"/>
  <c r="BA13"/>
  <c r="BB35"/>
  <c r="BA35"/>
  <c r="Z35"/>
  <c r="BD33"/>
  <c r="BC33"/>
  <c r="BB33"/>
  <c r="BA33"/>
  <c r="Z33"/>
  <c r="BD32"/>
  <c r="BC32"/>
  <c r="BB32"/>
  <c r="BA32"/>
  <c r="Z32"/>
  <c r="BD31"/>
  <c r="BC31"/>
  <c r="BB31"/>
  <c r="BA31"/>
  <c r="Z31"/>
  <c r="BD30"/>
  <c r="BC30"/>
  <c r="BB30"/>
  <c r="BA30"/>
  <c r="Z30"/>
  <c r="BD29"/>
  <c r="BC29"/>
  <c r="BB29"/>
  <c r="BA29"/>
  <c r="Z29"/>
  <c r="BD28"/>
  <c r="BC28"/>
  <c r="BB28"/>
  <c r="BA28"/>
  <c r="Z28"/>
  <c r="BD27"/>
  <c r="BC27"/>
  <c r="BB27"/>
  <c r="BA27"/>
  <c r="Z27"/>
  <c r="BD26"/>
  <c r="BC26"/>
  <c r="BB26"/>
  <c r="BA26"/>
  <c r="Z26"/>
  <c r="BD25"/>
  <c r="BC25"/>
  <c r="BB25"/>
  <c r="BA25"/>
  <c r="Z25"/>
  <c r="BD24"/>
  <c r="BC24"/>
  <c r="BB24"/>
  <c r="BA24"/>
  <c r="Z24"/>
  <c r="BD23"/>
  <c r="BC23"/>
  <c r="BB23"/>
  <c r="BA23"/>
  <c r="Z23"/>
  <c r="BD22"/>
  <c r="BC22"/>
  <c r="BB22"/>
  <c r="BA22"/>
  <c r="Z22"/>
  <c r="BC21"/>
  <c r="Z21"/>
  <c r="BD19"/>
  <c r="BC19"/>
  <c r="BB19"/>
  <c r="BA19"/>
  <c r="Z19"/>
  <c r="Z6" i="16"/>
  <c r="BC6"/>
  <c r="Z7"/>
  <c r="BC7"/>
  <c r="Z8"/>
  <c r="BC8"/>
  <c r="Z9"/>
  <c r="BC9"/>
  <c r="Z10"/>
  <c r="BC10"/>
  <c r="Z11"/>
  <c r="BC11"/>
  <c r="Z12"/>
  <c r="BC12"/>
  <c r="Z13"/>
  <c r="BC13"/>
  <c r="BH6" i="3"/>
  <c r="BH7"/>
  <c r="BH9"/>
  <c r="BH10"/>
  <c r="BH12"/>
  <c r="BH14"/>
  <c r="BH16"/>
  <c r="BH18"/>
  <c r="BH20"/>
  <c r="BH22"/>
  <c r="BH25"/>
  <c r="BH35"/>
  <c r="BH36"/>
  <c r="BH38"/>
  <c r="BH39"/>
  <c r="BH54"/>
  <c r="BH64"/>
  <c r="BH67"/>
  <c r="BH69"/>
  <c r="BH71"/>
  <c r="BH73"/>
  <c r="BH75"/>
  <c r="BH77"/>
  <c r="BH79"/>
  <c r="BH82"/>
  <c r="BH93"/>
  <c r="BH94"/>
  <c r="BH97"/>
  <c r="BH105"/>
  <c r="BH107"/>
  <c r="BH110"/>
  <c r="BB110"/>
  <c r="BA110"/>
  <c r="AZ110"/>
  <c r="AY110"/>
  <c r="BB109"/>
  <c r="BA109"/>
  <c r="AZ109"/>
  <c r="AY109"/>
  <c r="BB108"/>
  <c r="BA108"/>
  <c r="AZ108"/>
  <c r="AY108"/>
  <c r="BB107"/>
  <c r="BA107"/>
  <c r="AZ107"/>
  <c r="AY107"/>
  <c r="BB106"/>
  <c r="BA106"/>
  <c r="AZ106"/>
  <c r="AY106"/>
  <c r="BB105"/>
  <c r="BA105"/>
  <c r="AZ105"/>
  <c r="AY105"/>
  <c r="BB104"/>
  <c r="BA104"/>
  <c r="AZ104"/>
  <c r="AY104"/>
  <c r="AZ103"/>
  <c r="BB102"/>
  <c r="AZ102"/>
  <c r="AZ101"/>
  <c r="BB100"/>
  <c r="BA100"/>
  <c r="AZ100"/>
  <c r="AY100"/>
  <c r="AZ99"/>
  <c r="BB98"/>
  <c r="AZ98"/>
  <c r="AZ97"/>
  <c r="BB96"/>
  <c r="BA96"/>
  <c r="AZ96"/>
  <c r="AY96"/>
  <c r="BB95"/>
  <c r="BA95"/>
  <c r="AZ95"/>
  <c r="AY95"/>
  <c r="BB94"/>
  <c r="BA94"/>
  <c r="AZ94"/>
  <c r="AY94"/>
  <c r="BB82"/>
  <c r="BA82"/>
  <c r="AZ82"/>
  <c r="AY82"/>
  <c r="BB81"/>
  <c r="BA81"/>
  <c r="AZ81"/>
  <c r="AY81"/>
  <c r="BB80"/>
  <c r="BA80"/>
  <c r="AZ80"/>
  <c r="AY80"/>
  <c r="BB79"/>
  <c r="BA79"/>
  <c r="AZ79"/>
  <c r="AY79"/>
  <c r="BB78"/>
  <c r="BA78"/>
  <c r="AZ78"/>
  <c r="AY78"/>
  <c r="BB77"/>
  <c r="BA77"/>
  <c r="AZ77"/>
  <c r="AY77"/>
  <c r="BB76"/>
  <c r="BA76"/>
  <c r="AZ76"/>
  <c r="AY76"/>
  <c r="BB75"/>
  <c r="BA75"/>
  <c r="AZ75"/>
  <c r="AY75"/>
  <c r="AZ74"/>
  <c r="BB73"/>
  <c r="BA73"/>
  <c r="AZ73"/>
  <c r="AY73"/>
  <c r="AZ72"/>
  <c r="BB71"/>
  <c r="BA71"/>
  <c r="AZ71"/>
  <c r="AY71"/>
  <c r="BB70"/>
  <c r="BA70"/>
  <c r="AZ70"/>
  <c r="AY70"/>
  <c r="AZ69"/>
  <c r="BB68"/>
  <c r="BA68"/>
  <c r="AZ68"/>
  <c r="AY68"/>
  <c r="AZ67"/>
  <c r="BB66"/>
  <c r="BA66"/>
  <c r="AZ66"/>
  <c r="AY66"/>
  <c r="AZ6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X110"/>
  <c r="X109"/>
  <c r="X108"/>
  <c r="X107"/>
  <c r="X106"/>
  <c r="X105"/>
  <c r="X104"/>
  <c r="X100"/>
  <c r="X96"/>
  <c r="X95"/>
  <c r="X94"/>
  <c r="X82"/>
  <c r="X81"/>
  <c r="X80"/>
  <c r="X79"/>
  <c r="X78"/>
  <c r="X77"/>
  <c r="X76"/>
  <c r="X75"/>
  <c r="X73"/>
  <c r="X71"/>
  <c r="X70"/>
  <c r="X68"/>
  <c r="X66"/>
  <c r="X54"/>
  <c r="X52"/>
  <c r="X50"/>
  <c r="X49"/>
  <c r="X48"/>
  <c r="X47"/>
  <c r="X46"/>
  <c r="X45"/>
  <c r="X44"/>
  <c r="X43"/>
  <c r="X42"/>
  <c r="X40"/>
  <c r="X38"/>
  <c r="X37"/>
  <c r="X3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BA7"/>
  <c r="BB7"/>
  <c r="BA8"/>
  <c r="BB8"/>
  <c r="BA9"/>
  <c r="BB9"/>
  <c r="BA10"/>
  <c r="BB10"/>
  <c r="BA11"/>
  <c r="BB11"/>
  <c r="BA12"/>
  <c r="BB12"/>
  <c r="BA13"/>
  <c r="BB13"/>
  <c r="BA14"/>
  <c r="BB14"/>
  <c r="BA15"/>
  <c r="BB15"/>
  <c r="BA16"/>
  <c r="BB16"/>
  <c r="BA17"/>
  <c r="BB17"/>
  <c r="BA18"/>
  <c r="BB18"/>
  <c r="BA19"/>
  <c r="BB19"/>
  <c r="BA20"/>
  <c r="BB20"/>
  <c r="BA21"/>
  <c r="BB21"/>
  <c r="BA22"/>
  <c r="BB22"/>
  <c r="BA23"/>
  <c r="BB23"/>
  <c r="BA24"/>
  <c r="BB24"/>
  <c r="BA25"/>
  <c r="BB25"/>
  <c r="BA6"/>
  <c r="BB6"/>
  <c r="AZ6"/>
  <c r="X6"/>
  <c r="AY7"/>
  <c r="AY8"/>
  <c r="AY9"/>
  <c r="AY10"/>
  <c r="AY11"/>
  <c r="AY12"/>
  <c r="AY13"/>
  <c r="AY14"/>
  <c r="AY15"/>
  <c r="AY16"/>
  <c r="AY17"/>
  <c r="AY18"/>
  <c r="AY19"/>
  <c r="AY20"/>
  <c r="AY21"/>
  <c r="AY22"/>
  <c r="AY23"/>
  <c r="AY24"/>
  <c r="AY25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AY6"/>
  <c r="BH21"/>
  <c r="BH50"/>
  <c r="BH78"/>
  <c r="BH106"/>
  <c r="BH17"/>
  <c r="BH46"/>
  <c r="BH103"/>
  <c r="BH74"/>
  <c r="BH13"/>
  <c r="BH42"/>
  <c r="BH99"/>
  <c r="BH70"/>
  <c r="BH23"/>
  <c r="BH52"/>
  <c r="BH80"/>
  <c r="BH108"/>
  <c r="BH19"/>
  <c r="BH48"/>
  <c r="BH76"/>
  <c r="BH15"/>
  <c r="BH44"/>
  <c r="BH101"/>
  <c r="BH72"/>
  <c r="BH11"/>
  <c r="BH40"/>
  <c r="BH68"/>
  <c r="BI24"/>
  <c r="BI53"/>
  <c r="BI81"/>
  <c r="BI109"/>
  <c r="BI25"/>
  <c r="BI54"/>
  <c r="BI82"/>
  <c r="BI110"/>
  <c r="BA40"/>
  <c r="AY40"/>
  <c r="B109"/>
  <c r="B100"/>
  <c r="B71"/>
  <c r="B98"/>
  <c r="B69"/>
  <c r="B95"/>
  <c r="C95"/>
  <c r="C65"/>
  <c r="C97"/>
  <c r="C67"/>
  <c r="BI39"/>
  <c r="C102"/>
  <c r="C103"/>
  <c r="C74"/>
  <c r="X35"/>
  <c r="X51"/>
  <c r="X98"/>
  <c r="X102"/>
  <c r="AY98"/>
  <c r="AY102"/>
  <c r="BH104"/>
  <c r="BH102"/>
  <c r="BH100"/>
  <c r="BH98"/>
  <c r="BH96"/>
  <c r="BH66"/>
  <c r="BH51"/>
  <c r="BH49"/>
  <c r="BH47"/>
  <c r="BH45"/>
  <c r="BH43"/>
  <c r="BH41"/>
  <c r="B70"/>
  <c r="B66"/>
  <c r="BA51"/>
  <c r="AY51"/>
  <c r="BA48"/>
  <c r="AY48"/>
  <c r="BA46"/>
  <c r="AY46"/>
  <c r="BA44"/>
  <c r="AY44"/>
  <c r="BA42"/>
  <c r="AY42"/>
  <c r="BA38"/>
  <c r="AY38"/>
  <c r="E56"/>
  <c r="BA35"/>
  <c r="AY35"/>
  <c r="B104"/>
  <c r="B75"/>
  <c r="B102"/>
  <c r="B73"/>
  <c r="B94"/>
  <c r="C96"/>
  <c r="C98"/>
  <c r="C99"/>
  <c r="C70"/>
  <c r="C107"/>
  <c r="C79"/>
  <c r="C108"/>
  <c r="C80"/>
  <c r="E27"/>
  <c r="E99"/>
  <c r="E74"/>
  <c r="E103"/>
  <c r="E72"/>
  <c r="E101"/>
  <c r="E69"/>
  <c r="E41"/>
  <c r="E67"/>
  <c r="E39"/>
  <c r="E97"/>
  <c r="E64"/>
  <c r="E93"/>
  <c r="BI23"/>
  <c r="BI52"/>
  <c r="BI80"/>
  <c r="BI108"/>
  <c r="BI21"/>
  <c r="BI50"/>
  <c r="BI78"/>
  <c r="BI106"/>
  <c r="BI19"/>
  <c r="BI48"/>
  <c r="BI76"/>
  <c r="BI17"/>
  <c r="BI46"/>
  <c r="BI74"/>
  <c r="BI103"/>
  <c r="BI15"/>
  <c r="BI44"/>
  <c r="BI72"/>
  <c r="BI101"/>
  <c r="BI13"/>
  <c r="BI42"/>
  <c r="BI70"/>
  <c r="BI99"/>
  <c r="BI11"/>
  <c r="BI40"/>
  <c r="BI68"/>
  <c r="BI9"/>
  <c r="BI38"/>
  <c r="BI66"/>
  <c r="BI96"/>
  <c r="BI7"/>
  <c r="BI36"/>
  <c r="BI94"/>
  <c r="BI22"/>
  <c r="BI51"/>
  <c r="BI79"/>
  <c r="BI107"/>
  <c r="BI20"/>
  <c r="BI49"/>
  <c r="BI77"/>
  <c r="BI105"/>
  <c r="BI18"/>
  <c r="BI47"/>
  <c r="BI75"/>
  <c r="BI104"/>
  <c r="BI16"/>
  <c r="BI45"/>
  <c r="BI73"/>
  <c r="BI102"/>
  <c r="BI14"/>
  <c r="BI43"/>
  <c r="BI71"/>
  <c r="BI100"/>
  <c r="BI12"/>
  <c r="BI41"/>
  <c r="BI69"/>
  <c r="BI98"/>
  <c r="BI10"/>
  <c r="BI67"/>
  <c r="BI8"/>
  <c r="BI37"/>
  <c r="BI65"/>
  <c r="BI95"/>
  <c r="BI6"/>
  <c r="BI35"/>
  <c r="BI64"/>
  <c r="BI93"/>
  <c r="BY46" i="16"/>
  <c r="BD22"/>
  <c r="AZ22"/>
  <c r="BA22"/>
  <c r="BA23"/>
  <c r="BD23"/>
  <c r="BB23"/>
  <c r="AZ23"/>
  <c r="AX25"/>
  <c r="BA38"/>
  <c r="BD38"/>
  <c r="BB38"/>
  <c r="AZ38"/>
  <c r="S11"/>
  <c r="BZ113" i="3"/>
  <c r="AR14" i="16"/>
  <c r="BZ46"/>
  <c r="CA46"/>
  <c r="CA62"/>
  <c r="BZ14"/>
  <c r="AX23"/>
  <c r="BA26"/>
  <c r="BD26"/>
  <c r="BB26"/>
  <c r="AZ26"/>
  <c r="BA28"/>
  <c r="BD28"/>
  <c r="BB28"/>
  <c r="AZ28"/>
  <c r="CB113" i="3"/>
  <c r="BY14" i="16"/>
  <c r="AX6"/>
  <c r="X40"/>
  <c r="X42"/>
  <c r="X43"/>
  <c r="AG46"/>
  <c r="AS44"/>
  <c r="X44"/>
  <c r="AS60"/>
  <c r="AG62"/>
  <c r="BA34" i="15"/>
  <c r="AZ34"/>
  <c r="BB34"/>
  <c r="AS37"/>
  <c r="AR37"/>
  <c r="AY21" i="14"/>
  <c r="AX21"/>
  <c r="BB21"/>
  <c r="AZ21"/>
  <c r="CB27" i="3"/>
  <c r="AI37" i="15"/>
  <c r="I37"/>
  <c r="AR76"/>
  <c r="BA117"/>
  <c r="BD117"/>
  <c r="AU34" i="14"/>
  <c r="BB31"/>
  <c r="AZ31"/>
  <c r="AY31"/>
  <c r="AX31"/>
  <c r="BY117" i="15"/>
  <c r="CA92"/>
  <c r="AQ14" i="16"/>
  <c r="Z62"/>
  <c r="AT13"/>
  <c r="AS13"/>
  <c r="AT10"/>
  <c r="AS10"/>
  <c r="AT8"/>
  <c r="AS8"/>
  <c r="AT7"/>
  <c r="AS7"/>
  <c r="CA14" i="15"/>
  <c r="BD18"/>
  <c r="AT30" i="16"/>
  <c r="AU53" i="15"/>
  <c r="AZ53"/>
  <c r="AU57"/>
  <c r="CA53"/>
  <c r="CA57"/>
  <c r="CA75"/>
  <c r="CA76"/>
  <c r="E117"/>
  <c r="AZ117"/>
  <c r="BC46" i="16"/>
  <c r="Z46"/>
  <c r="X39"/>
  <c r="X41"/>
  <c r="AP46"/>
  <c r="AS43"/>
  <c r="AH46"/>
  <c r="AT44"/>
  <c r="X45"/>
  <c r="AT60"/>
  <c r="AH62"/>
  <c r="AH14"/>
  <c r="AT6"/>
  <c r="AW6"/>
  <c r="AV27" i="3"/>
  <c r="AT37" i="15"/>
  <c r="AU27" i="3"/>
  <c r="AZ27"/>
  <c r="AY19" i="14"/>
  <c r="AX19"/>
  <c r="BB19"/>
  <c r="AZ19"/>
  <c r="AY56" i="3"/>
  <c r="AZ56"/>
  <c r="BB56"/>
  <c r="AX56"/>
  <c r="AZ10" i="14"/>
  <c r="AV10"/>
  <c r="BA10"/>
  <c r="BB33"/>
  <c r="AZ33"/>
  <c r="AY33"/>
  <c r="AX33"/>
  <c r="I14" i="16"/>
  <c r="AP14"/>
  <c r="W22"/>
  <c r="AX22"/>
  <c r="BC22"/>
  <c r="Z24"/>
  <c r="AX24"/>
  <c r="AZ24"/>
  <c r="BA25"/>
  <c r="Z27"/>
  <c r="AX27"/>
  <c r="AZ27"/>
  <c r="BC27"/>
  <c r="Z29"/>
  <c r="AX29"/>
  <c r="AZ29"/>
  <c r="BC29"/>
  <c r="AP30"/>
  <c r="AG30"/>
  <c r="BA39"/>
  <c r="BB40"/>
  <c r="BA41"/>
  <c r="BB42"/>
  <c r="AZ45"/>
  <c r="BB45"/>
  <c r="AZ54"/>
  <c r="BB54"/>
  <c r="AZ55"/>
  <c r="BB55"/>
  <c r="AZ56"/>
  <c r="BB56"/>
  <c r="AZ57"/>
  <c r="BB57"/>
  <c r="AZ58"/>
  <c r="BB58"/>
  <c r="AX60"/>
  <c r="W62"/>
  <c r="F12" i="14"/>
  <c r="AT11" i="16"/>
  <c r="AS11"/>
  <c r="AT9"/>
  <c r="AS9"/>
  <c r="AT12"/>
  <c r="AS12"/>
  <c r="AG14"/>
  <c r="AP27" i="3"/>
  <c r="AS30" i="16"/>
  <c r="AW30"/>
  <c r="BZ34" i="14"/>
  <c r="AU85" i="3"/>
  <c r="AZ85"/>
  <c r="CB85"/>
  <c r="AS46" i="16"/>
  <c r="X38"/>
  <c r="AR117" i="15"/>
  <c r="BB111" i="3"/>
  <c r="AZ111"/>
  <c r="AY111"/>
  <c r="AR22" i="14"/>
  <c r="AQ22"/>
  <c r="AU22"/>
  <c r="AI36" i="15"/>
  <c r="E34" i="14"/>
  <c r="BA61" i="16"/>
  <c r="BB61"/>
  <c r="AP113" i="3"/>
  <c r="X46" i="16"/>
  <c r="AS157" i="15"/>
  <c r="AU136"/>
  <c r="AZ136"/>
  <c r="I117"/>
  <c r="CA15"/>
  <c r="CA21"/>
  <c r="BY10" i="14"/>
  <c r="BZ10"/>
  <c r="AN27" i="3"/>
  <c r="AZ73" i="15"/>
  <c r="BB73"/>
  <c r="AU7"/>
  <c r="AU21"/>
  <c r="BC30" i="16"/>
  <c r="AU46" i="14"/>
  <c r="AV85" i="3"/>
  <c r="Q37" i="15"/>
  <c r="K14"/>
  <c r="K75"/>
  <c r="N76"/>
  <c r="T97"/>
  <c r="K96"/>
  <c r="Q157"/>
  <c r="BD85" i="3"/>
  <c r="AT76" i="15"/>
  <c r="AU156"/>
  <c r="K36"/>
  <c r="N37"/>
  <c r="Q76"/>
  <c r="K53"/>
  <c r="N117"/>
  <c r="K92"/>
  <c r="BD154"/>
  <c r="BB154"/>
  <c r="BA154"/>
  <c r="T157"/>
  <c r="N157"/>
  <c r="AR157"/>
  <c r="AI157"/>
  <c r="BD114"/>
  <c r="AU93" i="3"/>
  <c r="AQ113"/>
  <c r="AU113"/>
  <c r="K116" i="15"/>
  <c r="AU132"/>
  <c r="AZ132"/>
  <c r="J113" i="3"/>
  <c r="K25" i="15"/>
  <c r="K46"/>
  <c r="K85"/>
  <c r="K93"/>
  <c r="AZ112" i="3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E85"/>
  <c r="B68"/>
  <c r="AZ59" i="15"/>
  <c r="BD59"/>
  <c r="B65" i="3"/>
  <c r="B64"/>
  <c r="C106"/>
  <c r="S113"/>
  <c r="AG113"/>
  <c r="AV113"/>
  <c r="Z59" i="15"/>
  <c r="AZ20"/>
  <c r="BD20"/>
  <c r="T20"/>
  <c r="BB59"/>
  <c r="E113" i="3"/>
  <c r="BA93"/>
  <c r="X93"/>
  <c r="BB97"/>
  <c r="X97"/>
  <c r="BA97"/>
  <c r="AY97"/>
  <c r="BA67"/>
  <c r="BB67"/>
  <c r="AY67"/>
  <c r="X67"/>
  <c r="BA69"/>
  <c r="AY69"/>
  <c r="X69"/>
  <c r="BB69"/>
  <c r="BB103"/>
  <c r="X103"/>
  <c r="BA103"/>
  <c r="AY103"/>
  <c r="BA74"/>
  <c r="AY74"/>
  <c r="BB74"/>
  <c r="X74"/>
  <c r="X56"/>
  <c r="BH24"/>
  <c r="BH81"/>
  <c r="BH109"/>
  <c r="BH53"/>
  <c r="BB64"/>
  <c r="BA64"/>
  <c r="AY64"/>
  <c r="X64"/>
  <c r="BA39"/>
  <c r="AY39"/>
  <c r="BB39"/>
  <c r="X39"/>
  <c r="BA41"/>
  <c r="AY41"/>
  <c r="BB41"/>
  <c r="X41"/>
  <c r="BB101"/>
  <c r="BA101"/>
  <c r="AY101"/>
  <c r="X101"/>
  <c r="BA72"/>
  <c r="AY72"/>
  <c r="BB72"/>
  <c r="X72"/>
  <c r="BB99"/>
  <c r="X99"/>
  <c r="BA99"/>
  <c r="AY99"/>
  <c r="BA27"/>
  <c r="X27"/>
  <c r="BH8"/>
  <c r="BH65"/>
  <c r="BH95"/>
  <c r="BH37"/>
  <c r="BA56"/>
  <c r="BI97"/>
  <c r="AZ6" i="16"/>
  <c r="BA6"/>
  <c r="BB6"/>
  <c r="BD6"/>
  <c r="K20" i="15"/>
  <c r="V113" i="3"/>
  <c r="AZ113"/>
  <c r="BA113"/>
  <c r="X113"/>
  <c r="AY113"/>
  <c r="BB113"/>
  <c r="AX157" i="15"/>
  <c r="K117"/>
  <c r="BB117"/>
  <c r="AU157"/>
  <c r="AZ156"/>
  <c r="BA156"/>
  <c r="BD156"/>
  <c r="BB156"/>
  <c r="K97"/>
  <c r="BB97"/>
  <c r="AY46" i="14"/>
  <c r="BB46"/>
  <c r="AZ46"/>
  <c r="AX46"/>
  <c r="AZ21" i="15"/>
  <c r="BA21"/>
  <c r="BD21"/>
  <c r="BB21"/>
  <c r="CA36"/>
  <c r="AX36"/>
  <c r="BB22" i="14"/>
  <c r="AZ22"/>
  <c r="AY22"/>
  <c r="AX22"/>
  <c r="AW9" i="16"/>
  <c r="AR30"/>
  <c r="I17"/>
  <c r="AX14"/>
  <c r="BC14"/>
  <c r="W14"/>
  <c r="Z14"/>
  <c r="AW43"/>
  <c r="AU76" i="15"/>
  <c r="AZ57"/>
  <c r="AW7" i="16"/>
  <c r="AW8"/>
  <c r="AW10"/>
  <c r="AW13"/>
  <c r="AX34" i="14"/>
  <c r="AY34"/>
  <c r="AZ34"/>
  <c r="BB34"/>
  <c r="AW60" i="16"/>
  <c r="AI46"/>
  <c r="AW12"/>
  <c r="AW11"/>
  <c r="X85" i="3"/>
  <c r="BA85"/>
  <c r="AY93"/>
  <c r="BB93"/>
  <c r="AZ93"/>
  <c r="BB157" i="15"/>
  <c r="K37"/>
  <c r="K76"/>
  <c r="BB76"/>
  <c r="AZ7"/>
  <c r="BA7"/>
  <c r="BA14"/>
  <c r="BD7"/>
  <c r="BD14"/>
  <c r="BB7"/>
  <c r="BB14"/>
  <c r="CA18"/>
  <c r="BC117"/>
  <c r="AX117"/>
  <c r="AY85" i="3"/>
  <c r="BB85"/>
  <c r="BD30" i="16"/>
  <c r="BA30"/>
  <c r="BB30"/>
  <c r="AZ30"/>
  <c r="AI30"/>
  <c r="AX27" i="3"/>
  <c r="AY27"/>
  <c r="BB27"/>
  <c r="AT14" i="16"/>
  <c r="AT62"/>
  <c r="AT46"/>
  <c r="AW46"/>
  <c r="AR46"/>
  <c r="CA117" i="15"/>
  <c r="AX37"/>
  <c r="BC37"/>
  <c r="X37"/>
  <c r="Z37"/>
  <c r="AU37"/>
  <c r="AS62" i="16"/>
  <c r="AI62"/>
  <c r="CA14"/>
  <c r="BB11"/>
  <c r="BB20" i="15"/>
  <c r="AW44" i="16"/>
  <c r="AS14"/>
  <c r="BA46"/>
  <c r="BB46"/>
  <c r="BD46"/>
  <c r="AZ46"/>
  <c r="BD44"/>
  <c r="AZ44"/>
  <c r="BA44"/>
  <c r="BB44"/>
  <c r="AX30"/>
  <c r="AZ11"/>
  <c r="BD11"/>
  <c r="BA11"/>
  <c r="AX46"/>
  <c r="AZ13"/>
  <c r="BB13"/>
  <c r="BD13"/>
  <c r="BA13"/>
  <c r="AZ10"/>
  <c r="BA10"/>
  <c r="BB10"/>
  <c r="BD10"/>
  <c r="AZ8"/>
  <c r="BA8"/>
  <c r="BB8"/>
  <c r="BD8"/>
  <c r="AZ7"/>
  <c r="BB7"/>
  <c r="BD7"/>
  <c r="BA7"/>
  <c r="AZ76" i="15"/>
  <c r="BA76"/>
  <c r="BD76"/>
  <c r="AZ43" i="16"/>
  <c r="BD43"/>
  <c r="BA43"/>
  <c r="BB43"/>
  <c r="CA37" i="15"/>
  <c r="AX62" i="16"/>
  <c r="AW62"/>
  <c r="AZ37" i="15"/>
  <c r="BD37"/>
  <c r="BA37"/>
  <c r="AZ12" i="16"/>
  <c r="BA12"/>
  <c r="BB12"/>
  <c r="BD12"/>
  <c r="BD60"/>
  <c r="BB60"/>
  <c r="AZ60"/>
  <c r="BA60"/>
  <c r="AZ9"/>
  <c r="BB9"/>
  <c r="BD9"/>
  <c r="BA9"/>
  <c r="AZ157" i="15"/>
  <c r="BD157"/>
  <c r="BA157"/>
  <c r="BB37"/>
  <c r="AW14" i="16"/>
  <c r="AZ14"/>
  <c r="BA14"/>
  <c r="AW18"/>
  <c r="BD14"/>
  <c r="BB14"/>
  <c r="BA62"/>
  <c r="BD62"/>
  <c r="BB62"/>
  <c r="AZ62"/>
</calcChain>
</file>

<file path=xl/sharedStrings.xml><?xml version="1.0" encoding="utf-8"?>
<sst xmlns="http://schemas.openxmlformats.org/spreadsheetml/2006/main" count="2456" uniqueCount="181">
  <si>
    <t>S No.</t>
  </si>
  <si>
    <t>TOTAL</t>
  </si>
  <si>
    <t>BLOCK 1</t>
  </si>
  <si>
    <t>BLOCK 2</t>
  </si>
  <si>
    <t>15-24</t>
  </si>
  <si>
    <t>25-34</t>
  </si>
  <si>
    <t>35-44</t>
  </si>
  <si>
    <t>45-54</t>
  </si>
  <si>
    <t>55-64</t>
  </si>
  <si>
    <t>65 OR &gt;</t>
  </si>
  <si>
    <t>New Cases</t>
  </si>
  <si>
    <t>Relapses</t>
  </si>
  <si>
    <t>Smear Negative</t>
  </si>
  <si>
    <t>CDR Smear+</t>
  </si>
  <si>
    <t>CDR Total</t>
  </si>
  <si>
    <t xml:space="preserve">  </t>
  </si>
  <si>
    <t>♂</t>
  </si>
  <si>
    <t>♀</t>
  </si>
  <si>
    <t xml:space="preserve">Re-Treatment </t>
  </si>
  <si>
    <t>CNR SS+ve</t>
  </si>
  <si>
    <t>CNR All Types</t>
  </si>
  <si>
    <t xml:space="preserve">GRAND </t>
  </si>
  <si>
    <t>Propn of SS+</t>
  </si>
  <si>
    <t>5-14yrs</t>
  </si>
  <si>
    <t>TB07 Q1 2009</t>
  </si>
  <si>
    <t>TB07 Q2 2009</t>
  </si>
  <si>
    <t>TB07 Q3 2009</t>
  </si>
  <si>
    <t>TB07 Q4 2009</t>
  </si>
  <si>
    <t xml:space="preserve">New Pulmonary sputum smear microscopy </t>
  </si>
  <si>
    <t xml:space="preserve">Previously Treated </t>
  </si>
  <si>
    <t>0-14yrs</t>
  </si>
  <si>
    <t>≥15yrs</t>
  </si>
  <si>
    <t>Total</t>
  </si>
  <si>
    <t xml:space="preserve">GRAND TOTAL </t>
  </si>
  <si>
    <t xml:space="preserve">Pulmonary Sputum Smear Postive </t>
  </si>
  <si>
    <t>New Extra-Pulmonary TB</t>
  </si>
  <si>
    <t>0-4</t>
  </si>
  <si>
    <t>5-14</t>
  </si>
  <si>
    <t xml:space="preserve">Rx &gt; Failure </t>
  </si>
  <si>
    <t xml:space="preserve">Rx &gt; Default </t>
  </si>
  <si>
    <t>KARACHI</t>
  </si>
  <si>
    <t xml:space="preserve">KARACHI </t>
  </si>
  <si>
    <t>DIAG. CENTER</t>
  </si>
  <si>
    <t>TOWN</t>
  </si>
  <si>
    <t xml:space="preserve">Popn. estimated       </t>
  </si>
  <si>
    <t>CGDK CENTERS (24 CENTERS)</t>
  </si>
  <si>
    <t>15 TOWNS</t>
  </si>
  <si>
    <t>Other-positive</t>
  </si>
  <si>
    <t xml:space="preserve">SGH KORANGI </t>
  </si>
  <si>
    <t>KORANGI</t>
  </si>
  <si>
    <t xml:space="preserve">SGH LIAQUATABAD </t>
  </si>
  <si>
    <t>LIAQUAT ABAD</t>
  </si>
  <si>
    <t xml:space="preserve">SGH QATAR </t>
  </si>
  <si>
    <t>ORANGI</t>
  </si>
  <si>
    <t xml:space="preserve">SGH SAUDABAD </t>
  </si>
  <si>
    <t>MALIR</t>
  </si>
  <si>
    <t xml:space="preserve">SGH-CH KARACHI </t>
  </si>
  <si>
    <t>SADDAR</t>
  </si>
  <si>
    <t xml:space="preserve">SGH-POLICE HOSPITAL </t>
  </si>
  <si>
    <t xml:space="preserve">SGH-SERVICES HOSPITAL </t>
  </si>
  <si>
    <t xml:space="preserve">FG-JPMC KARACHI </t>
  </si>
  <si>
    <t xml:space="preserve">MALC BALDIA </t>
  </si>
  <si>
    <t>BALDIA</t>
  </si>
  <si>
    <t>MALC L ABAD</t>
  </si>
  <si>
    <t>MALC LANDHI CHIRAGH HOTEL</t>
  </si>
  <si>
    <t>LANDHI</t>
  </si>
  <si>
    <t>MALC MALIR</t>
  </si>
  <si>
    <t xml:space="preserve">MALC MARIPUR GAREX </t>
  </si>
  <si>
    <t>KEMARI</t>
  </si>
  <si>
    <t xml:space="preserve">MALC ORANGI </t>
  </si>
  <si>
    <t xml:space="preserve">MALC RAH-I-NIJAT </t>
  </si>
  <si>
    <t>GADAP</t>
  </si>
  <si>
    <t>MALC SADDAR</t>
  </si>
  <si>
    <t>MALC centers</t>
  </si>
  <si>
    <t>8 Towns</t>
  </si>
  <si>
    <t xml:space="preserve">NGO-AKHS,P GARDEN </t>
  </si>
  <si>
    <t>JAMSHED</t>
  </si>
  <si>
    <t xml:space="preserve">NGO-AKHS,P GULZAR-I-RAHIM </t>
  </si>
  <si>
    <t>SITE</t>
  </si>
  <si>
    <t xml:space="preserve">NGO-AKHS,P KHARADAR </t>
  </si>
  <si>
    <t>LYARI</t>
  </si>
  <si>
    <t>AKHS, P</t>
  </si>
  <si>
    <t>3 Towns</t>
  </si>
  <si>
    <t xml:space="preserve">NGO- MURSHID HOSPITAL </t>
  </si>
  <si>
    <t xml:space="preserve">NGO- Hands Hospital JAM KANDA </t>
  </si>
  <si>
    <t>BIN-QASIM</t>
  </si>
  <si>
    <t xml:space="preserve">NGO-AL-MUSTAFA ZUBAIDA </t>
  </si>
  <si>
    <t xml:space="preserve">NGO-BANTWA HOSPITAL </t>
  </si>
  <si>
    <t xml:space="preserve">NGO-BEHBOOD ASSOCIATION </t>
  </si>
  <si>
    <t>NGO-BEHBOOD MEHMOODABAD</t>
  </si>
  <si>
    <t xml:space="preserve">NGO-FATEMA BAQAI HOSPITAL </t>
  </si>
  <si>
    <t>NGO-KHARADAR HOSPITAL</t>
  </si>
  <si>
    <t xml:space="preserve">NGO-SATA KORANGI </t>
  </si>
  <si>
    <t xml:space="preserve">NGO-SATA LYARI </t>
  </si>
  <si>
    <t xml:space="preserve">NGO-SHOUKAT U HOSPITAL </t>
  </si>
  <si>
    <t>SHAH-FAISAL</t>
  </si>
  <si>
    <t>NGO-SIR SYED MEDICAL UNIVERSITY &amp; HOSPITAL</t>
  </si>
  <si>
    <t xml:space="preserve">NGO-SULTAN ABAD ZIAUDDIN </t>
  </si>
  <si>
    <t>INDUS HOSPITAL</t>
  </si>
  <si>
    <t>Infaq foundation</t>
  </si>
  <si>
    <t>GP Forum ( masroor+Health Solece H)</t>
  </si>
  <si>
    <t>10 TOWNS</t>
  </si>
  <si>
    <t>HD &amp; FH CENTERS ( 8 CENTERS)</t>
  </si>
  <si>
    <t>6 TOWNS</t>
  </si>
  <si>
    <t>TB07 Q-4 2009</t>
  </si>
  <si>
    <t>TB07 Q-3 2009</t>
  </si>
  <si>
    <t>TB07 Q-2 2009</t>
  </si>
  <si>
    <t>TARGET</t>
  </si>
  <si>
    <t>Remaining NGO/PRIVATE ( 14 CENTERS)</t>
  </si>
  <si>
    <t>8 CENTERS</t>
  </si>
  <si>
    <t>3 CENTERS</t>
  </si>
  <si>
    <t>NGO</t>
  </si>
  <si>
    <t>25 centers</t>
  </si>
  <si>
    <t>21 Towns</t>
  </si>
  <si>
    <t>TB07 Q-3, 2009</t>
  </si>
  <si>
    <t>Target</t>
  </si>
  <si>
    <t xml:space="preserve">OJHA IQBAL YAD  CHEST CLINIC </t>
  </si>
  <si>
    <t>GULSHAN-I-IQBAL</t>
  </si>
  <si>
    <t xml:space="preserve">OJHA LYARI CHEST CLINIC </t>
  </si>
  <si>
    <t xml:space="preserve">OJHA MALIR CHEST CLINIC </t>
  </si>
  <si>
    <t>OJHA NAZIM ABAD CHEST CLINIC</t>
  </si>
  <si>
    <t>OJHA (4 CENTERS)</t>
  </si>
  <si>
    <t>4 TOWNS</t>
  </si>
  <si>
    <t xml:space="preserve">CDGK Chest Clinic </t>
  </si>
  <si>
    <t>CDGK chest clinic</t>
  </si>
  <si>
    <t>INFAQ FOUNDATION</t>
  </si>
  <si>
    <t>CDR Smear+ TARGET</t>
  </si>
  <si>
    <t>CDR Smear+ POP</t>
  </si>
  <si>
    <t>CDR Smear+TARGET</t>
  </si>
  <si>
    <t>Target SS+ New</t>
  </si>
  <si>
    <t>Target All TB cases</t>
  </si>
  <si>
    <t>TARGET SS+ New</t>
  </si>
  <si>
    <t>CDR All Target</t>
  </si>
  <si>
    <t>CDR All TB Target</t>
  </si>
  <si>
    <t>Target SS+ NEW</t>
  </si>
  <si>
    <t xml:space="preserve">Target All TB </t>
  </si>
  <si>
    <t>Target All TB</t>
  </si>
  <si>
    <t>CDR SS+ Target</t>
  </si>
  <si>
    <t>SAMAN ABAD DISPENSARY</t>
  </si>
  <si>
    <t>UHC N.KARACHI</t>
  </si>
  <si>
    <t>0-0</t>
  </si>
  <si>
    <t>0-14</t>
  </si>
  <si>
    <t>CDR TARGET</t>
  </si>
  <si>
    <t>BEECHUM TRUST HOSPITAL</t>
  </si>
  <si>
    <t>Remaining NGO/PRIVATE ( 15 CENTERS)</t>
  </si>
  <si>
    <t>CDR Total (target)</t>
  </si>
  <si>
    <t>Target All cases</t>
  </si>
  <si>
    <t>CDR Smear+ Target</t>
  </si>
  <si>
    <t>SS+ target</t>
  </si>
  <si>
    <t>All TB Target</t>
  </si>
  <si>
    <t>CDR Total Target</t>
  </si>
  <si>
    <t>CDR Smear+ target</t>
  </si>
  <si>
    <t>CDGK HOSP5D Lalmarket</t>
  </si>
  <si>
    <t>NORTH KARACHI</t>
  </si>
  <si>
    <t>TARGET ALL</t>
  </si>
  <si>
    <t>CGDK CENTERS (21 FUNCTIONAL CENTERS)</t>
  </si>
  <si>
    <t>Remaining NGO/PRIVATE ( 17 CENTERS)</t>
  </si>
  <si>
    <t>GP Forum ( masroor+Health Solece H+ Decent)</t>
  </si>
  <si>
    <t>3 HOSPITALS</t>
  </si>
  <si>
    <t>28 ( 26 FUNCTIONAL)centers</t>
  </si>
  <si>
    <t>24 CGDK CENTERS (22 FUNCTIONAL CENTERS)</t>
  </si>
  <si>
    <t>CDR TARGET ALL</t>
  </si>
  <si>
    <t>T</t>
  </si>
  <si>
    <t>CDR ALL TARGET</t>
  </si>
  <si>
    <t>CDR Total TRAGET</t>
  </si>
  <si>
    <t>TARGET ALL TB</t>
  </si>
  <si>
    <t>AKU CHS</t>
  </si>
  <si>
    <t>RHSDO</t>
  </si>
  <si>
    <t>6 towns</t>
  </si>
  <si>
    <t>E.PULM</t>
  </si>
  <si>
    <t>S.NEG</t>
  </si>
  <si>
    <t>OTHER SS+</t>
  </si>
  <si>
    <t>M</t>
  </si>
  <si>
    <t>F</t>
  </si>
  <si>
    <t>CAT-2</t>
  </si>
  <si>
    <t>OTHER +</t>
  </si>
  <si>
    <t>OTHER +1</t>
  </si>
  <si>
    <t>TARGET ss+</t>
  </si>
  <si>
    <t>CGDK CENTERS (TWENTY ONE )</t>
  </si>
  <si>
    <t>CGDK CENTERS (20 CENTERS)</t>
  </si>
  <si>
    <t xml:space="preserve">21 CGDK CENTERS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</si>
</sst>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58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Arial Black"/>
      <family val="2"/>
    </font>
    <font>
      <b/>
      <sz val="14"/>
      <color indexed="10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2"/>
      <name val="Arial"/>
      <family val="2"/>
    </font>
    <font>
      <b/>
      <sz val="20"/>
      <name val="Arial"/>
    </font>
    <font>
      <b/>
      <sz val="14"/>
      <name val="Arial"/>
    </font>
    <font>
      <sz val="14"/>
      <name val="Arial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3"/>
      <name val="Arial"/>
    </font>
    <font>
      <b/>
      <sz val="22"/>
      <name val="Arial"/>
    </font>
    <font>
      <b/>
      <sz val="20"/>
      <name val="Arial"/>
      <family val="2"/>
    </font>
    <font>
      <sz val="8"/>
      <name val="Arial"/>
    </font>
    <font>
      <b/>
      <sz val="20"/>
      <color indexed="10"/>
      <name val="Arial"/>
      <family val="2"/>
    </font>
    <font>
      <b/>
      <sz val="20"/>
      <name val="Arial Black"/>
      <family val="2"/>
    </font>
    <font>
      <b/>
      <sz val="20"/>
      <color indexed="8"/>
      <name val="Arial"/>
      <family val="2"/>
    </font>
    <font>
      <b/>
      <sz val="26"/>
      <color indexed="10"/>
      <name val="Arial"/>
      <family val="2"/>
    </font>
    <font>
      <b/>
      <sz val="26"/>
      <name val="Arial"/>
      <family val="2"/>
    </font>
    <font>
      <b/>
      <sz val="26"/>
      <name val="Arial"/>
    </font>
    <font>
      <b/>
      <sz val="26"/>
      <name val="Arial Black"/>
      <family val="2"/>
    </font>
    <font>
      <b/>
      <sz val="26"/>
      <color indexed="8"/>
      <name val="Arial"/>
      <family val="2"/>
    </font>
    <font>
      <b/>
      <sz val="28"/>
      <color indexed="8"/>
      <name val="Arial"/>
      <family val="2"/>
    </font>
    <font>
      <b/>
      <sz val="28"/>
      <name val="Arial"/>
      <family val="2"/>
    </font>
    <font>
      <b/>
      <sz val="36"/>
      <name val="Arial Black"/>
      <family val="2"/>
    </font>
    <font>
      <b/>
      <sz val="36"/>
      <name val="Arial"/>
    </font>
    <font>
      <b/>
      <sz val="36"/>
      <color indexed="10"/>
      <name val="Arial"/>
      <family val="2"/>
    </font>
    <font>
      <b/>
      <sz val="36"/>
      <name val="Arial"/>
      <family val="2"/>
    </font>
    <font>
      <b/>
      <sz val="36"/>
      <color indexed="8"/>
      <name val="Arial"/>
      <family val="2"/>
    </font>
    <font>
      <b/>
      <sz val="28"/>
      <name val="Arial Black"/>
      <family val="2"/>
    </font>
    <font>
      <b/>
      <sz val="28"/>
      <name val="Arial"/>
    </font>
    <font>
      <b/>
      <sz val="28"/>
      <color indexed="10"/>
      <name val="Arial"/>
      <family val="2"/>
    </font>
    <font>
      <b/>
      <sz val="32"/>
      <color indexed="10"/>
      <name val="Arial"/>
      <family val="2"/>
    </font>
    <font>
      <b/>
      <sz val="32"/>
      <name val="Arial"/>
      <family val="2"/>
    </font>
    <font>
      <b/>
      <sz val="32"/>
      <name val="Arial"/>
    </font>
    <font>
      <sz val="32"/>
      <name val="Arial"/>
      <family val="2"/>
    </font>
    <font>
      <sz val="32"/>
      <color indexed="8"/>
      <name val="Arial"/>
      <family val="2"/>
    </font>
    <font>
      <b/>
      <sz val="32"/>
      <color indexed="8"/>
      <name val="Arial"/>
      <family val="2"/>
    </font>
    <font>
      <sz val="32"/>
      <name val="Arial"/>
    </font>
    <font>
      <sz val="32"/>
      <name val="Arial Black"/>
      <family val="2"/>
    </font>
    <font>
      <sz val="32"/>
      <color indexed="8"/>
      <name val="Arial"/>
    </font>
    <font>
      <b/>
      <sz val="32"/>
      <color indexed="9"/>
      <name val="Arial"/>
      <family val="2"/>
    </font>
    <font>
      <b/>
      <sz val="24"/>
      <name val="Arial Black"/>
      <family val="2"/>
    </font>
    <font>
      <b/>
      <sz val="24"/>
      <name val="Arial"/>
    </font>
    <font>
      <b/>
      <sz val="24"/>
      <color indexed="10"/>
      <name val="Arial"/>
      <family val="2"/>
    </font>
    <font>
      <b/>
      <sz val="24"/>
      <name val="Arial"/>
      <family val="2"/>
    </font>
    <font>
      <b/>
      <sz val="24"/>
      <color indexed="8"/>
      <name val="Arial"/>
      <family val="2"/>
    </font>
    <font>
      <b/>
      <sz val="48"/>
      <color indexed="10"/>
      <name val="Arial"/>
      <family val="2"/>
    </font>
    <font>
      <b/>
      <sz val="48"/>
      <name val="Arial"/>
      <family val="2"/>
    </font>
    <font>
      <sz val="48"/>
      <color indexed="8"/>
      <name val="Arial"/>
      <family val="2"/>
    </font>
    <font>
      <b/>
      <sz val="48"/>
      <color indexed="8"/>
      <name val="Arial"/>
      <family val="2"/>
    </font>
    <font>
      <b/>
      <sz val="36"/>
      <color indexed="8"/>
      <name val="Arial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2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9" fontId="0" fillId="0" borderId="0" xfId="2" applyFont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9" fontId="0" fillId="0" borderId="0" xfId="2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0" fontId="13" fillId="0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horizontal="center" vertical="center"/>
      <protection locked="0"/>
    </xf>
    <xf numFmtId="9" fontId="14" fillId="2" borderId="1" xfId="2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/>
      <protection locked="0"/>
    </xf>
    <xf numFmtId="0" fontId="14" fillId="0" borderId="0" xfId="0" applyFont="1" applyFill="1" applyAlignment="1" applyProtection="1">
      <alignment horizontal="center" vertical="center"/>
      <protection locked="0"/>
    </xf>
    <xf numFmtId="0" fontId="14" fillId="2" borderId="0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3" fontId="7" fillId="0" borderId="0" xfId="0" applyNumberFormat="1" applyFont="1" applyFill="1" applyBorder="1" applyAlignment="1" applyProtection="1">
      <alignment vertical="center"/>
      <protection locked="0"/>
    </xf>
    <xf numFmtId="3" fontId="9" fillId="0" borderId="0" xfId="0" applyNumberFormat="1" applyFont="1" applyFill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6" fillId="0" borderId="0" xfId="0" applyFont="1" applyFill="1" applyBorder="1" applyAlignment="1" applyProtection="1">
      <alignment horizontal="center" vertical="center" wrapText="1"/>
      <protection locked="0"/>
    </xf>
    <xf numFmtId="0" fontId="16" fillId="0" borderId="1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17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9" fontId="14" fillId="0" borderId="1" xfId="2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 applyProtection="1">
      <alignment horizontal="center" vertical="center" wrapText="1"/>
    </xf>
    <xf numFmtId="3" fontId="14" fillId="0" borderId="1" xfId="2" applyNumberFormat="1" applyFont="1" applyFill="1" applyBorder="1" applyAlignment="1" applyProtection="1">
      <alignment horizontal="center" vertical="center" wrapText="1"/>
    </xf>
    <xf numFmtId="1" fontId="14" fillId="0" borderId="1" xfId="2" applyNumberFormat="1" applyFont="1" applyFill="1" applyBorder="1" applyAlignment="1" applyProtection="1">
      <alignment horizontal="center" vertical="center" wrapText="1"/>
    </xf>
    <xf numFmtId="0" fontId="14" fillId="0" borderId="3" xfId="0" applyFont="1" applyFill="1" applyBorder="1" applyAlignment="1" applyProtection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9" fontId="14" fillId="2" borderId="1" xfId="2" applyFont="1" applyFill="1" applyBorder="1" applyAlignment="1" applyProtection="1">
      <alignment horizontal="center" vertical="center" wrapText="1"/>
    </xf>
    <xf numFmtId="3" fontId="14" fillId="2" borderId="1" xfId="2" applyNumberFormat="1" applyFont="1" applyFill="1" applyBorder="1" applyAlignment="1" applyProtection="1">
      <alignment horizontal="center" vertical="center" wrapText="1"/>
    </xf>
    <xf numFmtId="1" fontId="14" fillId="2" borderId="1" xfId="2" applyNumberFormat="1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 applyProtection="1">
      <alignment horizontal="center" vertical="center" wrapText="1"/>
    </xf>
    <xf numFmtId="9" fontId="15" fillId="2" borderId="1" xfId="2" applyFont="1" applyFill="1" applyBorder="1" applyAlignment="1" applyProtection="1">
      <alignment horizontal="center" vertical="center" wrapText="1"/>
    </xf>
    <xf numFmtId="3" fontId="15" fillId="2" borderId="1" xfId="2" applyNumberFormat="1" applyFont="1" applyFill="1" applyBorder="1" applyAlignment="1" applyProtection="1">
      <alignment horizontal="center" vertical="center" wrapText="1"/>
    </xf>
    <xf numFmtId="1" fontId="15" fillId="2" borderId="1" xfId="2" applyNumberFormat="1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12" fillId="0" borderId="0" xfId="0" applyFont="1"/>
    <xf numFmtId="3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18" fillId="0" borderId="1" xfId="0" applyNumberFormat="1" applyFont="1" applyFill="1" applyBorder="1" applyAlignment="1" applyProtection="1">
      <alignment horizontal="center" vertical="center" wrapText="1"/>
    </xf>
    <xf numFmtId="0" fontId="16" fillId="2" borderId="14" xfId="0" applyFont="1" applyFill="1" applyBorder="1" applyAlignment="1" applyProtection="1">
      <alignment horizontal="center" vertical="center" wrapText="1"/>
      <protection locked="0"/>
    </xf>
    <xf numFmtId="9" fontId="16" fillId="2" borderId="1" xfId="2" applyFont="1" applyFill="1" applyBorder="1" applyAlignment="1" applyProtection="1">
      <alignment horizontal="center" vertical="center" wrapText="1"/>
      <protection locked="0"/>
    </xf>
    <xf numFmtId="1" fontId="14" fillId="0" borderId="14" xfId="2" applyNumberFormat="1" applyFont="1" applyFill="1" applyBorder="1" applyAlignment="1" applyProtection="1">
      <alignment horizontal="center" vertical="center" wrapText="1"/>
    </xf>
    <xf numFmtId="1" fontId="14" fillId="2" borderId="14" xfId="2" applyNumberFormat="1" applyFont="1" applyFill="1" applyBorder="1" applyAlignment="1" applyProtection="1">
      <alignment horizontal="center" vertical="center" wrapText="1"/>
    </xf>
    <xf numFmtId="1" fontId="15" fillId="2" borderId="7" xfId="2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Alignment="1" applyProtection="1">
      <alignment horizontal="center" vertical="center"/>
      <protection locked="0"/>
    </xf>
    <xf numFmtId="0" fontId="18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14" xfId="0" applyFont="1" applyFill="1" applyBorder="1" applyAlignment="1" applyProtection="1">
      <alignment horizontal="center" vertical="center" wrapText="1"/>
      <protection locked="0"/>
    </xf>
    <xf numFmtId="9" fontId="10" fillId="2" borderId="1" xfId="2" applyFont="1" applyFill="1" applyBorder="1" applyAlignment="1" applyProtection="1">
      <alignment horizontal="center" vertical="center" wrapText="1"/>
      <protection locked="0"/>
    </xf>
    <xf numFmtId="0" fontId="20" fillId="0" borderId="17" xfId="0" applyFont="1" applyFill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 applyProtection="1">
      <alignment horizontal="center" vertical="center" wrapText="1"/>
      <protection locked="0"/>
    </xf>
    <xf numFmtId="0" fontId="10" fillId="2" borderId="18" xfId="0" applyFont="1" applyFill="1" applyBorder="1" applyAlignment="1" applyProtection="1">
      <alignment horizontal="center" vertical="center" wrapText="1"/>
      <protection locked="0"/>
    </xf>
    <xf numFmtId="0" fontId="18" fillId="0" borderId="18" xfId="0" applyFont="1" applyBorder="1" applyAlignment="1" applyProtection="1">
      <alignment horizontal="center" vertical="center" wrapText="1"/>
      <protection locked="0"/>
    </xf>
    <xf numFmtId="0" fontId="10" fillId="0" borderId="17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 applyProtection="1">
      <alignment horizontal="center" vertical="center" wrapText="1"/>
      <protection locked="0"/>
    </xf>
    <xf numFmtId="0" fontId="10" fillId="0" borderId="10" xfId="0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5" xfId="0" applyFont="1" applyFill="1" applyBorder="1" applyAlignment="1" applyProtection="1">
      <alignment horizontal="center" vertical="center" wrapText="1"/>
      <protection locked="0"/>
    </xf>
    <xf numFmtId="0" fontId="18" fillId="0" borderId="10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9" xfId="0" applyFont="1" applyFill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8" fillId="0" borderId="0" xfId="0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 applyProtection="1">
      <alignment horizontal="center" vertical="center" wrapText="1"/>
    </xf>
    <xf numFmtId="0" fontId="18" fillId="0" borderId="1" xfId="0" applyNumberFormat="1" applyFont="1" applyFill="1" applyBorder="1" applyAlignment="1" applyProtection="1">
      <alignment horizontal="center" vertical="center" wrapText="1"/>
    </xf>
    <xf numFmtId="0" fontId="21" fillId="0" borderId="0" xfId="0" applyFont="1" applyBorder="1" applyAlignment="1" applyProtection="1">
      <alignment horizontal="center" vertical="center" wrapText="1"/>
      <protection locked="0"/>
    </xf>
    <xf numFmtId="3" fontId="10" fillId="0" borderId="0" xfId="0" applyNumberFormat="1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22" fillId="2" borderId="1" xfId="0" applyFont="1" applyFill="1" applyBorder="1" applyAlignment="1" applyProtection="1">
      <alignment horizontal="center" vertical="center" wrapText="1"/>
    </xf>
    <xf numFmtId="0" fontId="22" fillId="0" borderId="1" xfId="0" applyFont="1" applyBorder="1" applyAlignment="1" applyProtection="1">
      <alignment horizontal="center" vertical="center" wrapText="1"/>
      <protection locked="0"/>
    </xf>
    <xf numFmtId="9" fontId="22" fillId="2" borderId="1" xfId="2" applyFont="1" applyFill="1" applyBorder="1" applyAlignment="1" applyProtection="1">
      <alignment horizontal="center" vertical="center" wrapText="1"/>
    </xf>
    <xf numFmtId="9" fontId="22" fillId="0" borderId="1" xfId="2" applyFont="1" applyFill="1" applyBorder="1" applyAlignment="1" applyProtection="1">
      <alignment horizontal="center" vertical="center" wrapText="1"/>
    </xf>
    <xf numFmtId="0" fontId="22" fillId="0" borderId="1" xfId="2" applyNumberFormat="1" applyFont="1" applyFill="1" applyBorder="1" applyAlignment="1" applyProtection="1">
      <alignment horizontal="center" vertical="center" wrapText="1"/>
    </xf>
    <xf numFmtId="0" fontId="22" fillId="2" borderId="1" xfId="2" applyNumberFormat="1" applyFont="1" applyFill="1" applyBorder="1" applyAlignment="1" applyProtection="1">
      <alignment horizontal="center" vertical="center" wrapText="1"/>
    </xf>
    <xf numFmtId="0" fontId="22" fillId="0" borderId="1" xfId="0" applyFont="1" applyFill="1" applyBorder="1" applyAlignment="1" applyProtection="1">
      <alignment horizontal="center" vertical="center" wrapText="1"/>
    </xf>
    <xf numFmtId="0" fontId="22" fillId="2" borderId="3" xfId="0" applyFont="1" applyFill="1" applyBorder="1" applyAlignment="1" applyProtection="1">
      <alignment horizontal="center" vertical="center" wrapText="1"/>
    </xf>
    <xf numFmtId="3" fontId="22" fillId="0" borderId="1" xfId="2" applyNumberFormat="1" applyFont="1" applyFill="1" applyBorder="1" applyAlignment="1" applyProtection="1">
      <alignment horizontal="center" vertical="center" wrapText="1"/>
    </xf>
    <xf numFmtId="1" fontId="22" fillId="0" borderId="1" xfId="2" applyNumberFormat="1" applyFont="1" applyFill="1" applyBorder="1" applyAlignment="1" applyProtection="1">
      <alignment horizontal="center" vertical="center" wrapText="1"/>
    </xf>
    <xf numFmtId="0" fontId="22" fillId="0" borderId="3" xfId="0" applyFont="1" applyFill="1" applyBorder="1" applyAlignment="1" applyProtection="1">
      <alignment horizontal="center" vertical="center" wrapText="1"/>
    </xf>
    <xf numFmtId="0" fontId="22" fillId="2" borderId="1" xfId="0" applyFont="1" applyFill="1" applyBorder="1" applyAlignment="1" applyProtection="1">
      <alignment horizontal="center" vertical="center" wrapText="1"/>
      <protection locked="0"/>
    </xf>
    <xf numFmtId="3" fontId="22" fillId="2" borderId="1" xfId="2" applyNumberFormat="1" applyFont="1" applyFill="1" applyBorder="1" applyAlignment="1" applyProtection="1">
      <alignment horizontal="center" vertical="center" wrapText="1"/>
    </xf>
    <xf numFmtId="1" fontId="22" fillId="2" borderId="1" xfId="2" applyNumberFormat="1" applyFont="1" applyFill="1" applyBorder="1" applyAlignment="1" applyProtection="1">
      <alignment horizontal="center" vertical="center" wrapText="1"/>
    </xf>
    <xf numFmtId="0" fontId="10" fillId="0" borderId="0" xfId="0" applyFont="1"/>
    <xf numFmtId="0" fontId="25" fillId="2" borderId="14" xfId="0" applyFont="1" applyFill="1" applyBorder="1" applyAlignment="1" applyProtection="1">
      <alignment horizontal="center" vertical="center" wrapText="1"/>
      <protection locked="0"/>
    </xf>
    <xf numFmtId="0" fontId="24" fillId="2" borderId="3" xfId="0" applyFont="1" applyFill="1" applyBorder="1" applyAlignment="1" applyProtection="1">
      <alignment horizontal="center" vertical="center" wrapText="1"/>
      <protection locked="0"/>
    </xf>
    <xf numFmtId="0" fontId="25" fillId="2" borderId="1" xfId="0" applyFont="1" applyFill="1" applyBorder="1" applyAlignment="1" applyProtection="1">
      <alignment horizontal="center" vertical="center" wrapText="1"/>
      <protection locked="0"/>
    </xf>
    <xf numFmtId="9" fontId="25" fillId="2" borderId="1" xfId="2" applyFont="1" applyFill="1" applyBorder="1" applyAlignment="1" applyProtection="1">
      <alignment horizontal="center" vertical="center" wrapText="1"/>
      <protection locked="0"/>
    </xf>
    <xf numFmtId="0" fontId="24" fillId="2" borderId="8" xfId="0" applyFont="1" applyFill="1" applyBorder="1" applyAlignment="1" applyProtection="1">
      <alignment horizontal="center" vertical="center" wrapText="1"/>
      <protection locked="0"/>
    </xf>
    <xf numFmtId="0" fontId="24" fillId="2" borderId="2" xfId="0" applyFont="1" applyFill="1" applyBorder="1" applyAlignment="1" applyProtection="1">
      <alignment horizontal="center" vertical="center" wrapText="1"/>
      <protection locked="0"/>
    </xf>
    <xf numFmtId="0" fontId="23" fillId="0" borderId="17" xfId="0" applyFont="1" applyFill="1" applyBorder="1" applyAlignment="1" applyProtection="1">
      <alignment horizontal="center" vertical="center" wrapText="1"/>
      <protection locked="0"/>
    </xf>
    <xf numFmtId="0" fontId="24" fillId="0" borderId="10" xfId="0" applyFont="1" applyBorder="1" applyAlignment="1" applyProtection="1">
      <alignment horizontal="center" vertical="center" wrapText="1"/>
      <protection locked="0"/>
    </xf>
    <xf numFmtId="0" fontId="25" fillId="2" borderId="18" xfId="0" applyFont="1" applyFill="1" applyBorder="1" applyAlignment="1" applyProtection="1">
      <alignment horizontal="center" vertical="center" wrapText="1"/>
      <protection locked="0"/>
    </xf>
    <xf numFmtId="0" fontId="24" fillId="0" borderId="18" xfId="0" applyFont="1" applyBorder="1" applyAlignment="1" applyProtection="1">
      <alignment horizontal="center" vertical="center" wrapText="1"/>
      <protection locked="0"/>
    </xf>
    <xf numFmtId="0" fontId="25" fillId="0" borderId="17" xfId="0" applyFont="1" applyFill="1" applyBorder="1" applyAlignment="1" applyProtection="1">
      <alignment horizontal="center" vertical="center" wrapText="1"/>
      <protection locked="0"/>
    </xf>
    <xf numFmtId="0" fontId="25" fillId="0" borderId="0" xfId="0" applyFont="1" applyFill="1" applyBorder="1" applyAlignment="1" applyProtection="1">
      <alignment horizontal="center" vertical="center" wrapText="1"/>
      <protection locked="0"/>
    </xf>
    <xf numFmtId="0" fontId="25" fillId="0" borderId="10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4" fillId="0" borderId="5" xfId="0" applyFont="1" applyFill="1" applyBorder="1" applyAlignment="1" applyProtection="1">
      <alignment horizontal="center" vertical="center" wrapText="1"/>
      <protection locked="0"/>
    </xf>
    <xf numFmtId="0" fontId="24" fillId="0" borderId="10" xfId="0" applyFont="1" applyFill="1" applyBorder="1" applyAlignment="1" applyProtection="1">
      <alignment horizontal="center" vertical="center" wrapText="1"/>
      <protection locked="0"/>
    </xf>
    <xf numFmtId="0" fontId="25" fillId="2" borderId="2" xfId="0" applyFont="1" applyFill="1" applyBorder="1" applyAlignment="1" applyProtection="1">
      <alignment horizontal="center" vertical="center" wrapText="1"/>
      <protection locked="0"/>
    </xf>
    <xf numFmtId="0" fontId="25" fillId="0" borderId="2" xfId="0" applyFont="1" applyFill="1" applyBorder="1" applyAlignment="1" applyProtection="1">
      <alignment horizontal="center" vertical="center" wrapText="1"/>
      <protection locked="0"/>
    </xf>
    <xf numFmtId="0" fontId="25" fillId="0" borderId="9" xfId="0" applyFont="1" applyFill="1" applyBorder="1" applyAlignment="1" applyProtection="1">
      <alignment horizontal="center" vertical="center" wrapText="1"/>
      <protection locked="0"/>
    </xf>
    <xf numFmtId="0" fontId="25" fillId="0" borderId="9" xfId="0" applyFont="1" applyBorder="1" applyAlignment="1" applyProtection="1">
      <alignment horizontal="center" vertical="center" wrapText="1"/>
      <protection locked="0"/>
    </xf>
    <xf numFmtId="0" fontId="25" fillId="0" borderId="11" xfId="0" applyFont="1" applyBorder="1" applyAlignment="1" applyProtection="1">
      <alignment horizontal="center" vertical="center" wrapText="1"/>
      <protection locked="0"/>
    </xf>
    <xf numFmtId="0" fontId="24" fillId="0" borderId="0" xfId="0" applyFont="1" applyFill="1" applyBorder="1" applyAlignment="1" applyProtection="1">
      <alignment horizontal="center" vertical="center" wrapText="1"/>
      <protection locked="0"/>
    </xf>
    <xf numFmtId="164" fontId="24" fillId="0" borderId="1" xfId="1" applyFont="1" applyFill="1" applyBorder="1" applyAlignment="1" applyProtection="1">
      <alignment horizontal="center" vertical="center" wrapText="1"/>
    </xf>
    <xf numFmtId="0" fontId="24" fillId="0" borderId="1" xfId="1" applyNumberFormat="1" applyFont="1" applyFill="1" applyBorder="1" applyAlignment="1" applyProtection="1">
      <alignment horizontal="center" vertical="center" wrapText="1"/>
    </xf>
    <xf numFmtId="3" fontId="24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24" fillId="0" borderId="1" xfId="1" applyNumberFormat="1" applyFont="1" applyFill="1" applyBorder="1" applyAlignment="1" applyProtection="1">
      <alignment horizontal="center" vertical="center" wrapText="1"/>
    </xf>
    <xf numFmtId="0" fontId="24" fillId="0" borderId="1" xfId="0" applyNumberFormat="1" applyFont="1" applyFill="1" applyBorder="1" applyAlignment="1" applyProtection="1">
      <alignment horizontal="center" vertical="center" wrapText="1"/>
    </xf>
    <xf numFmtId="3" fontId="24" fillId="0" borderId="1" xfId="0" applyNumberFormat="1" applyFont="1" applyFill="1" applyBorder="1" applyAlignment="1" applyProtection="1">
      <alignment horizontal="center" vertical="center" wrapText="1"/>
    </xf>
    <xf numFmtId="164" fontId="24" fillId="5" borderId="1" xfId="1" applyFont="1" applyFill="1" applyBorder="1" applyAlignment="1" applyProtection="1">
      <alignment horizontal="center" vertical="center" wrapText="1"/>
    </xf>
    <xf numFmtId="0" fontId="24" fillId="5" borderId="1" xfId="0" applyNumberFormat="1" applyFont="1" applyFill="1" applyBorder="1" applyAlignment="1" applyProtection="1">
      <alignment horizontal="center" vertical="center" wrapText="1"/>
    </xf>
    <xf numFmtId="3" fontId="24" fillId="5" borderId="1" xfId="0" applyNumberFormat="1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 wrapText="1"/>
    </xf>
    <xf numFmtId="0" fontId="24" fillId="5" borderId="1" xfId="0" applyFont="1" applyFill="1" applyBorder="1" applyAlignment="1" applyProtection="1">
      <alignment horizontal="center" vertical="center" wrapText="1"/>
    </xf>
    <xf numFmtId="164" fontId="24" fillId="6" borderId="1" xfId="1" applyFont="1" applyFill="1" applyBorder="1" applyAlignment="1" applyProtection="1">
      <alignment horizontal="center" vertical="center" wrapText="1"/>
    </xf>
    <xf numFmtId="0" fontId="24" fillId="6" borderId="1" xfId="1" applyNumberFormat="1" applyFont="1" applyFill="1" applyBorder="1" applyAlignment="1" applyProtection="1">
      <alignment horizontal="center" vertical="center" wrapText="1"/>
    </xf>
    <xf numFmtId="3" fontId="24" fillId="6" borderId="1" xfId="1" applyNumberFormat="1" applyFont="1" applyFill="1" applyBorder="1" applyAlignment="1" applyProtection="1">
      <alignment horizontal="center" vertical="center" wrapText="1"/>
    </xf>
    <xf numFmtId="3" fontId="24" fillId="6" borderId="1" xfId="0" applyNumberFormat="1" applyFont="1" applyFill="1" applyBorder="1" applyAlignment="1" applyProtection="1">
      <alignment horizontal="center" vertical="center" wrapText="1"/>
      <protection locked="0"/>
    </xf>
    <xf numFmtId="164" fontId="24" fillId="7" borderId="1" xfId="1" applyFont="1" applyFill="1" applyBorder="1" applyAlignment="1" applyProtection="1">
      <alignment horizontal="center" vertical="center" wrapText="1"/>
    </xf>
    <xf numFmtId="3" fontId="24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4" fillId="7" borderId="1" xfId="1" applyNumberFormat="1" applyFont="1" applyFill="1" applyBorder="1" applyAlignment="1" applyProtection="1">
      <alignment horizontal="center" vertical="center" wrapText="1"/>
    </xf>
    <xf numFmtId="164" fontId="24" fillId="8" borderId="1" xfId="1" applyFont="1" applyFill="1" applyBorder="1" applyAlignment="1" applyProtection="1">
      <alignment horizontal="center" vertical="center" wrapText="1"/>
    </xf>
    <xf numFmtId="0" fontId="24" fillId="8" borderId="1" xfId="1" applyNumberFormat="1" applyFont="1" applyFill="1" applyBorder="1" applyAlignment="1" applyProtection="1">
      <alignment horizontal="center" vertical="center" wrapText="1"/>
    </xf>
    <xf numFmtId="3" fontId="24" fillId="8" borderId="1" xfId="1" applyNumberFormat="1" applyFont="1" applyFill="1" applyBorder="1" applyAlignment="1" applyProtection="1">
      <alignment horizontal="center" vertical="center" wrapText="1"/>
    </xf>
    <xf numFmtId="0" fontId="24" fillId="4" borderId="4" xfId="0" applyFont="1" applyFill="1" applyBorder="1" applyAlignment="1" applyProtection="1">
      <alignment horizontal="center" vertical="center" wrapText="1"/>
      <protection locked="0"/>
    </xf>
    <xf numFmtId="164" fontId="24" fillId="4" borderId="2" xfId="1" applyFont="1" applyFill="1" applyBorder="1" applyAlignment="1" applyProtection="1">
      <alignment horizontal="center" vertical="center" wrapText="1"/>
    </xf>
    <xf numFmtId="0" fontId="24" fillId="4" borderId="2" xfId="1" applyNumberFormat="1" applyFont="1" applyFill="1" applyBorder="1" applyAlignment="1" applyProtection="1">
      <alignment horizontal="center" vertical="center" wrapText="1"/>
    </xf>
    <xf numFmtId="3" fontId="24" fillId="4" borderId="2" xfId="1" applyNumberFormat="1" applyFont="1" applyFill="1" applyBorder="1" applyAlignment="1" applyProtection="1">
      <alignment horizontal="center" vertical="center" wrapText="1"/>
    </xf>
    <xf numFmtId="164" fontId="24" fillId="9" borderId="1" xfId="1" applyFont="1" applyFill="1" applyBorder="1" applyAlignment="1" applyProtection="1">
      <alignment horizontal="center" vertical="center" wrapText="1"/>
    </xf>
    <xf numFmtId="0" fontId="24" fillId="9" borderId="1" xfId="1" applyNumberFormat="1" applyFont="1" applyFill="1" applyBorder="1" applyAlignment="1" applyProtection="1">
      <alignment horizontal="center" vertical="center" wrapText="1"/>
    </xf>
    <xf numFmtId="3" fontId="24" fillId="9" borderId="1" xfId="1" applyNumberFormat="1" applyFont="1" applyFill="1" applyBorder="1" applyAlignment="1" applyProtection="1">
      <alignment horizontal="center" vertical="center" wrapText="1"/>
    </xf>
    <xf numFmtId="3" fontId="24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0" borderId="0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7" fillId="2" borderId="1" xfId="0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center" vertical="center" wrapText="1"/>
      <protection locked="0"/>
    </xf>
    <xf numFmtId="9" fontId="27" fillId="2" borderId="1" xfId="2" applyFont="1" applyFill="1" applyBorder="1" applyAlignment="1" applyProtection="1">
      <alignment horizontal="center" vertical="center" wrapText="1"/>
    </xf>
    <xf numFmtId="9" fontId="27" fillId="0" borderId="1" xfId="2" applyFont="1" applyFill="1" applyBorder="1" applyAlignment="1" applyProtection="1">
      <alignment horizontal="center" vertical="center" wrapText="1"/>
    </xf>
    <xf numFmtId="0" fontId="27" fillId="0" borderId="1" xfId="2" applyNumberFormat="1" applyFont="1" applyFill="1" applyBorder="1" applyAlignment="1" applyProtection="1">
      <alignment horizontal="center" vertical="center" wrapText="1"/>
    </xf>
    <xf numFmtId="0" fontId="27" fillId="2" borderId="1" xfId="2" applyNumberFormat="1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 applyProtection="1">
      <alignment horizontal="center" vertical="center" wrapText="1"/>
    </xf>
    <xf numFmtId="0" fontId="27" fillId="2" borderId="3" xfId="0" applyFont="1" applyFill="1" applyBorder="1" applyAlignment="1" applyProtection="1">
      <alignment horizontal="center" vertical="center" wrapText="1"/>
    </xf>
    <xf numFmtId="3" fontId="27" fillId="0" borderId="1" xfId="2" applyNumberFormat="1" applyFont="1" applyFill="1" applyBorder="1" applyAlignment="1" applyProtection="1">
      <alignment horizontal="center" vertical="center" wrapText="1"/>
    </xf>
    <xf numFmtId="1" fontId="27" fillId="0" borderId="1" xfId="2" applyNumberFormat="1" applyFont="1" applyFill="1" applyBorder="1" applyAlignment="1" applyProtection="1">
      <alignment horizontal="center" vertical="center" wrapText="1"/>
    </xf>
    <xf numFmtId="1" fontId="27" fillId="0" borderId="14" xfId="2" applyNumberFormat="1" applyFont="1" applyFill="1" applyBorder="1" applyAlignment="1" applyProtection="1">
      <alignment horizontal="center" vertical="center" wrapText="1"/>
    </xf>
    <xf numFmtId="0" fontId="27" fillId="2" borderId="14" xfId="0" applyFont="1" applyFill="1" applyBorder="1" applyAlignment="1" applyProtection="1">
      <alignment horizontal="center" vertical="center" wrapText="1"/>
    </xf>
    <xf numFmtId="0" fontId="27" fillId="0" borderId="3" xfId="0" applyFont="1" applyFill="1" applyBorder="1" applyAlignment="1" applyProtection="1">
      <alignment horizontal="center" vertical="center" wrapText="1"/>
    </xf>
    <xf numFmtId="0" fontId="27" fillId="2" borderId="1" xfId="0" applyFont="1" applyFill="1" applyBorder="1" applyAlignment="1" applyProtection="1">
      <alignment horizontal="center" vertical="center" wrapText="1"/>
      <protection locked="0"/>
    </xf>
    <xf numFmtId="3" fontId="27" fillId="2" borderId="1" xfId="2" applyNumberFormat="1" applyFont="1" applyFill="1" applyBorder="1" applyAlignment="1" applyProtection="1">
      <alignment horizontal="center" vertical="center" wrapText="1"/>
    </xf>
    <xf numFmtId="1" fontId="27" fillId="2" borderId="1" xfId="2" applyNumberFormat="1" applyFont="1" applyFill="1" applyBorder="1" applyAlignment="1" applyProtection="1">
      <alignment horizontal="center" vertical="center" wrapText="1"/>
    </xf>
    <xf numFmtId="1" fontId="27" fillId="2" borderId="14" xfId="2" applyNumberFormat="1" applyFont="1" applyFill="1" applyBorder="1" applyAlignment="1" applyProtection="1">
      <alignment horizontal="center" vertical="center" wrapText="1"/>
    </xf>
    <xf numFmtId="0" fontId="27" fillId="5" borderId="1" xfId="0" applyFont="1" applyFill="1" applyBorder="1" applyAlignment="1" applyProtection="1">
      <alignment horizontal="center" vertical="center" wrapText="1"/>
    </xf>
    <xf numFmtId="0" fontId="27" fillId="5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 applyProtection="1">
      <alignment horizontal="center" vertical="center" wrapText="1"/>
    </xf>
    <xf numFmtId="9" fontId="27" fillId="6" borderId="1" xfId="2" applyFont="1" applyFill="1" applyBorder="1" applyAlignment="1" applyProtection="1">
      <alignment horizontal="center" vertical="center" wrapText="1"/>
    </xf>
    <xf numFmtId="0" fontId="27" fillId="6" borderId="1" xfId="2" applyNumberFormat="1" applyFont="1" applyFill="1" applyBorder="1" applyAlignment="1" applyProtection="1">
      <alignment horizontal="center" vertical="center" wrapText="1"/>
    </xf>
    <xf numFmtId="3" fontId="27" fillId="6" borderId="1" xfId="2" applyNumberFormat="1" applyFont="1" applyFill="1" applyBorder="1" applyAlignment="1" applyProtection="1">
      <alignment horizontal="center" vertical="center" wrapText="1"/>
    </xf>
    <xf numFmtId="1" fontId="27" fillId="6" borderId="1" xfId="2" applyNumberFormat="1" applyFont="1" applyFill="1" applyBorder="1" applyAlignment="1" applyProtection="1">
      <alignment horizontal="center" vertical="center" wrapText="1"/>
    </xf>
    <xf numFmtId="1" fontId="27" fillId="6" borderId="14" xfId="2" applyNumberFormat="1" applyFont="1" applyFill="1" applyBorder="1" applyAlignment="1" applyProtection="1">
      <alignment horizontal="center" vertical="center" wrapText="1"/>
    </xf>
    <xf numFmtId="0" fontId="27" fillId="6" borderId="14" xfId="0" applyFont="1" applyFill="1" applyBorder="1" applyAlignment="1" applyProtection="1">
      <alignment horizontal="center" vertical="center" wrapText="1"/>
    </xf>
    <xf numFmtId="0" fontId="27" fillId="7" borderId="1" xfId="0" applyFont="1" applyFill="1" applyBorder="1" applyAlignment="1" applyProtection="1">
      <alignment horizontal="center" vertical="center" wrapText="1"/>
      <protection locked="0"/>
    </xf>
    <xf numFmtId="0" fontId="27" fillId="7" borderId="1" xfId="0" applyFont="1" applyFill="1" applyBorder="1" applyAlignment="1" applyProtection="1">
      <alignment horizontal="center" vertical="center" wrapText="1"/>
    </xf>
    <xf numFmtId="9" fontId="27" fillId="7" borderId="1" xfId="2" applyFont="1" applyFill="1" applyBorder="1" applyAlignment="1" applyProtection="1">
      <alignment horizontal="center" vertical="center" wrapText="1"/>
    </xf>
    <xf numFmtId="0" fontId="27" fillId="7" borderId="1" xfId="2" applyNumberFormat="1" applyFont="1" applyFill="1" applyBorder="1" applyAlignment="1" applyProtection="1">
      <alignment horizontal="center" vertical="center" wrapText="1"/>
    </xf>
    <xf numFmtId="3" fontId="27" fillId="7" borderId="1" xfId="2" applyNumberFormat="1" applyFont="1" applyFill="1" applyBorder="1" applyAlignment="1" applyProtection="1">
      <alignment horizontal="center" vertical="center" wrapText="1"/>
    </xf>
    <xf numFmtId="1" fontId="27" fillId="7" borderId="1" xfId="2" applyNumberFormat="1" applyFont="1" applyFill="1" applyBorder="1" applyAlignment="1" applyProtection="1">
      <alignment horizontal="center" vertical="center" wrapText="1"/>
    </xf>
    <xf numFmtId="1" fontId="27" fillId="7" borderId="14" xfId="2" applyNumberFormat="1" applyFont="1" applyFill="1" applyBorder="1" applyAlignment="1" applyProtection="1">
      <alignment horizontal="center" vertical="center" wrapText="1"/>
    </xf>
    <xf numFmtId="0" fontId="27" fillId="8" borderId="1" xfId="0" applyFont="1" applyFill="1" applyBorder="1" applyAlignment="1" applyProtection="1">
      <alignment horizontal="center" vertical="center" wrapText="1"/>
    </xf>
    <xf numFmtId="0" fontId="27" fillId="8" borderId="1" xfId="0" applyFont="1" applyFill="1" applyBorder="1" applyAlignment="1" applyProtection="1">
      <alignment horizontal="center" vertical="center" wrapText="1"/>
      <protection locked="0"/>
    </xf>
    <xf numFmtId="9" fontId="27" fillId="8" borderId="1" xfId="2" applyFont="1" applyFill="1" applyBorder="1" applyAlignment="1" applyProtection="1">
      <alignment horizontal="center" vertical="center" wrapText="1"/>
    </xf>
    <xf numFmtId="0" fontId="27" fillId="8" borderId="14" xfId="0" applyFont="1" applyFill="1" applyBorder="1" applyAlignment="1" applyProtection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9" fontId="27" fillId="4" borderId="1" xfId="2" applyFont="1" applyFill="1" applyBorder="1" applyAlignment="1" applyProtection="1">
      <alignment horizontal="center" vertical="center" wrapText="1"/>
    </xf>
    <xf numFmtId="3" fontId="27" fillId="4" borderId="1" xfId="2" applyNumberFormat="1" applyFont="1" applyFill="1" applyBorder="1" applyAlignment="1" applyProtection="1">
      <alignment horizontal="center" vertical="center" wrapText="1"/>
    </xf>
    <xf numFmtId="1" fontId="27" fillId="4" borderId="1" xfId="2" applyNumberFormat="1" applyFont="1" applyFill="1" applyBorder="1" applyAlignment="1" applyProtection="1">
      <alignment horizontal="center" vertical="center" wrapText="1"/>
    </xf>
    <xf numFmtId="1" fontId="27" fillId="4" borderId="14" xfId="2" applyNumberFormat="1" applyFont="1" applyFill="1" applyBorder="1" applyAlignment="1" applyProtection="1">
      <alignment horizontal="center" vertical="center" wrapText="1"/>
    </xf>
    <xf numFmtId="0" fontId="27" fillId="4" borderId="14" xfId="0" applyFont="1" applyFill="1" applyBorder="1" applyAlignment="1" applyProtection="1">
      <alignment horizontal="center" vertical="center" wrapText="1"/>
    </xf>
    <xf numFmtId="0" fontId="25" fillId="0" borderId="0" xfId="0" applyFont="1"/>
    <xf numFmtId="0" fontId="25" fillId="10" borderId="1" xfId="0" applyFont="1" applyFill="1" applyBorder="1" applyAlignment="1" applyProtection="1">
      <alignment horizontal="center" vertical="center" wrapText="1"/>
      <protection locked="0"/>
    </xf>
    <xf numFmtId="0" fontId="27" fillId="10" borderId="1" xfId="0" applyFont="1" applyFill="1" applyBorder="1" applyAlignment="1" applyProtection="1">
      <alignment horizontal="center" vertical="center" wrapText="1"/>
      <protection locked="0"/>
    </xf>
    <xf numFmtId="0" fontId="25" fillId="10" borderId="0" xfId="0" applyFont="1" applyFill="1" applyAlignment="1">
      <alignment horizontal="center" vertical="center" wrapText="1"/>
    </xf>
    <xf numFmtId="0" fontId="25" fillId="10" borderId="0" xfId="0" applyFont="1" applyFill="1"/>
    <xf numFmtId="0" fontId="25" fillId="10" borderId="0" xfId="0" applyFont="1" applyFill="1" applyAlignment="1" applyProtection="1">
      <alignment horizontal="center" vertical="center" wrapText="1"/>
      <protection locked="0"/>
    </xf>
    <xf numFmtId="0" fontId="24" fillId="10" borderId="0" xfId="0" applyFont="1" applyFill="1" applyAlignment="1" applyProtection="1">
      <alignment horizontal="center" vertical="center" wrapText="1"/>
      <protection locked="0"/>
    </xf>
    <xf numFmtId="9" fontId="25" fillId="0" borderId="0" xfId="2" applyFont="1" applyFill="1" applyBorder="1" applyAlignment="1" applyProtection="1">
      <alignment horizontal="center" vertical="center" wrapText="1"/>
      <protection locked="0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22" fillId="4" borderId="1" xfId="0" applyFont="1" applyFill="1" applyBorder="1" applyAlignment="1" applyProtection="1">
      <alignment horizontal="center" vertical="center" wrapText="1"/>
      <protection locked="0"/>
    </xf>
    <xf numFmtId="3" fontId="24" fillId="11" borderId="1" xfId="0" applyNumberFormat="1" applyFont="1" applyFill="1" applyBorder="1" applyAlignment="1" applyProtection="1">
      <alignment horizontal="center" vertical="center" wrapText="1"/>
      <protection locked="0"/>
    </xf>
    <xf numFmtId="3" fontId="24" fillId="11" borderId="1" xfId="0" applyNumberFormat="1" applyFont="1" applyFill="1" applyBorder="1" applyAlignment="1" applyProtection="1">
      <alignment horizontal="center" vertical="center" wrapText="1"/>
    </xf>
    <xf numFmtId="0" fontId="27" fillId="11" borderId="1" xfId="0" applyFont="1" applyFill="1" applyBorder="1" applyAlignment="1" applyProtection="1">
      <alignment horizontal="center" vertical="center" wrapText="1"/>
      <protection locked="0"/>
    </xf>
    <xf numFmtId="9" fontId="27" fillId="11" borderId="1" xfId="2" applyFont="1" applyFill="1" applyBorder="1" applyAlignment="1" applyProtection="1">
      <alignment horizontal="center" vertical="center" wrapText="1"/>
    </xf>
    <xf numFmtId="0" fontId="27" fillId="11" borderId="1" xfId="2" applyNumberFormat="1" applyFont="1" applyFill="1" applyBorder="1" applyAlignment="1" applyProtection="1">
      <alignment horizontal="center" vertical="center" wrapText="1"/>
    </xf>
    <xf numFmtId="0" fontId="27" fillId="11" borderId="1" xfId="0" applyFont="1" applyFill="1" applyBorder="1" applyAlignment="1" applyProtection="1">
      <alignment horizontal="center" vertical="center" wrapText="1"/>
    </xf>
    <xf numFmtId="0" fontId="24" fillId="11" borderId="1" xfId="0" applyFont="1" applyFill="1" applyBorder="1" applyAlignment="1" applyProtection="1">
      <alignment horizontal="center" vertical="center" wrapText="1"/>
    </xf>
    <xf numFmtId="0" fontId="24" fillId="11" borderId="1" xfId="0" applyNumberFormat="1" applyFont="1" applyFill="1" applyBorder="1" applyAlignment="1" applyProtection="1">
      <alignment horizontal="center" vertical="center" wrapText="1"/>
    </xf>
    <xf numFmtId="0" fontId="28" fillId="12" borderId="1" xfId="0" applyFont="1" applyFill="1" applyBorder="1" applyAlignment="1" applyProtection="1">
      <alignment horizontal="center" vertical="center" wrapText="1"/>
    </xf>
    <xf numFmtId="0" fontId="29" fillId="12" borderId="1" xfId="0" applyFont="1" applyFill="1" applyBorder="1" applyAlignment="1" applyProtection="1">
      <alignment horizontal="center" vertical="center" wrapText="1"/>
    </xf>
    <xf numFmtId="0" fontId="29" fillId="12" borderId="1" xfId="0" applyNumberFormat="1" applyFont="1" applyFill="1" applyBorder="1" applyAlignment="1" applyProtection="1">
      <alignment horizontal="center" vertical="center" wrapText="1"/>
    </xf>
    <xf numFmtId="3" fontId="29" fillId="12" borderId="1" xfId="0" applyNumberFormat="1" applyFont="1" applyFill="1" applyBorder="1" applyAlignment="1" applyProtection="1">
      <alignment horizontal="center" vertical="center" wrapText="1"/>
    </xf>
    <xf numFmtId="0" fontId="28" fillId="12" borderId="1" xfId="0" applyFont="1" applyFill="1" applyBorder="1" applyAlignment="1" applyProtection="1">
      <alignment horizontal="center" vertical="center" wrapText="1"/>
      <protection locked="0"/>
    </xf>
    <xf numFmtId="9" fontId="28" fillId="12" borderId="1" xfId="2" applyFont="1" applyFill="1" applyBorder="1" applyAlignment="1" applyProtection="1">
      <alignment horizontal="center" vertical="center" wrapText="1"/>
    </xf>
    <xf numFmtId="0" fontId="28" fillId="12" borderId="1" xfId="2" applyNumberFormat="1" applyFont="1" applyFill="1" applyBorder="1" applyAlignment="1" applyProtection="1">
      <alignment horizontal="center" vertical="center" wrapText="1"/>
    </xf>
    <xf numFmtId="3" fontId="28" fillId="12" borderId="1" xfId="2" applyNumberFormat="1" applyFont="1" applyFill="1" applyBorder="1" applyAlignment="1" applyProtection="1">
      <alignment horizontal="center" vertical="center" wrapText="1"/>
    </xf>
    <xf numFmtId="1" fontId="28" fillId="12" borderId="1" xfId="2" applyNumberFormat="1" applyFont="1" applyFill="1" applyBorder="1" applyAlignment="1" applyProtection="1">
      <alignment horizontal="center" vertical="center" wrapText="1"/>
    </xf>
    <xf numFmtId="9" fontId="27" fillId="5" borderId="1" xfId="2" applyFont="1" applyFill="1" applyBorder="1" applyAlignment="1" applyProtection="1">
      <alignment horizontal="center" vertical="center" wrapText="1"/>
      <protection locked="0"/>
    </xf>
    <xf numFmtId="1" fontId="27" fillId="5" borderId="1" xfId="0" applyNumberFormat="1" applyFont="1" applyFill="1" applyBorder="1" applyAlignment="1" applyProtection="1">
      <alignment horizontal="center" vertical="center" wrapText="1"/>
      <protection locked="0"/>
    </xf>
    <xf numFmtId="9" fontId="27" fillId="11" borderId="1" xfId="2" applyFont="1" applyFill="1" applyBorder="1" applyAlignment="1" applyProtection="1">
      <alignment horizontal="center" vertical="center" wrapText="1"/>
      <protection locked="0"/>
    </xf>
    <xf numFmtId="1" fontId="27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2" borderId="1" xfId="0" applyFont="1" applyFill="1" applyBorder="1" applyAlignment="1" applyProtection="1">
      <alignment horizontal="center" vertical="center" wrapText="1"/>
      <protection locked="0"/>
    </xf>
    <xf numFmtId="0" fontId="27" fillId="8" borderId="1" xfId="2" applyNumberFormat="1" applyFont="1" applyFill="1" applyBorder="1" applyAlignment="1" applyProtection="1">
      <alignment horizontal="center" vertical="center" wrapText="1"/>
    </xf>
    <xf numFmtId="0" fontId="27" fillId="8" borderId="3" xfId="0" applyFont="1" applyFill="1" applyBorder="1" applyAlignment="1" applyProtection="1">
      <alignment horizontal="center" vertical="center" wrapText="1"/>
    </xf>
    <xf numFmtId="3" fontId="27" fillId="8" borderId="1" xfId="2" applyNumberFormat="1" applyFont="1" applyFill="1" applyBorder="1" applyAlignment="1" applyProtection="1">
      <alignment horizontal="center" vertical="center" wrapText="1"/>
    </xf>
    <xf numFmtId="1" fontId="27" fillId="8" borderId="1" xfId="2" applyNumberFormat="1" applyFont="1" applyFill="1" applyBorder="1" applyAlignment="1" applyProtection="1">
      <alignment horizontal="center" vertical="center" wrapText="1"/>
    </xf>
    <xf numFmtId="1" fontId="27" fillId="8" borderId="14" xfId="2" applyNumberFormat="1" applyFont="1" applyFill="1" applyBorder="1" applyAlignment="1" applyProtection="1">
      <alignment horizontal="center" vertical="center" wrapText="1"/>
    </xf>
    <xf numFmtId="0" fontId="10" fillId="13" borderId="1" xfId="0" applyFont="1" applyFill="1" applyBorder="1" applyAlignment="1" applyProtection="1">
      <alignment horizontal="center" vertical="center" wrapText="1"/>
      <protection locked="0"/>
    </xf>
    <xf numFmtId="0" fontId="14" fillId="13" borderId="1" xfId="0" applyFont="1" applyFill="1" applyBorder="1" applyAlignment="1" applyProtection="1">
      <alignment horizontal="center" vertical="center" wrapText="1"/>
      <protection locked="0"/>
    </xf>
    <xf numFmtId="0" fontId="3" fillId="13" borderId="1" xfId="0" applyFont="1" applyFill="1" applyBorder="1" applyAlignment="1" applyProtection="1">
      <alignment horizontal="center" vertical="center" wrapText="1"/>
    </xf>
    <xf numFmtId="0" fontId="0" fillId="13" borderId="0" xfId="0" applyFill="1"/>
    <xf numFmtId="0" fontId="4" fillId="10" borderId="0" xfId="0" applyFont="1" applyFill="1" applyBorder="1" applyAlignment="1" applyProtection="1">
      <alignment horizontal="center" vertical="center"/>
    </xf>
    <xf numFmtId="0" fontId="0" fillId="10" borderId="0" xfId="0" applyFill="1" applyAlignment="1" applyProtection="1">
      <alignment horizontal="center" vertical="center"/>
      <protection locked="0"/>
    </xf>
    <xf numFmtId="0" fontId="20" fillId="0" borderId="1" xfId="0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 applyProtection="1">
      <alignment horizontal="center" vertical="center" wrapText="1"/>
      <protection locked="0"/>
    </xf>
    <xf numFmtId="0" fontId="18" fillId="2" borderId="15" xfId="0" applyFont="1" applyFill="1" applyBorder="1" applyAlignment="1" applyProtection="1">
      <alignment horizontal="center" vertical="center" wrapText="1"/>
      <protection locked="0"/>
    </xf>
    <xf numFmtId="0" fontId="18" fillId="0" borderId="6" xfId="0" applyFont="1" applyFill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22" fillId="4" borderId="1" xfId="0" applyFont="1" applyFill="1" applyBorder="1" applyAlignment="1" applyProtection="1">
      <alignment horizontal="center" vertical="center" wrapText="1"/>
    </xf>
    <xf numFmtId="0" fontId="18" fillId="4" borderId="1" xfId="0" applyFont="1" applyFill="1" applyBorder="1" applyAlignment="1" applyProtection="1">
      <alignment horizontal="center" vertical="center" wrapText="1"/>
    </xf>
    <xf numFmtId="0" fontId="18" fillId="4" borderId="1" xfId="0" applyNumberFormat="1" applyFont="1" applyFill="1" applyBorder="1" applyAlignment="1" applyProtection="1">
      <alignment horizontal="center" vertical="center" wrapText="1"/>
    </xf>
    <xf numFmtId="3" fontId="18" fillId="4" borderId="1" xfId="0" applyNumberFormat="1" applyFont="1" applyFill="1" applyBorder="1" applyAlignment="1" applyProtection="1">
      <alignment horizontal="center" vertical="center" wrapText="1"/>
    </xf>
    <xf numFmtId="9" fontId="22" fillId="4" borderId="1" xfId="2" applyFont="1" applyFill="1" applyBorder="1" applyAlignment="1" applyProtection="1">
      <alignment horizontal="center" vertical="center" wrapText="1"/>
    </xf>
    <xf numFmtId="0" fontId="22" fillId="4" borderId="1" xfId="2" applyNumberFormat="1" applyFont="1" applyFill="1" applyBorder="1" applyAlignment="1" applyProtection="1">
      <alignment horizontal="center" vertical="center" wrapText="1"/>
    </xf>
    <xf numFmtId="3" fontId="22" fillId="4" borderId="1" xfId="2" applyNumberFormat="1" applyFont="1" applyFill="1" applyBorder="1" applyAlignment="1" applyProtection="1">
      <alignment horizontal="center" vertical="center" wrapText="1"/>
    </xf>
    <xf numFmtId="1" fontId="22" fillId="4" borderId="1" xfId="2" applyNumberFormat="1" applyFont="1" applyFill="1" applyBorder="1" applyAlignment="1" applyProtection="1">
      <alignment horizontal="center" vertical="center" wrapText="1"/>
    </xf>
    <xf numFmtId="0" fontId="22" fillId="4" borderId="3" xfId="0" applyFont="1" applyFill="1" applyBorder="1" applyAlignment="1" applyProtection="1">
      <alignment horizontal="center" vertical="center" wrapText="1"/>
    </xf>
    <xf numFmtId="0" fontId="27" fillId="4" borderId="1" xfId="0" applyFont="1" applyFill="1" applyBorder="1" applyAlignment="1" applyProtection="1">
      <alignment horizontal="center" vertical="center" wrapText="1"/>
    </xf>
    <xf numFmtId="164" fontId="24" fillId="4" borderId="1" xfId="1" applyFont="1" applyFill="1" applyBorder="1" applyAlignment="1" applyProtection="1">
      <alignment horizontal="center" vertical="center" wrapText="1"/>
    </xf>
    <xf numFmtId="0" fontId="24" fillId="4" borderId="1" xfId="1" applyNumberFormat="1" applyFont="1" applyFill="1" applyBorder="1" applyAlignment="1" applyProtection="1">
      <alignment horizontal="center" vertical="center" wrapText="1"/>
    </xf>
    <xf numFmtId="3" fontId="24" fillId="4" borderId="1" xfId="1" applyNumberFormat="1" applyFont="1" applyFill="1" applyBorder="1" applyAlignment="1" applyProtection="1">
      <alignment horizontal="center" vertical="center" wrapText="1"/>
    </xf>
    <xf numFmtId="3" fontId="2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4" borderId="1" xfId="0" applyFont="1" applyFill="1" applyBorder="1" applyAlignment="1" applyProtection="1">
      <alignment horizontal="center" vertical="center" wrapText="1"/>
      <protection locked="0"/>
    </xf>
    <xf numFmtId="0" fontId="27" fillId="4" borderId="1" xfId="2" applyNumberFormat="1" applyFont="1" applyFill="1" applyBorder="1" applyAlignment="1" applyProtection="1">
      <alignment horizontal="center" vertical="center" wrapText="1"/>
    </xf>
    <xf numFmtId="0" fontId="27" fillId="4" borderId="3" xfId="0" applyFont="1" applyFill="1" applyBorder="1" applyAlignment="1" applyProtection="1">
      <alignment horizontal="center" vertical="center" wrapText="1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4" fillId="0" borderId="1" xfId="0" applyFont="1" applyBorder="1" applyAlignment="1" applyProtection="1">
      <alignment horizontal="center" vertical="center" wrapText="1"/>
      <protection locked="0"/>
    </xf>
    <xf numFmtId="0" fontId="34" fillId="2" borderId="1" xfId="0" applyFont="1" applyFill="1" applyBorder="1" applyAlignment="1" applyProtection="1">
      <alignment horizontal="center" vertical="center" wrapText="1"/>
      <protection locked="0"/>
    </xf>
    <xf numFmtId="0" fontId="33" fillId="0" borderId="1" xfId="0" applyNumberFormat="1" applyFont="1" applyFill="1" applyBorder="1" applyAlignment="1" applyProtection="1">
      <alignment horizontal="center" vertical="center" wrapText="1"/>
    </xf>
    <xf numFmtId="0" fontId="33" fillId="0" borderId="1" xfId="0" applyFont="1" applyFill="1" applyBorder="1" applyAlignment="1" applyProtection="1">
      <alignment horizontal="center" vertical="center" wrapText="1"/>
    </xf>
    <xf numFmtId="0" fontId="34" fillId="2" borderId="1" xfId="0" applyFont="1" applyFill="1" applyBorder="1" applyAlignment="1" applyProtection="1">
      <alignment horizontal="center" vertical="center" wrapText="1"/>
    </xf>
    <xf numFmtId="0" fontId="24" fillId="2" borderId="1" xfId="0" applyFont="1" applyFill="1" applyBorder="1" applyAlignment="1" applyProtection="1">
      <alignment horizontal="center" vertical="center" wrapText="1"/>
      <protection locked="0"/>
    </xf>
    <xf numFmtId="0" fontId="24" fillId="8" borderId="1" xfId="0" applyNumberFormat="1" applyFont="1" applyFill="1" applyBorder="1" applyAlignment="1" applyProtection="1">
      <alignment horizontal="center" vertical="center" wrapText="1"/>
    </xf>
    <xf numFmtId="0" fontId="24" fillId="8" borderId="1" xfId="0" applyFont="1" applyFill="1" applyBorder="1" applyAlignment="1" applyProtection="1">
      <alignment horizontal="center" vertical="center" wrapText="1"/>
    </xf>
    <xf numFmtId="3" fontId="24" fillId="8" borderId="1" xfId="0" applyNumberFormat="1" applyFont="1" applyFill="1" applyBorder="1" applyAlignment="1" applyProtection="1">
      <alignment horizontal="center" vertical="center" wrapText="1"/>
    </xf>
    <xf numFmtId="3" fontId="24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29" fillId="2" borderId="1" xfId="0" applyFont="1" applyFill="1" applyBorder="1" applyAlignment="1" applyProtection="1">
      <alignment horizontal="center" vertical="center" wrapText="1"/>
      <protection locked="0"/>
    </xf>
    <xf numFmtId="0" fontId="35" fillId="0" borderId="0" xfId="0" applyFont="1" applyBorder="1" applyAlignment="1" applyProtection="1">
      <alignment horizontal="center" vertical="center" wrapText="1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0" fontId="37" fillId="0" borderId="17" xfId="0" applyFont="1" applyFill="1" applyBorder="1" applyAlignment="1" applyProtection="1">
      <alignment horizontal="center" vertical="center" wrapText="1"/>
      <protection locked="0"/>
    </xf>
    <xf numFmtId="0" fontId="29" fillId="0" borderId="10" xfId="0" applyFont="1" applyBorder="1" applyAlignment="1" applyProtection="1">
      <alignment horizontal="center" vertical="center" wrapText="1"/>
      <protection locked="0"/>
    </xf>
    <xf numFmtId="0" fontId="36" fillId="2" borderId="1" xfId="0" applyFont="1" applyFill="1" applyBorder="1" applyAlignment="1" applyProtection="1">
      <alignment horizontal="center" vertical="center" wrapText="1"/>
      <protection locked="0"/>
    </xf>
    <xf numFmtId="0" fontId="36" fillId="2" borderId="18" xfId="0" applyFont="1" applyFill="1" applyBorder="1" applyAlignment="1" applyProtection="1">
      <alignment horizontal="center" vertical="center" wrapText="1"/>
      <protection locked="0"/>
    </xf>
    <xf numFmtId="0" fontId="29" fillId="0" borderId="18" xfId="0" applyFont="1" applyBorder="1" applyAlignment="1" applyProtection="1">
      <alignment horizontal="center" vertical="center" wrapText="1"/>
      <protection locked="0"/>
    </xf>
    <xf numFmtId="0" fontId="36" fillId="0" borderId="17" xfId="0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Fill="1" applyBorder="1" applyAlignment="1" applyProtection="1">
      <alignment horizontal="center" vertical="center" wrapText="1"/>
      <protection locked="0"/>
    </xf>
    <xf numFmtId="0" fontId="29" fillId="0" borderId="5" xfId="0" applyFont="1" applyFill="1" applyBorder="1" applyAlignment="1" applyProtection="1">
      <alignment horizontal="center" vertical="center" wrapText="1"/>
      <protection locked="0"/>
    </xf>
    <xf numFmtId="0" fontId="29" fillId="0" borderId="10" xfId="0" applyFont="1" applyFill="1" applyBorder="1" applyAlignment="1" applyProtection="1">
      <alignment horizontal="center" vertical="center" wrapText="1"/>
      <protection locked="0"/>
    </xf>
    <xf numFmtId="0" fontId="36" fillId="2" borderId="2" xfId="0" applyFont="1" applyFill="1" applyBorder="1" applyAlignment="1" applyProtection="1">
      <alignment horizontal="center" vertical="center" wrapText="1"/>
      <protection locked="0"/>
    </xf>
    <xf numFmtId="0" fontId="36" fillId="0" borderId="2" xfId="0" applyFont="1" applyFill="1" applyBorder="1" applyAlignment="1" applyProtection="1">
      <alignment horizontal="center" vertical="center" wrapText="1"/>
      <protection locked="0"/>
    </xf>
    <xf numFmtId="0" fontId="36" fillId="0" borderId="9" xfId="0" applyFont="1" applyFill="1" applyBorder="1" applyAlignment="1" applyProtection="1">
      <alignment horizontal="center" vertical="center" wrapText="1"/>
      <protection locked="0"/>
    </xf>
    <xf numFmtId="0" fontId="29" fillId="0" borderId="6" xfId="0" applyFont="1" applyFill="1" applyBorder="1" applyAlignment="1" applyProtection="1">
      <alignment horizontal="center" vertical="center" wrapText="1"/>
      <protection locked="0"/>
    </xf>
    <xf numFmtId="0" fontId="29" fillId="0" borderId="1" xfId="0" applyFont="1" applyFill="1" applyBorder="1" applyAlignment="1" applyProtection="1">
      <alignment horizontal="center" vertical="center" wrapText="1"/>
    </xf>
    <xf numFmtId="0" fontId="29" fillId="0" borderId="1" xfId="0" applyNumberFormat="1" applyFont="1" applyFill="1" applyBorder="1" applyAlignment="1" applyProtection="1">
      <alignment horizontal="center" vertical="center" wrapText="1"/>
    </xf>
    <xf numFmtId="3" fontId="2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28" fillId="2" borderId="1" xfId="0" applyFont="1" applyFill="1" applyBorder="1" applyAlignment="1" applyProtection="1">
      <alignment horizontal="center" vertical="center" wrapText="1"/>
    </xf>
    <xf numFmtId="9" fontId="28" fillId="2" borderId="1" xfId="2" applyFont="1" applyFill="1" applyBorder="1" applyAlignment="1" applyProtection="1">
      <alignment horizontal="center" vertical="center" wrapText="1"/>
    </xf>
    <xf numFmtId="9" fontId="28" fillId="0" borderId="1" xfId="2" applyFont="1" applyFill="1" applyBorder="1" applyAlignment="1" applyProtection="1">
      <alignment horizontal="center" vertical="center" wrapText="1"/>
    </xf>
    <xf numFmtId="0" fontId="28" fillId="0" borderId="1" xfId="2" applyNumberFormat="1" applyFont="1" applyFill="1" applyBorder="1" applyAlignment="1" applyProtection="1">
      <alignment horizontal="center" vertical="center" wrapText="1"/>
    </xf>
    <xf numFmtId="0" fontId="28" fillId="2" borderId="1" xfId="2" applyNumberFormat="1" applyFont="1" applyFill="1" applyBorder="1" applyAlignment="1" applyProtection="1">
      <alignment horizontal="center" vertical="center" wrapText="1"/>
    </xf>
    <xf numFmtId="0" fontId="28" fillId="0" borderId="1" xfId="0" applyFont="1" applyFill="1" applyBorder="1" applyAlignment="1" applyProtection="1">
      <alignment horizontal="center" vertical="center" wrapText="1"/>
    </xf>
    <xf numFmtId="0" fontId="28" fillId="2" borderId="3" xfId="0" applyFont="1" applyFill="1" applyBorder="1" applyAlignment="1" applyProtection="1">
      <alignment horizontal="center" vertical="center" wrapText="1"/>
    </xf>
    <xf numFmtId="3" fontId="29" fillId="0" borderId="1" xfId="0" applyNumberFormat="1" applyFont="1" applyFill="1" applyBorder="1" applyAlignment="1" applyProtection="1">
      <alignment horizontal="center" vertical="center" wrapText="1"/>
    </xf>
    <xf numFmtId="0" fontId="28" fillId="2" borderId="1" xfId="0" applyFont="1" applyFill="1" applyBorder="1" applyAlignment="1" applyProtection="1">
      <alignment horizontal="center" vertical="center" wrapText="1"/>
      <protection locked="0"/>
    </xf>
    <xf numFmtId="0" fontId="29" fillId="3" borderId="1" xfId="0" applyNumberFormat="1" applyFont="1" applyFill="1" applyBorder="1" applyAlignment="1" applyProtection="1">
      <alignment horizontal="center" vertical="center" wrapText="1"/>
    </xf>
    <xf numFmtId="3" fontId="29" fillId="3" borderId="1" xfId="0" applyNumberFormat="1" applyFont="1" applyFill="1" applyBorder="1" applyAlignment="1" applyProtection="1">
      <alignment horizontal="center" vertical="center" wrapText="1"/>
    </xf>
    <xf numFmtId="0" fontId="29" fillId="2" borderId="1" xfId="0" applyFont="1" applyFill="1" applyBorder="1" applyAlignment="1" applyProtection="1">
      <alignment horizontal="center" vertical="center" wrapText="1"/>
    </xf>
    <xf numFmtId="9" fontId="29" fillId="2" borderId="1" xfId="2" applyFont="1" applyFill="1" applyBorder="1" applyAlignment="1" applyProtection="1">
      <alignment horizontal="center" vertical="center" wrapText="1"/>
    </xf>
    <xf numFmtId="0" fontId="29" fillId="2" borderId="1" xfId="0" applyNumberFormat="1" applyFont="1" applyFill="1" applyBorder="1" applyAlignment="1" applyProtection="1">
      <alignment horizontal="center" vertical="center" wrapText="1"/>
    </xf>
    <xf numFmtId="0" fontId="31" fillId="0" borderId="0" xfId="0" applyFont="1" applyAlignment="1" applyProtection="1">
      <alignment horizontal="center" vertical="center" wrapText="1"/>
      <protection locked="0"/>
    </xf>
    <xf numFmtId="0" fontId="33" fillId="2" borderId="3" xfId="0" applyFont="1" applyFill="1" applyBorder="1" applyAlignment="1" applyProtection="1">
      <alignment horizontal="center" vertical="center" wrapText="1"/>
      <protection locked="0"/>
    </xf>
    <xf numFmtId="0" fontId="34" fillId="0" borderId="1" xfId="0" applyFont="1" applyFill="1" applyBorder="1" applyAlignment="1" applyProtection="1">
      <alignment horizontal="center" vertical="center" wrapText="1"/>
    </xf>
    <xf numFmtId="0" fontId="34" fillId="4" borderId="1" xfId="0" applyFont="1" applyFill="1" applyBorder="1" applyAlignment="1" applyProtection="1">
      <alignment horizontal="center" vertical="center" wrapText="1"/>
    </xf>
    <xf numFmtId="0" fontId="34" fillId="4" borderId="1" xfId="0" applyFont="1" applyFill="1" applyBorder="1" applyAlignment="1" applyProtection="1">
      <alignment horizontal="center" vertical="center" wrapText="1"/>
      <protection locked="0"/>
    </xf>
    <xf numFmtId="0" fontId="34" fillId="4" borderId="1" xfId="2" applyNumberFormat="1" applyFont="1" applyFill="1" applyBorder="1" applyAlignment="1" applyProtection="1">
      <alignment horizontal="center" vertical="center" wrapText="1"/>
    </xf>
    <xf numFmtId="0" fontId="34" fillId="0" borderId="1" xfId="0" applyFont="1" applyBorder="1" applyAlignment="1" applyProtection="1">
      <alignment horizontal="center" vertical="center"/>
      <protection locked="0"/>
    </xf>
    <xf numFmtId="9" fontId="10" fillId="2" borderId="8" xfId="2" applyFont="1" applyFill="1" applyBorder="1" applyAlignment="1" applyProtection="1">
      <alignment horizontal="center" vertical="center" wrapText="1"/>
      <protection locked="0"/>
    </xf>
    <xf numFmtId="9" fontId="10" fillId="2" borderId="2" xfId="2" applyFont="1" applyFill="1" applyBorder="1" applyAlignment="1" applyProtection="1">
      <alignment horizontal="center" vertical="center" wrapText="1"/>
      <protection locked="0"/>
    </xf>
    <xf numFmtId="9" fontId="25" fillId="2" borderId="8" xfId="2" applyFont="1" applyFill="1" applyBorder="1" applyAlignment="1" applyProtection="1">
      <alignment horizontal="center" vertical="center" wrapText="1"/>
      <protection locked="0"/>
    </xf>
    <xf numFmtId="9" fontId="25" fillId="2" borderId="2" xfId="2" applyFont="1" applyFill="1" applyBorder="1" applyAlignment="1" applyProtection="1">
      <alignment horizontal="center" vertical="center" wrapText="1"/>
      <protection locked="0"/>
    </xf>
    <xf numFmtId="3" fontId="36" fillId="0" borderId="0" xfId="0" applyNumberFormat="1" applyFont="1" applyAlignment="1" applyProtection="1">
      <alignment horizontal="center" vertical="center" wrapText="1"/>
      <protection locked="0"/>
    </xf>
    <xf numFmtId="0" fontId="28" fillId="0" borderId="3" xfId="0" applyFont="1" applyFill="1" applyBorder="1" applyAlignment="1" applyProtection="1">
      <alignment horizontal="center" vertical="center" wrapText="1"/>
    </xf>
    <xf numFmtId="0" fontId="28" fillId="12" borderId="3" xfId="0" applyFont="1" applyFill="1" applyBorder="1" applyAlignment="1" applyProtection="1">
      <alignment horizontal="center" vertical="center" wrapText="1"/>
    </xf>
    <xf numFmtId="0" fontId="33" fillId="0" borderId="0" xfId="0" applyFont="1"/>
    <xf numFmtId="0" fontId="39" fillId="2" borderId="2" xfId="0" applyFont="1" applyFill="1" applyBorder="1" applyAlignment="1" applyProtection="1">
      <alignment horizontal="center" vertical="center" wrapText="1"/>
      <protection locked="0"/>
    </xf>
    <xf numFmtId="0" fontId="40" fillId="2" borderId="1" xfId="0" applyFont="1" applyFill="1" applyBorder="1" applyAlignment="1" applyProtection="1">
      <alignment horizontal="center" vertical="center" wrapText="1"/>
      <protection locked="0"/>
    </xf>
    <xf numFmtId="0" fontId="39" fillId="2" borderId="1" xfId="0" applyFont="1" applyFill="1" applyBorder="1" applyAlignment="1" applyProtection="1">
      <alignment horizontal="center" vertical="center" wrapText="1"/>
      <protection locked="0"/>
    </xf>
    <xf numFmtId="9" fontId="40" fillId="2" borderId="1" xfId="2" applyFont="1" applyFill="1" applyBorder="1" applyAlignment="1" applyProtection="1">
      <alignment horizontal="center" vertical="center" wrapText="1"/>
      <protection locked="0"/>
    </xf>
    <xf numFmtId="0" fontId="39" fillId="2" borderId="8" xfId="0" applyFont="1" applyFill="1" applyBorder="1" applyAlignment="1" applyProtection="1">
      <alignment horizontal="center" vertical="center" wrapText="1"/>
    </xf>
    <xf numFmtId="0" fontId="39" fillId="2" borderId="2" xfId="0" applyFont="1" applyFill="1" applyBorder="1" applyAlignment="1" applyProtection="1">
      <alignment horizontal="center" vertical="center" wrapText="1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38" fillId="0" borderId="0" xfId="0" applyFont="1" applyFill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40" fillId="2" borderId="18" xfId="0" applyFont="1" applyFill="1" applyBorder="1" applyAlignment="1" applyProtection="1">
      <alignment horizontal="center" vertical="center" wrapText="1"/>
      <protection locked="0"/>
    </xf>
    <xf numFmtId="0" fontId="39" fillId="0" borderId="18" xfId="0" applyFont="1" applyBorder="1" applyAlignment="1" applyProtection="1">
      <alignment horizontal="center" vertical="center" wrapText="1"/>
      <protection locked="0"/>
    </xf>
    <xf numFmtId="0" fontId="40" fillId="0" borderId="17" xfId="0" applyFont="1" applyFill="1" applyBorder="1" applyAlignment="1" applyProtection="1">
      <alignment horizontal="center" vertical="center" wrapText="1"/>
      <protection locked="0"/>
    </xf>
    <xf numFmtId="0" fontId="40" fillId="0" borderId="0" xfId="0" applyFont="1" applyFill="1" applyBorder="1" applyAlignment="1" applyProtection="1">
      <alignment horizontal="center" vertical="center" wrapText="1"/>
      <protection locked="0"/>
    </xf>
    <xf numFmtId="0" fontId="40" fillId="0" borderId="10" xfId="0" applyFont="1" applyFill="1" applyBorder="1" applyAlignment="1" applyProtection="1">
      <alignment horizontal="center" vertical="center" wrapText="1"/>
      <protection locked="0"/>
    </xf>
    <xf numFmtId="0" fontId="39" fillId="10" borderId="0" xfId="0" applyFont="1" applyFill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 wrapText="1"/>
      <protection locked="0"/>
    </xf>
    <xf numFmtId="0" fontId="39" fillId="0" borderId="0" xfId="0" applyFont="1" applyFill="1" applyBorder="1" applyAlignment="1" applyProtection="1">
      <alignment horizontal="center" vertical="center" wrapText="1"/>
      <protection locked="0"/>
    </xf>
    <xf numFmtId="0" fontId="39" fillId="0" borderId="11" xfId="0" applyFont="1" applyFill="1" applyBorder="1" applyAlignment="1" applyProtection="1">
      <alignment horizontal="center" vertical="center" wrapText="1"/>
      <protection locked="0"/>
    </xf>
    <xf numFmtId="0" fontId="40" fillId="0" borderId="2" xfId="0" applyFont="1" applyFill="1" applyBorder="1" applyAlignment="1" applyProtection="1">
      <alignment horizontal="center" vertical="center" wrapText="1"/>
      <protection locked="0"/>
    </xf>
    <xf numFmtId="0" fontId="39" fillId="0" borderId="5" xfId="0" applyFont="1" applyFill="1" applyBorder="1" applyAlignment="1" applyProtection="1">
      <alignment horizontal="center" vertical="center" wrapText="1"/>
      <protection locked="0"/>
    </xf>
    <xf numFmtId="0" fontId="40" fillId="0" borderId="9" xfId="0" applyFont="1" applyFill="1" applyBorder="1" applyAlignment="1" applyProtection="1">
      <alignment horizontal="center" vertical="center" wrapText="1"/>
      <protection locked="0"/>
    </xf>
    <xf numFmtId="0" fontId="40" fillId="0" borderId="9" xfId="0" applyFont="1" applyBorder="1" applyAlignment="1" applyProtection="1">
      <alignment horizontal="center" vertical="center" wrapText="1"/>
      <protection locked="0"/>
    </xf>
    <xf numFmtId="0" fontId="40" fillId="0" borderId="11" xfId="0" applyFont="1" applyBorder="1" applyAlignment="1" applyProtection="1">
      <alignment horizontal="center" vertical="center" wrapText="1"/>
      <protection locked="0"/>
    </xf>
    <xf numFmtId="0" fontId="40" fillId="2" borderId="14" xfId="0" applyFont="1" applyFill="1" applyBorder="1" applyAlignment="1" applyProtection="1">
      <alignment horizontal="center" vertical="center" wrapText="1"/>
      <protection locked="0"/>
    </xf>
    <xf numFmtId="9" fontId="40" fillId="2" borderId="8" xfId="2" applyFont="1" applyFill="1" applyBorder="1" applyAlignment="1" applyProtection="1">
      <alignment horizontal="center" vertical="center" wrapText="1"/>
      <protection locked="0"/>
    </xf>
    <xf numFmtId="9" fontId="40" fillId="2" borderId="2" xfId="2" applyFont="1" applyFill="1" applyBorder="1" applyAlignment="1" applyProtection="1">
      <alignment horizontal="center" vertical="center" wrapText="1"/>
      <protection locked="0"/>
    </xf>
    <xf numFmtId="0" fontId="40" fillId="10" borderId="1" xfId="0" applyFont="1" applyFill="1" applyBorder="1" applyAlignment="1" applyProtection="1">
      <alignment horizontal="center" vertical="center" wrapText="1"/>
      <protection locked="0"/>
    </xf>
    <xf numFmtId="0" fontId="41" fillId="2" borderId="2" xfId="0" applyFont="1" applyFill="1" applyBorder="1" applyAlignment="1" applyProtection="1">
      <alignment horizontal="center" vertical="center" wrapText="1"/>
    </xf>
    <xf numFmtId="0" fontId="41" fillId="0" borderId="2" xfId="0" applyFont="1" applyBorder="1" applyAlignment="1" applyProtection="1">
      <alignment horizontal="center" vertical="center" wrapText="1"/>
      <protection locked="0"/>
    </xf>
    <xf numFmtId="3" fontId="41" fillId="0" borderId="2" xfId="0" applyNumberFormat="1" applyFont="1" applyBorder="1" applyAlignment="1" applyProtection="1">
      <alignment horizontal="center" vertical="center" wrapText="1"/>
      <protection locked="0"/>
    </xf>
    <xf numFmtId="3" fontId="42" fillId="0" borderId="1" xfId="0" applyNumberFormat="1" applyFont="1" applyBorder="1" applyAlignment="1">
      <alignment horizontal="center" vertical="center" wrapText="1"/>
    </xf>
    <xf numFmtId="3" fontId="3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2" fillId="0" borderId="1" xfId="0" applyFont="1" applyBorder="1" applyAlignment="1" applyProtection="1">
      <alignment horizontal="center" vertical="center" wrapText="1"/>
      <protection locked="0"/>
    </xf>
    <xf numFmtId="0" fontId="42" fillId="2" borderId="1" xfId="0" applyFont="1" applyFill="1" applyBorder="1" applyAlignment="1" applyProtection="1">
      <alignment horizontal="center" vertical="center" wrapText="1"/>
    </xf>
    <xf numFmtId="9" fontId="42" fillId="2" borderId="1" xfId="2" applyFont="1" applyFill="1" applyBorder="1" applyAlignment="1" applyProtection="1">
      <alignment horizontal="center" vertical="center" wrapText="1"/>
    </xf>
    <xf numFmtId="9" fontId="42" fillId="0" borderId="1" xfId="2" applyFont="1" applyFill="1" applyBorder="1" applyAlignment="1" applyProtection="1">
      <alignment horizontal="center" vertical="center" wrapText="1"/>
    </xf>
    <xf numFmtId="0" fontId="42" fillId="0" borderId="1" xfId="2" applyNumberFormat="1" applyFont="1" applyFill="1" applyBorder="1" applyAlignment="1" applyProtection="1">
      <alignment horizontal="center" vertical="center" wrapText="1"/>
    </xf>
    <xf numFmtId="0" fontId="42" fillId="2" borderId="1" xfId="2" applyNumberFormat="1" applyFont="1" applyFill="1" applyBorder="1" applyAlignment="1" applyProtection="1">
      <alignment horizontal="center" vertical="center" wrapText="1"/>
    </xf>
    <xf numFmtId="0" fontId="42" fillId="0" borderId="1" xfId="0" applyFont="1" applyFill="1" applyBorder="1" applyAlignment="1" applyProtection="1">
      <alignment horizontal="center" vertical="center" wrapText="1"/>
    </xf>
    <xf numFmtId="0" fontId="42" fillId="0" borderId="3" xfId="0" applyFont="1" applyFill="1" applyBorder="1" applyAlignment="1" applyProtection="1">
      <alignment horizontal="center" vertical="center" wrapText="1"/>
    </xf>
    <xf numFmtId="0" fontId="42" fillId="2" borderId="3" xfId="0" applyFont="1" applyFill="1" applyBorder="1" applyAlignment="1" applyProtection="1">
      <alignment horizontal="center" vertical="center" wrapText="1"/>
    </xf>
    <xf numFmtId="3" fontId="42" fillId="0" borderId="1" xfId="2" applyNumberFormat="1" applyFont="1" applyFill="1" applyBorder="1" applyAlignment="1" applyProtection="1">
      <alignment horizontal="center" vertical="center" wrapText="1"/>
    </xf>
    <xf numFmtId="1" fontId="42" fillId="0" borderId="1" xfId="2" applyNumberFormat="1" applyFont="1" applyFill="1" applyBorder="1" applyAlignment="1" applyProtection="1">
      <alignment horizontal="center" vertical="center" wrapText="1"/>
    </xf>
    <xf numFmtId="1" fontId="42" fillId="0" borderId="11" xfId="2" applyNumberFormat="1" applyFont="1" applyFill="1" applyBorder="1" applyAlignment="1" applyProtection="1">
      <alignment horizontal="center" vertical="center" wrapText="1"/>
    </xf>
    <xf numFmtId="0" fontId="41" fillId="2" borderId="11" xfId="0" applyFont="1" applyFill="1" applyBorder="1" applyAlignment="1" applyProtection="1">
      <alignment horizontal="center" vertical="center" wrapText="1"/>
    </xf>
    <xf numFmtId="0" fontId="42" fillId="10" borderId="1" xfId="0" applyFont="1" applyFill="1" applyBorder="1" applyAlignment="1" applyProtection="1">
      <alignment horizontal="center" vertical="center" wrapText="1"/>
      <protection locked="0"/>
    </xf>
    <xf numFmtId="0" fontId="41" fillId="2" borderId="1" xfId="0" applyFont="1" applyFill="1" applyBorder="1" applyAlignment="1" applyProtection="1">
      <alignment horizontal="center" vertical="center" wrapText="1"/>
    </xf>
    <xf numFmtId="0" fontId="41" fillId="2" borderId="1" xfId="0" applyFont="1" applyFill="1" applyBorder="1" applyAlignment="1" applyProtection="1">
      <alignment horizontal="center" vertical="center" wrapText="1"/>
      <protection locked="0"/>
    </xf>
    <xf numFmtId="3" fontId="41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42" fillId="2" borderId="1" xfId="0" applyFont="1" applyFill="1" applyBorder="1" applyAlignment="1" applyProtection="1">
      <alignment horizontal="center" vertical="center" wrapText="1"/>
      <protection locked="0"/>
    </xf>
    <xf numFmtId="3" fontId="42" fillId="2" borderId="1" xfId="2" applyNumberFormat="1" applyFont="1" applyFill="1" applyBorder="1" applyAlignment="1" applyProtection="1">
      <alignment horizontal="center" vertical="center" wrapText="1"/>
    </xf>
    <xf numFmtId="1" fontId="42" fillId="2" borderId="1" xfId="2" applyNumberFormat="1" applyFont="1" applyFill="1" applyBorder="1" applyAlignment="1" applyProtection="1">
      <alignment horizontal="center" vertical="center" wrapText="1"/>
    </xf>
    <xf numFmtId="1" fontId="42" fillId="2" borderId="14" xfId="2" applyNumberFormat="1" applyFont="1" applyFill="1" applyBorder="1" applyAlignment="1" applyProtection="1">
      <alignment horizontal="center" vertical="center" wrapText="1"/>
    </xf>
    <xf numFmtId="0" fontId="41" fillId="2" borderId="14" xfId="0" applyFont="1" applyFill="1" applyBorder="1" applyAlignment="1" applyProtection="1">
      <alignment horizontal="center" vertical="center" wrapText="1"/>
    </xf>
    <xf numFmtId="3" fontId="41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39" fillId="0" borderId="1" xfId="0" applyNumberFormat="1" applyFont="1" applyFill="1" applyBorder="1" applyAlignment="1" applyProtection="1">
      <alignment horizontal="center" vertical="center" wrapText="1"/>
    </xf>
    <xf numFmtId="0" fontId="41" fillId="0" borderId="1" xfId="0" applyFont="1" applyBorder="1" applyAlignment="1" applyProtection="1">
      <alignment horizontal="center" vertical="center" wrapText="1"/>
      <protection locked="0"/>
    </xf>
    <xf numFmtId="3" fontId="41" fillId="0" borderId="1" xfId="0" applyNumberFormat="1" applyFont="1" applyBorder="1" applyAlignment="1" applyProtection="1">
      <alignment horizontal="center" vertical="center" wrapText="1"/>
      <protection locked="0"/>
    </xf>
    <xf numFmtId="1" fontId="42" fillId="0" borderId="14" xfId="2" applyNumberFormat="1" applyFont="1" applyFill="1" applyBorder="1" applyAlignment="1" applyProtection="1">
      <alignment horizontal="center" vertical="center" wrapText="1"/>
    </xf>
    <xf numFmtId="3" fontId="42" fillId="0" borderId="1" xfId="0" applyNumberFormat="1" applyFont="1" applyBorder="1" applyAlignment="1" applyProtection="1">
      <alignment horizontal="center" vertical="center" wrapText="1"/>
      <protection locked="0"/>
    </xf>
    <xf numFmtId="3" fontId="39" fillId="0" borderId="1" xfId="1" applyNumberFormat="1" applyFont="1" applyFill="1" applyBorder="1" applyAlignment="1" applyProtection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3" fontId="39" fillId="0" borderId="8" xfId="0" applyNumberFormat="1" applyFont="1" applyFill="1" applyBorder="1" applyAlignment="1" applyProtection="1">
      <alignment horizontal="center" vertical="center" wrapText="1"/>
    </xf>
    <xf numFmtId="0" fontId="39" fillId="4" borderId="1" xfId="0" applyFont="1" applyFill="1" applyBorder="1" applyAlignment="1" applyProtection="1">
      <alignment horizontal="center" vertical="center" wrapText="1"/>
      <protection locked="0"/>
    </xf>
    <xf numFmtId="0" fontId="39" fillId="4" borderId="1" xfId="0" applyFont="1" applyFill="1" applyBorder="1" applyAlignment="1" applyProtection="1">
      <alignment horizontal="center" vertical="center" wrapText="1"/>
    </xf>
    <xf numFmtId="0" fontId="39" fillId="4" borderId="1" xfId="0" applyNumberFormat="1" applyFont="1" applyFill="1" applyBorder="1" applyAlignment="1" applyProtection="1">
      <alignment horizontal="center" vertical="center" wrapText="1"/>
    </xf>
    <xf numFmtId="3" fontId="39" fillId="4" borderId="1" xfId="0" applyNumberFormat="1" applyFont="1" applyFill="1" applyBorder="1" applyAlignment="1" applyProtection="1">
      <alignment horizontal="center" vertical="center" wrapText="1"/>
      <protection locked="0"/>
    </xf>
    <xf numFmtId="3" fontId="42" fillId="4" borderId="1" xfId="0" applyNumberFormat="1" applyFont="1" applyFill="1" applyBorder="1" applyAlignment="1">
      <alignment horizontal="center" vertical="center" wrapText="1"/>
    </xf>
    <xf numFmtId="0" fontId="43" fillId="4" borderId="1" xfId="0" applyFont="1" applyFill="1" applyBorder="1" applyAlignment="1" applyProtection="1">
      <alignment horizontal="center" vertical="center" wrapText="1"/>
    </xf>
    <xf numFmtId="0" fontId="42" fillId="4" borderId="1" xfId="0" applyFont="1" applyFill="1" applyBorder="1" applyAlignment="1" applyProtection="1">
      <alignment horizontal="center" vertical="center" wrapText="1"/>
    </xf>
    <xf numFmtId="9" fontId="39" fillId="4" borderId="1" xfId="2" applyFont="1" applyFill="1" applyBorder="1" applyAlignment="1" applyProtection="1">
      <alignment horizontal="center" vertical="center" wrapText="1"/>
    </xf>
    <xf numFmtId="9" fontId="42" fillId="4" borderId="1" xfId="2" applyFont="1" applyFill="1" applyBorder="1" applyAlignment="1" applyProtection="1">
      <alignment horizontal="center" vertical="center" wrapText="1"/>
    </xf>
    <xf numFmtId="3" fontId="42" fillId="4" borderId="1" xfId="2" applyNumberFormat="1" applyFont="1" applyFill="1" applyBorder="1" applyAlignment="1" applyProtection="1">
      <alignment horizontal="center" vertical="center" wrapText="1"/>
    </xf>
    <xf numFmtId="1" fontId="42" fillId="4" borderId="1" xfId="2" applyNumberFormat="1" applyFont="1" applyFill="1" applyBorder="1" applyAlignment="1" applyProtection="1">
      <alignment horizontal="center" vertical="center" wrapText="1"/>
    </xf>
    <xf numFmtId="0" fontId="43" fillId="4" borderId="1" xfId="0" applyFont="1" applyFill="1" applyBorder="1" applyAlignment="1" applyProtection="1">
      <alignment horizontal="center" vertical="center" wrapText="1"/>
      <protection locked="0"/>
    </xf>
    <xf numFmtId="0" fontId="44" fillId="0" borderId="0" xfId="0" applyFont="1" applyFill="1" applyBorder="1" applyAlignment="1" applyProtection="1">
      <alignment horizontal="center" vertical="center" wrapText="1"/>
      <protection locked="0"/>
    </xf>
    <xf numFmtId="3" fontId="3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Fill="1" applyBorder="1" applyAlignment="1" applyProtection="1">
      <alignment horizontal="center" vertical="center" wrapText="1"/>
    </xf>
    <xf numFmtId="9" fontId="44" fillId="0" borderId="0" xfId="2" applyFont="1" applyFill="1" applyBorder="1" applyAlignment="1" applyProtection="1">
      <alignment horizontal="center" vertical="center" wrapText="1"/>
    </xf>
    <xf numFmtId="0" fontId="39" fillId="10" borderId="0" xfId="0" applyFont="1" applyFill="1" applyBorder="1" applyAlignment="1" applyProtection="1">
      <alignment horizontal="center" vertical="center" wrapText="1"/>
    </xf>
    <xf numFmtId="0" fontId="44" fillId="0" borderId="0" xfId="0" applyFont="1" applyAlignment="1" applyProtection="1">
      <alignment horizontal="center" vertical="center" wrapText="1"/>
      <protection locked="0"/>
    </xf>
    <xf numFmtId="0" fontId="44" fillId="10" borderId="0" xfId="0" applyFont="1" applyFill="1" applyAlignment="1" applyProtection="1">
      <alignment horizontal="center" vertical="center" wrapText="1"/>
      <protection locked="0"/>
    </xf>
    <xf numFmtId="0" fontId="45" fillId="0" borderId="0" xfId="0" applyFont="1" applyBorder="1" applyAlignment="1" applyProtection="1">
      <alignment horizontal="center" vertical="center" wrapText="1"/>
      <protection locked="0"/>
    </xf>
    <xf numFmtId="0" fontId="38" fillId="0" borderId="17" xfId="0" applyFont="1" applyFill="1" applyBorder="1" applyAlignment="1" applyProtection="1">
      <alignment horizontal="center" vertical="center" wrapText="1"/>
      <protection locked="0"/>
    </xf>
    <xf numFmtId="0" fontId="39" fillId="0" borderId="10" xfId="0" applyFont="1" applyFill="1" applyBorder="1" applyAlignment="1" applyProtection="1">
      <alignment horizontal="center" vertical="center" wrapText="1"/>
      <protection locked="0"/>
    </xf>
    <xf numFmtId="0" fontId="44" fillId="2" borderId="4" xfId="0" applyFont="1" applyFill="1" applyBorder="1" applyAlignment="1" applyProtection="1">
      <alignment horizontal="center" vertical="center" wrapText="1"/>
    </xf>
    <xf numFmtId="0" fontId="44" fillId="0" borderId="2" xfId="0" applyFont="1" applyBorder="1" applyAlignment="1" applyProtection="1">
      <alignment horizontal="center" vertical="center" wrapText="1"/>
      <protection locked="0"/>
    </xf>
    <xf numFmtId="3" fontId="44" fillId="0" borderId="2" xfId="0" applyNumberFormat="1" applyFont="1" applyBorder="1" applyAlignment="1" applyProtection="1">
      <alignment horizontal="center" vertical="center" wrapText="1"/>
      <protection locked="0"/>
    </xf>
    <xf numFmtId="1" fontId="42" fillId="0" borderId="2" xfId="2" applyNumberFormat="1" applyFont="1" applyFill="1" applyBorder="1" applyAlignment="1" applyProtection="1">
      <alignment horizontal="center" vertical="center" wrapText="1"/>
    </xf>
    <xf numFmtId="0" fontId="44" fillId="2" borderId="2" xfId="0" applyFont="1" applyFill="1" applyBorder="1" applyAlignment="1" applyProtection="1">
      <alignment horizontal="center" vertical="center" wrapText="1"/>
    </xf>
    <xf numFmtId="0" fontId="44" fillId="2" borderId="6" xfId="0" applyFont="1" applyFill="1" applyBorder="1" applyAlignment="1" applyProtection="1">
      <alignment horizontal="center" vertical="center" wrapText="1"/>
    </xf>
    <xf numFmtId="0" fontId="44" fillId="2" borderId="1" xfId="0" applyFont="1" applyFill="1" applyBorder="1" applyAlignment="1" applyProtection="1">
      <alignment horizontal="center" vertical="center" wrapText="1"/>
      <protection locked="0"/>
    </xf>
    <xf numFmtId="3" fontId="44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44" fillId="2" borderId="1" xfId="0" applyFont="1" applyFill="1" applyBorder="1" applyAlignment="1" applyProtection="1">
      <alignment horizontal="center" vertical="center" wrapText="1"/>
    </xf>
    <xf numFmtId="0" fontId="44" fillId="0" borderId="1" xfId="0" applyFont="1" applyBorder="1" applyAlignment="1" applyProtection="1">
      <alignment horizontal="center" vertical="center" wrapText="1"/>
      <protection locked="0"/>
    </xf>
    <xf numFmtId="3" fontId="44" fillId="0" borderId="1" xfId="0" applyNumberFormat="1" applyFont="1" applyBorder="1" applyAlignment="1" applyProtection="1">
      <alignment horizontal="center" vertical="center" wrapText="1"/>
      <protection locked="0"/>
    </xf>
    <xf numFmtId="3" fontId="44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46" fillId="0" borderId="1" xfId="0" applyNumberFormat="1" applyFont="1" applyBorder="1" applyAlignment="1" applyProtection="1">
      <alignment horizontal="center" vertical="center" wrapText="1"/>
      <protection locked="0"/>
    </xf>
    <xf numFmtId="0" fontId="46" fillId="0" borderId="1" xfId="0" applyFont="1" applyFill="1" applyBorder="1" applyAlignment="1" applyProtection="1">
      <alignment horizontal="center" vertical="center" wrapText="1"/>
      <protection locked="0"/>
    </xf>
    <xf numFmtId="3" fontId="4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4" fillId="0" borderId="1" xfId="0" applyFont="1" applyFill="1" applyBorder="1" applyAlignment="1" applyProtection="1">
      <alignment horizontal="center" vertical="center" wrapText="1"/>
    </xf>
    <xf numFmtId="0" fontId="44" fillId="0" borderId="1" xfId="0" applyFont="1" applyFill="1" applyBorder="1" applyAlignment="1" applyProtection="1">
      <alignment horizontal="center" vertical="center" wrapText="1"/>
      <protection locked="0"/>
    </xf>
    <xf numFmtId="0" fontId="39" fillId="2" borderId="1" xfId="0" applyFont="1" applyFill="1" applyBorder="1" applyAlignment="1" applyProtection="1">
      <alignment horizontal="center" vertical="center" wrapText="1"/>
    </xf>
    <xf numFmtId="0" fontId="39" fillId="2" borderId="1" xfId="0" applyNumberFormat="1" applyFont="1" applyFill="1" applyBorder="1" applyAlignment="1" applyProtection="1">
      <alignment horizontal="center" vertical="center" wrapText="1"/>
    </xf>
    <xf numFmtId="3" fontId="39" fillId="2" borderId="1" xfId="0" applyNumberFormat="1" applyFont="1" applyFill="1" applyBorder="1" applyAlignment="1" applyProtection="1">
      <alignment horizontal="center" vertical="center" wrapText="1"/>
      <protection locked="0"/>
    </xf>
    <xf numFmtId="9" fontId="39" fillId="2" borderId="1" xfId="2" applyFont="1" applyFill="1" applyBorder="1" applyAlignment="1" applyProtection="1">
      <alignment horizontal="center" vertical="center" wrapText="1"/>
    </xf>
    <xf numFmtId="0" fontId="43" fillId="2" borderId="1" xfId="0" applyFont="1" applyFill="1" applyBorder="1" applyAlignment="1" applyProtection="1">
      <alignment horizontal="center" vertical="center" wrapText="1"/>
      <protection locked="0"/>
    </xf>
    <xf numFmtId="0" fontId="39" fillId="10" borderId="1" xfId="0" applyFont="1" applyFill="1" applyBorder="1" applyAlignment="1" applyProtection="1">
      <alignment horizontal="center" vertical="center" wrapText="1"/>
    </xf>
    <xf numFmtId="0" fontId="49" fillId="2" borderId="14" xfId="0" applyFont="1" applyFill="1" applyBorder="1" applyAlignment="1" applyProtection="1">
      <alignment horizontal="center" vertical="center" wrapText="1"/>
      <protection locked="0"/>
    </xf>
    <xf numFmtId="0" fontId="51" fillId="2" borderId="3" xfId="0" applyFont="1" applyFill="1" applyBorder="1" applyAlignment="1" applyProtection="1">
      <alignment horizontal="center" vertical="center" wrapText="1"/>
      <protection locked="0"/>
    </xf>
    <xf numFmtId="9" fontId="49" fillId="2" borderId="1" xfId="2" applyFont="1" applyFill="1" applyBorder="1" applyAlignment="1" applyProtection="1">
      <alignment horizontal="center" vertical="center" wrapText="1"/>
      <protection locked="0"/>
    </xf>
    <xf numFmtId="0" fontId="49" fillId="2" borderId="1" xfId="0" applyFont="1" applyFill="1" applyBorder="1" applyAlignment="1" applyProtection="1">
      <alignment horizontal="center" vertical="center" wrapText="1"/>
      <protection locked="0"/>
    </xf>
    <xf numFmtId="0" fontId="51" fillId="2" borderId="1" xfId="0" applyFont="1" applyFill="1" applyBorder="1" applyAlignment="1" applyProtection="1">
      <alignment horizontal="center" vertical="center" wrapText="1"/>
      <protection locked="0"/>
    </xf>
    <xf numFmtId="0" fontId="48" fillId="0" borderId="0" xfId="0" applyFont="1" applyBorder="1" applyAlignment="1" applyProtection="1">
      <alignment horizontal="center" vertical="center" wrapText="1"/>
      <protection locked="0"/>
    </xf>
    <xf numFmtId="0" fontId="49" fillId="0" borderId="0" xfId="0" applyFont="1" applyAlignment="1" applyProtection="1">
      <alignment horizontal="center" vertical="center" wrapText="1"/>
      <protection locked="0"/>
    </xf>
    <xf numFmtId="0" fontId="49" fillId="13" borderId="0" xfId="0" applyFont="1" applyFill="1" applyAlignment="1" applyProtection="1">
      <alignment horizontal="center" vertical="center" wrapText="1"/>
      <protection locked="0"/>
    </xf>
    <xf numFmtId="0" fontId="50" fillId="0" borderId="17" xfId="0" applyFont="1" applyFill="1" applyBorder="1" applyAlignment="1" applyProtection="1">
      <alignment horizontal="center" vertical="center" wrapText="1"/>
      <protection locked="0"/>
    </xf>
    <xf numFmtId="0" fontId="51" fillId="0" borderId="10" xfId="0" applyFont="1" applyBorder="1" applyAlignment="1" applyProtection="1">
      <alignment horizontal="center" vertical="center" wrapText="1"/>
      <protection locked="0"/>
    </xf>
    <xf numFmtId="0" fontId="49" fillId="2" borderId="18" xfId="0" applyFont="1" applyFill="1" applyBorder="1" applyAlignment="1" applyProtection="1">
      <alignment horizontal="center" vertical="center" wrapText="1"/>
      <protection locked="0"/>
    </xf>
    <xf numFmtId="0" fontId="51" fillId="0" borderId="18" xfId="0" applyFont="1" applyBorder="1" applyAlignment="1" applyProtection="1">
      <alignment horizontal="center" vertical="center" wrapText="1"/>
      <protection locked="0"/>
    </xf>
    <xf numFmtId="0" fontId="49" fillId="0" borderId="17" xfId="0" applyFont="1" applyFill="1" applyBorder="1" applyAlignment="1" applyProtection="1">
      <alignment horizontal="center" vertical="center" wrapText="1"/>
      <protection locked="0"/>
    </xf>
    <xf numFmtId="0" fontId="49" fillId="0" borderId="0" xfId="0" applyFont="1" applyFill="1" applyBorder="1" applyAlignment="1" applyProtection="1">
      <alignment horizontal="center" vertical="center" wrapText="1"/>
      <protection locked="0"/>
    </xf>
    <xf numFmtId="0" fontId="49" fillId="0" borderId="10" xfId="0" applyFont="1" applyFill="1" applyBorder="1" applyAlignment="1" applyProtection="1">
      <alignment horizontal="center" vertical="center" wrapText="1"/>
      <protection locked="0"/>
    </xf>
    <xf numFmtId="0" fontId="50" fillId="0" borderId="0" xfId="0" applyFont="1" applyFill="1" applyBorder="1" applyAlignment="1" applyProtection="1">
      <alignment horizontal="center" vertical="center" wrapText="1"/>
      <protection locked="0"/>
    </xf>
    <xf numFmtId="0" fontId="51" fillId="13" borderId="0" xfId="0" applyFont="1" applyFill="1" applyAlignment="1" applyProtection="1">
      <alignment horizontal="center" vertical="center" wrapText="1"/>
      <protection locked="0"/>
    </xf>
    <xf numFmtId="0" fontId="51" fillId="0" borderId="0" xfId="0" applyFont="1" applyAlignment="1" applyProtection="1">
      <alignment horizontal="center" vertical="center" wrapText="1"/>
      <protection locked="0"/>
    </xf>
    <xf numFmtId="0" fontId="51" fillId="0" borderId="5" xfId="0" applyFont="1" applyFill="1" applyBorder="1" applyAlignment="1" applyProtection="1">
      <alignment horizontal="center" vertical="center" wrapText="1"/>
      <protection locked="0"/>
    </xf>
    <xf numFmtId="0" fontId="51" fillId="0" borderId="10" xfId="0" applyFont="1" applyFill="1" applyBorder="1" applyAlignment="1" applyProtection="1">
      <alignment horizontal="center" vertical="center" wrapText="1"/>
      <protection locked="0"/>
    </xf>
    <xf numFmtId="0" fontId="49" fillId="2" borderId="2" xfId="0" applyFont="1" applyFill="1" applyBorder="1" applyAlignment="1" applyProtection="1">
      <alignment horizontal="center" vertical="center" wrapText="1"/>
      <protection locked="0"/>
    </xf>
    <xf numFmtId="0" fontId="49" fillId="0" borderId="2" xfId="0" applyFont="1" applyFill="1" applyBorder="1" applyAlignment="1" applyProtection="1">
      <alignment horizontal="center" vertical="center" wrapText="1"/>
      <protection locked="0"/>
    </xf>
    <xf numFmtId="0" fontId="49" fillId="0" borderId="9" xfId="0" applyFont="1" applyFill="1" applyBorder="1" applyAlignment="1" applyProtection="1">
      <alignment horizontal="center" vertical="center" wrapText="1"/>
      <protection locked="0"/>
    </xf>
    <xf numFmtId="0" fontId="49" fillId="0" borderId="9" xfId="0" applyFont="1" applyBorder="1" applyAlignment="1" applyProtection="1">
      <alignment horizontal="center" vertical="center" wrapText="1"/>
      <protection locked="0"/>
    </xf>
    <xf numFmtId="0" fontId="49" fillId="0" borderId="11" xfId="0" applyFont="1" applyBorder="1" applyAlignment="1" applyProtection="1">
      <alignment horizontal="center" vertical="center" wrapText="1"/>
      <protection locked="0"/>
    </xf>
    <xf numFmtId="0" fontId="51" fillId="0" borderId="0" xfId="0" applyFont="1" applyFill="1" applyBorder="1" applyAlignment="1" applyProtection="1">
      <alignment horizontal="center" vertical="center" wrapText="1"/>
      <protection locked="0"/>
    </xf>
    <xf numFmtId="0" fontId="49" fillId="13" borderId="1" xfId="0" applyFont="1" applyFill="1" applyBorder="1" applyAlignment="1" applyProtection="1">
      <alignment horizontal="center" vertical="center" wrapText="1"/>
      <protection locked="0"/>
    </xf>
    <xf numFmtId="0" fontId="51" fillId="0" borderId="6" xfId="0" applyFont="1" applyFill="1" applyBorder="1" applyAlignment="1" applyProtection="1">
      <alignment horizontal="center" vertical="center" wrapText="1"/>
      <protection locked="0"/>
    </xf>
    <xf numFmtId="0" fontId="51" fillId="0" borderId="1" xfId="0" applyFont="1" applyFill="1" applyBorder="1" applyAlignment="1" applyProtection="1">
      <alignment horizontal="center" vertical="center" wrapText="1"/>
    </xf>
    <xf numFmtId="0" fontId="51" fillId="0" borderId="1" xfId="0" applyNumberFormat="1" applyFont="1" applyFill="1" applyBorder="1" applyAlignment="1" applyProtection="1">
      <alignment horizontal="center" vertical="center" wrapText="1"/>
    </xf>
    <xf numFmtId="3" fontId="5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2" fillId="0" borderId="1" xfId="0" applyFont="1" applyBorder="1" applyAlignment="1" applyProtection="1">
      <alignment horizontal="center" vertical="center" wrapText="1"/>
      <protection locked="0"/>
    </xf>
    <xf numFmtId="0" fontId="52" fillId="2" borderId="1" xfId="0" applyFont="1" applyFill="1" applyBorder="1" applyAlignment="1" applyProtection="1">
      <alignment horizontal="center" vertical="center" wrapText="1"/>
    </xf>
    <xf numFmtId="9" fontId="52" fillId="2" borderId="1" xfId="2" applyFont="1" applyFill="1" applyBorder="1" applyAlignment="1" applyProtection="1">
      <alignment horizontal="center" vertical="center" wrapText="1"/>
    </xf>
    <xf numFmtId="9" fontId="52" fillId="0" borderId="1" xfId="2" applyFont="1" applyFill="1" applyBorder="1" applyAlignment="1" applyProtection="1">
      <alignment horizontal="center" vertical="center" wrapText="1"/>
    </xf>
    <xf numFmtId="0" fontId="52" fillId="0" borderId="1" xfId="2" applyNumberFormat="1" applyFont="1" applyFill="1" applyBorder="1" applyAlignment="1" applyProtection="1">
      <alignment horizontal="center" vertical="center" wrapText="1"/>
    </xf>
    <xf numFmtId="0" fontId="52" fillId="2" borderId="1" xfId="2" applyNumberFormat="1" applyFont="1" applyFill="1" applyBorder="1" applyAlignment="1" applyProtection="1">
      <alignment horizontal="center" vertical="center" wrapText="1"/>
    </xf>
    <xf numFmtId="0" fontId="52" fillId="0" borderId="1" xfId="0" applyFont="1" applyFill="1" applyBorder="1" applyAlignment="1" applyProtection="1">
      <alignment horizontal="center" vertical="center" wrapText="1"/>
    </xf>
    <xf numFmtId="0" fontId="52" fillId="0" borderId="3" xfId="0" applyFont="1" applyFill="1" applyBorder="1" applyAlignment="1" applyProtection="1">
      <alignment horizontal="center" vertical="center" wrapText="1"/>
    </xf>
    <xf numFmtId="0" fontId="52" fillId="2" borderId="3" xfId="0" applyFont="1" applyFill="1" applyBorder="1" applyAlignment="1" applyProtection="1">
      <alignment horizontal="center" vertical="center" wrapText="1"/>
    </xf>
    <xf numFmtId="3" fontId="52" fillId="0" borderId="1" xfId="2" applyNumberFormat="1" applyFont="1" applyFill="1" applyBorder="1" applyAlignment="1" applyProtection="1">
      <alignment horizontal="center" vertical="center" wrapText="1"/>
    </xf>
    <xf numFmtId="1" fontId="52" fillId="0" borderId="1" xfId="2" applyNumberFormat="1" applyFont="1" applyFill="1" applyBorder="1" applyAlignment="1" applyProtection="1">
      <alignment horizontal="center" vertical="center" wrapText="1"/>
    </xf>
    <xf numFmtId="1" fontId="52" fillId="0" borderId="14" xfId="2" applyNumberFormat="1" applyFont="1" applyFill="1" applyBorder="1" applyAlignment="1" applyProtection="1">
      <alignment horizontal="center" vertical="center" wrapText="1"/>
    </xf>
    <xf numFmtId="0" fontId="52" fillId="13" borderId="1" xfId="0" applyFont="1" applyFill="1" applyBorder="1" applyAlignment="1" applyProtection="1">
      <alignment horizontal="center" vertical="center" wrapText="1"/>
      <protection locked="0"/>
    </xf>
    <xf numFmtId="3" fontId="51" fillId="0" borderId="1" xfId="0" applyNumberFormat="1" applyFont="1" applyFill="1" applyBorder="1" applyAlignment="1" applyProtection="1">
      <alignment horizontal="center" vertical="center" wrapText="1"/>
    </xf>
    <xf numFmtId="0" fontId="52" fillId="2" borderId="1" xfId="0" applyFont="1" applyFill="1" applyBorder="1" applyAlignment="1" applyProtection="1">
      <alignment horizontal="center" vertical="center" wrapText="1"/>
      <protection locked="0"/>
    </xf>
    <xf numFmtId="3" fontId="52" fillId="2" borderId="1" xfId="2" applyNumberFormat="1" applyFont="1" applyFill="1" applyBorder="1" applyAlignment="1" applyProtection="1">
      <alignment horizontal="center" vertical="center" wrapText="1"/>
    </xf>
    <xf numFmtId="1" fontId="52" fillId="2" borderId="1" xfId="2" applyNumberFormat="1" applyFont="1" applyFill="1" applyBorder="1" applyAlignment="1" applyProtection="1">
      <alignment horizontal="center" vertical="center" wrapText="1"/>
    </xf>
    <xf numFmtId="1" fontId="52" fillId="2" borderId="14" xfId="2" applyNumberFormat="1" applyFont="1" applyFill="1" applyBorder="1" applyAlignment="1" applyProtection="1">
      <alignment horizontal="center" vertical="center" wrapText="1"/>
    </xf>
    <xf numFmtId="0" fontId="51" fillId="3" borderId="1" xfId="0" applyNumberFormat="1" applyFont="1" applyFill="1" applyBorder="1" applyAlignment="1" applyProtection="1">
      <alignment horizontal="center" vertical="center" wrapText="1"/>
    </xf>
    <xf numFmtId="3" fontId="51" fillId="3" borderId="1" xfId="0" applyNumberFormat="1" applyFont="1" applyFill="1" applyBorder="1" applyAlignment="1" applyProtection="1">
      <alignment horizontal="center" vertical="center" wrapText="1"/>
    </xf>
    <xf numFmtId="0" fontId="51" fillId="2" borderId="1" xfId="0" applyFont="1" applyFill="1" applyBorder="1" applyAlignment="1" applyProtection="1">
      <alignment horizontal="center" vertical="center" wrapText="1"/>
    </xf>
    <xf numFmtId="9" fontId="51" fillId="2" borderId="1" xfId="2" applyFont="1" applyFill="1" applyBorder="1" applyAlignment="1" applyProtection="1">
      <alignment horizontal="center" vertical="center" wrapText="1"/>
    </xf>
    <xf numFmtId="0" fontId="51" fillId="2" borderId="1" xfId="0" applyNumberFormat="1" applyFont="1" applyFill="1" applyBorder="1" applyAlignment="1" applyProtection="1">
      <alignment horizontal="center" vertical="center" wrapText="1"/>
    </xf>
    <xf numFmtId="1" fontId="52" fillId="2" borderId="7" xfId="2" applyNumberFormat="1" applyFont="1" applyFill="1" applyBorder="1" applyAlignment="1" applyProtection="1">
      <alignment horizontal="center" vertical="center" wrapText="1"/>
    </xf>
    <xf numFmtId="0" fontId="51" fillId="13" borderId="1" xfId="0" applyFont="1" applyFill="1" applyBorder="1" applyAlignment="1" applyProtection="1">
      <alignment horizontal="center" vertical="center" wrapText="1"/>
    </xf>
    <xf numFmtId="0" fontId="41" fillId="13" borderId="2" xfId="0" applyFont="1" applyFill="1" applyBorder="1" applyAlignment="1" applyProtection="1">
      <alignment horizontal="center" vertical="center" wrapText="1"/>
    </xf>
    <xf numFmtId="0" fontId="27" fillId="13" borderId="1" xfId="0" applyFont="1" applyFill="1" applyBorder="1" applyAlignment="1" applyProtection="1">
      <alignment horizontal="center" vertical="center" wrapText="1"/>
    </xf>
    <xf numFmtId="0" fontId="33" fillId="4" borderId="1" xfId="0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 applyProtection="1">
      <alignment horizontal="center" vertical="center" wrapText="1"/>
      <protection locked="0"/>
    </xf>
    <xf numFmtId="0" fontId="32" fillId="0" borderId="17" xfId="0" applyFont="1" applyFill="1" applyBorder="1" applyAlignment="1" applyProtection="1">
      <alignment horizontal="center" vertical="center"/>
      <protection locked="0"/>
    </xf>
    <xf numFmtId="0" fontId="33" fillId="0" borderId="10" xfId="0" applyFont="1" applyBorder="1" applyAlignment="1" applyProtection="1">
      <alignment horizontal="center" vertical="center"/>
      <protection locked="0"/>
    </xf>
    <xf numFmtId="0" fontId="31" fillId="2" borderId="1" xfId="0" applyFont="1" applyFill="1" applyBorder="1" applyAlignment="1" applyProtection="1">
      <alignment horizontal="center" vertical="center"/>
      <protection locked="0"/>
    </xf>
    <xf numFmtId="0" fontId="33" fillId="0" borderId="18" xfId="0" applyFont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 applyProtection="1">
      <alignment horizontal="center" vertical="center"/>
      <protection locked="0"/>
    </xf>
    <xf numFmtId="0" fontId="31" fillId="0" borderId="0" xfId="0" applyFont="1" applyFill="1" applyBorder="1" applyAlignment="1" applyProtection="1">
      <alignment horizontal="center" vertical="center"/>
      <protection locked="0"/>
    </xf>
    <xf numFmtId="0" fontId="31" fillId="0" borderId="10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33" fillId="0" borderId="5" xfId="0" applyFont="1" applyFill="1" applyBorder="1" applyAlignment="1" applyProtection="1">
      <alignment horizontal="center" vertical="center"/>
      <protection locked="0"/>
    </xf>
    <xf numFmtId="0" fontId="33" fillId="0" borderId="10" xfId="0" applyFont="1" applyFill="1" applyBorder="1" applyAlignment="1" applyProtection="1">
      <alignment horizontal="center" vertical="center"/>
      <protection locked="0"/>
    </xf>
    <xf numFmtId="0" fontId="31" fillId="0" borderId="2" xfId="0" applyFont="1" applyFill="1" applyBorder="1" applyAlignment="1" applyProtection="1">
      <alignment horizontal="center" vertical="center"/>
      <protection locked="0"/>
    </xf>
    <xf numFmtId="0" fontId="31" fillId="0" borderId="9" xfId="0" applyFont="1" applyFill="1" applyBorder="1" applyAlignment="1" applyProtection="1">
      <alignment vertical="center" wrapText="1"/>
      <protection locked="0"/>
    </xf>
    <xf numFmtId="0" fontId="31" fillId="0" borderId="9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33" fillId="2" borderId="8" xfId="0" applyFont="1" applyFill="1" applyBorder="1" applyAlignment="1" applyProtection="1">
      <alignment horizontal="center" vertical="center" wrapText="1"/>
      <protection locked="0"/>
    </xf>
    <xf numFmtId="9" fontId="31" fillId="2" borderId="1" xfId="2" applyFont="1" applyFill="1" applyBorder="1" applyAlignment="1" applyProtection="1">
      <alignment horizontal="center" vertical="center" wrapText="1"/>
      <protection locked="0"/>
    </xf>
    <xf numFmtId="0" fontId="31" fillId="2" borderId="14" xfId="0" applyFont="1" applyFill="1" applyBorder="1" applyAlignment="1" applyProtection="1">
      <alignment horizontal="center" vertical="center" wrapText="1"/>
      <protection locked="0"/>
    </xf>
    <xf numFmtId="0" fontId="33" fillId="2" borderId="2" xfId="0" applyFont="1" applyFill="1" applyBorder="1" applyAlignment="1" applyProtection="1">
      <alignment horizontal="center" vertical="center" wrapText="1"/>
      <protection locked="0"/>
    </xf>
    <xf numFmtId="0" fontId="31" fillId="2" borderId="2" xfId="0" applyFont="1" applyFill="1" applyBorder="1" applyAlignment="1" applyProtection="1">
      <alignment horizontal="center" vertical="center" wrapText="1"/>
      <protection locked="0"/>
    </xf>
    <xf numFmtId="3" fontId="33" fillId="4" borderId="1" xfId="0" applyNumberFormat="1" applyFont="1" applyFill="1" applyBorder="1" applyAlignment="1" applyProtection="1">
      <alignment horizontal="center" vertical="center" wrapText="1"/>
    </xf>
    <xf numFmtId="0" fontId="31" fillId="2" borderId="18" xfId="0" applyFont="1" applyFill="1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9" fontId="33" fillId="4" borderId="1" xfId="2" applyFont="1" applyFill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center" vertical="center"/>
      <protection locked="0"/>
    </xf>
    <xf numFmtId="0" fontId="34" fillId="2" borderId="1" xfId="2" applyNumberFormat="1" applyFont="1" applyFill="1" applyBorder="1" applyAlignment="1" applyProtection="1">
      <alignment horizontal="center" vertical="center"/>
    </xf>
    <xf numFmtId="9" fontId="25" fillId="4" borderId="0" xfId="2" applyFont="1" applyFill="1" applyAlignment="1">
      <alignment horizontal="center" vertical="center" wrapText="1"/>
    </xf>
    <xf numFmtId="0" fontId="31" fillId="0" borderId="2" xfId="0" applyFont="1" applyFill="1" applyBorder="1" applyAlignment="1" applyProtection="1">
      <alignment horizontal="center" vertical="center" wrapText="1"/>
      <protection locked="0"/>
    </xf>
    <xf numFmtId="9" fontId="31" fillId="0" borderId="8" xfId="2" applyFont="1" applyFill="1" applyBorder="1" applyAlignment="1" applyProtection="1">
      <alignment horizontal="center" vertical="center" wrapText="1"/>
      <protection locked="0"/>
    </xf>
    <xf numFmtId="9" fontId="31" fillId="0" borderId="2" xfId="2" applyFont="1" applyFill="1" applyBorder="1" applyAlignment="1" applyProtection="1">
      <alignment horizontal="center" vertical="center" wrapText="1"/>
      <protection locked="0"/>
    </xf>
    <xf numFmtId="0" fontId="33" fillId="0" borderId="3" xfId="0" applyFont="1" applyFill="1" applyBorder="1" applyAlignment="1" applyProtection="1">
      <alignment horizontal="center" vertical="center" wrapText="1"/>
      <protection locked="0"/>
    </xf>
    <xf numFmtId="0" fontId="33" fillId="0" borderId="8" xfId="0" applyFont="1" applyFill="1" applyBorder="1" applyAlignment="1" applyProtection="1">
      <alignment horizontal="center" vertical="center" wrapText="1"/>
      <protection locked="0"/>
    </xf>
    <xf numFmtId="0" fontId="33" fillId="0" borderId="2" xfId="0" applyFont="1" applyFill="1" applyBorder="1" applyAlignment="1" applyProtection="1">
      <alignment horizontal="center" vertical="center" wrapText="1"/>
      <protection locked="0"/>
    </xf>
    <xf numFmtId="0" fontId="31" fillId="0" borderId="14" xfId="0" applyFont="1" applyFill="1" applyBorder="1" applyAlignment="1" applyProtection="1">
      <alignment horizontal="center" vertical="center" wrapText="1"/>
      <protection locked="0"/>
    </xf>
    <xf numFmtId="0" fontId="31" fillId="0" borderId="1" xfId="0" applyFont="1" applyFill="1" applyBorder="1" applyAlignment="1" applyProtection="1">
      <alignment horizontal="center" vertical="center" wrapText="1"/>
      <protection locked="0"/>
    </xf>
    <xf numFmtId="0" fontId="30" fillId="0" borderId="0" xfId="0" applyFont="1" applyBorder="1" applyAlignment="1" applyProtection="1">
      <alignment horizontal="center" vertical="center" wrapText="1"/>
      <protection locked="0"/>
    </xf>
    <xf numFmtId="0" fontId="32" fillId="0" borderId="17" xfId="0" applyFont="1" applyFill="1" applyBorder="1" applyAlignment="1" applyProtection="1">
      <alignment horizontal="center" vertical="center" wrapText="1"/>
      <protection locked="0"/>
    </xf>
    <xf numFmtId="0" fontId="33" fillId="0" borderId="10" xfId="0" applyFont="1" applyFill="1" applyBorder="1" applyAlignment="1" applyProtection="1">
      <alignment horizontal="center" vertical="center" wrapText="1"/>
      <protection locked="0"/>
    </xf>
    <xf numFmtId="0" fontId="31" fillId="0" borderId="18" xfId="0" applyFont="1" applyFill="1" applyBorder="1" applyAlignment="1" applyProtection="1">
      <alignment horizontal="center" vertical="center" wrapText="1"/>
      <protection locked="0"/>
    </xf>
    <xf numFmtId="0" fontId="33" fillId="0" borderId="18" xfId="0" applyFont="1" applyFill="1" applyBorder="1" applyAlignment="1" applyProtection="1">
      <alignment horizontal="center" vertical="center" wrapText="1"/>
      <protection locked="0"/>
    </xf>
    <xf numFmtId="0" fontId="31" fillId="0" borderId="17" xfId="0" applyFont="1" applyFill="1" applyBorder="1" applyAlignment="1" applyProtection="1">
      <alignment horizontal="center" vertical="center" wrapText="1"/>
      <protection locked="0"/>
    </xf>
    <xf numFmtId="0" fontId="31" fillId="0" borderId="0" xfId="0" applyFont="1" applyFill="1" applyBorder="1" applyAlignment="1" applyProtection="1">
      <alignment horizontal="center" vertical="center" wrapText="1"/>
      <protection locked="0"/>
    </xf>
    <xf numFmtId="0" fontId="31" fillId="0" borderId="10" xfId="0" applyFont="1" applyFill="1" applyBorder="1" applyAlignment="1" applyProtection="1">
      <alignment horizontal="center" vertical="center" wrapText="1"/>
      <protection locked="0"/>
    </xf>
    <xf numFmtId="0" fontId="32" fillId="0" borderId="0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Fill="1" applyAlignment="1" applyProtection="1">
      <alignment horizontal="center" vertical="center" wrapText="1"/>
      <protection locked="0"/>
    </xf>
    <xf numFmtId="0" fontId="33" fillId="0" borderId="5" xfId="0" applyFont="1" applyFill="1" applyBorder="1" applyAlignment="1" applyProtection="1">
      <alignment horizontal="center" vertical="center" wrapText="1"/>
      <protection locked="0"/>
    </xf>
    <xf numFmtId="0" fontId="31" fillId="0" borderId="9" xfId="0" applyFont="1" applyFill="1" applyBorder="1" applyAlignment="1" applyProtection="1">
      <alignment horizontal="center" vertical="center" wrapText="1"/>
      <protection locked="0"/>
    </xf>
    <xf numFmtId="0" fontId="31" fillId="0" borderId="11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Fill="1" applyBorder="1" applyAlignment="1" applyProtection="1">
      <alignment horizontal="center" vertical="center" wrapText="1"/>
      <protection locked="0"/>
    </xf>
    <xf numFmtId="3" fontId="33" fillId="0" borderId="1" xfId="0" applyNumberFormat="1" applyFont="1" applyFill="1" applyBorder="1" applyAlignment="1" applyProtection="1">
      <alignment horizontal="center" vertical="center" wrapText="1"/>
    </xf>
    <xf numFmtId="0" fontId="34" fillId="0" borderId="1" xfId="0" applyFont="1" applyFill="1" applyBorder="1" applyAlignment="1" applyProtection="1">
      <alignment horizontal="center" vertical="center" wrapText="1"/>
      <protection locked="0"/>
    </xf>
    <xf numFmtId="9" fontId="34" fillId="0" borderId="1" xfId="2" applyFont="1" applyFill="1" applyBorder="1" applyAlignment="1" applyProtection="1">
      <alignment horizontal="center" vertical="center" wrapText="1"/>
    </xf>
    <xf numFmtId="0" fontId="34" fillId="0" borderId="1" xfId="2" applyNumberFormat="1" applyFont="1" applyFill="1" applyBorder="1" applyAlignment="1" applyProtection="1">
      <alignment horizontal="center" vertical="center" wrapText="1"/>
    </xf>
    <xf numFmtId="0" fontId="34" fillId="0" borderId="3" xfId="0" applyFont="1" applyFill="1" applyBorder="1" applyAlignment="1" applyProtection="1">
      <alignment horizontal="center" vertical="center" wrapText="1"/>
    </xf>
    <xf numFmtId="3" fontId="34" fillId="0" borderId="1" xfId="2" applyNumberFormat="1" applyFont="1" applyFill="1" applyBorder="1" applyAlignment="1" applyProtection="1">
      <alignment horizontal="center" vertical="center" wrapText="1"/>
    </xf>
    <xf numFmtId="1" fontId="34" fillId="0" borderId="1" xfId="2" applyNumberFormat="1" applyFont="1" applyFill="1" applyBorder="1" applyAlignment="1" applyProtection="1">
      <alignment horizontal="center" vertical="center" wrapText="1"/>
    </xf>
    <xf numFmtId="0" fontId="33" fillId="4" borderId="1" xfId="0" applyNumberFormat="1" applyFont="1" applyFill="1" applyBorder="1" applyAlignment="1" applyProtection="1">
      <alignment horizontal="center" vertical="center" wrapText="1"/>
    </xf>
    <xf numFmtId="9" fontId="34" fillId="4" borderId="1" xfId="2" applyFont="1" applyFill="1" applyBorder="1" applyAlignment="1" applyProtection="1">
      <alignment horizontal="center" vertical="center" wrapText="1"/>
    </xf>
    <xf numFmtId="3" fontId="34" fillId="4" borderId="1" xfId="2" applyNumberFormat="1" applyFont="1" applyFill="1" applyBorder="1" applyAlignment="1" applyProtection="1">
      <alignment horizontal="center" vertical="center" wrapText="1"/>
    </xf>
    <xf numFmtId="1" fontId="34" fillId="4" borderId="1" xfId="2" applyNumberFormat="1" applyFont="1" applyFill="1" applyBorder="1" applyAlignment="1" applyProtection="1">
      <alignment horizontal="center" vertical="center" wrapText="1"/>
    </xf>
    <xf numFmtId="0" fontId="34" fillId="14" borderId="1" xfId="0" applyFont="1" applyFill="1" applyBorder="1" applyAlignment="1" applyProtection="1">
      <alignment horizontal="center" vertical="center" wrapText="1"/>
      <protection locked="0"/>
    </xf>
    <xf numFmtId="0" fontId="36" fillId="2" borderId="14" xfId="0" applyFont="1" applyFill="1" applyBorder="1" applyAlignment="1" applyProtection="1">
      <alignment horizontal="center" vertical="center" wrapText="1"/>
      <protection locked="0"/>
    </xf>
    <xf numFmtId="0" fontId="29" fillId="2" borderId="3" xfId="0" applyFont="1" applyFill="1" applyBorder="1" applyAlignment="1" applyProtection="1">
      <alignment horizontal="center" vertical="center" wrapText="1"/>
      <protection locked="0"/>
    </xf>
    <xf numFmtId="9" fontId="36" fillId="2" borderId="8" xfId="2" applyFont="1" applyFill="1" applyBorder="1" applyAlignment="1" applyProtection="1">
      <alignment horizontal="center" vertical="center" wrapText="1"/>
      <protection locked="0"/>
    </xf>
    <xf numFmtId="9" fontId="36" fillId="2" borderId="2" xfId="2" applyFont="1" applyFill="1" applyBorder="1" applyAlignment="1" applyProtection="1">
      <alignment horizontal="center" vertical="center" wrapText="1"/>
      <protection locked="0"/>
    </xf>
    <xf numFmtId="0" fontId="36" fillId="13" borderId="0" xfId="0" applyFont="1" applyFill="1" applyAlignment="1" applyProtection="1">
      <alignment horizontal="center" vertical="center" wrapText="1"/>
      <protection locked="0"/>
    </xf>
    <xf numFmtId="0" fontId="36" fillId="0" borderId="10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Fill="1" applyBorder="1" applyAlignment="1" applyProtection="1">
      <alignment horizontal="center" vertical="center" wrapText="1"/>
      <protection locked="0"/>
    </xf>
    <xf numFmtId="0" fontId="29" fillId="13" borderId="0" xfId="0" applyFont="1" applyFill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36" fillId="0" borderId="9" xfId="0" applyFont="1" applyBorder="1" applyAlignment="1" applyProtection="1">
      <alignment horizontal="center" vertical="center" wrapText="1"/>
      <protection locked="0"/>
    </xf>
    <xf numFmtId="0" fontId="36" fillId="0" borderId="11" xfId="0" applyFont="1" applyBorder="1" applyAlignment="1" applyProtection="1">
      <alignment horizontal="center" vertical="center" wrapText="1"/>
      <protection locked="0"/>
    </xf>
    <xf numFmtId="0" fontId="29" fillId="0" borderId="0" xfId="0" applyFont="1" applyFill="1" applyBorder="1" applyAlignment="1" applyProtection="1">
      <alignment horizontal="center" vertical="center" wrapText="1"/>
      <protection locked="0"/>
    </xf>
    <xf numFmtId="0" fontId="36" fillId="13" borderId="1" xfId="0" applyFont="1" applyFill="1" applyBorder="1" applyAlignment="1" applyProtection="1">
      <alignment horizontal="center" vertical="center" wrapText="1"/>
      <protection locked="0"/>
    </xf>
    <xf numFmtId="3" fontId="28" fillId="0" borderId="1" xfId="2" applyNumberFormat="1" applyFont="1" applyFill="1" applyBorder="1" applyAlignment="1" applyProtection="1">
      <alignment horizontal="center" vertical="center" wrapText="1"/>
    </xf>
    <xf numFmtId="1" fontId="28" fillId="0" borderId="1" xfId="2" applyNumberFormat="1" applyFont="1" applyFill="1" applyBorder="1" applyAlignment="1" applyProtection="1">
      <alignment horizontal="center" vertical="center" wrapText="1"/>
    </xf>
    <xf numFmtId="1" fontId="28" fillId="0" borderId="14" xfId="2" applyNumberFormat="1" applyFont="1" applyFill="1" applyBorder="1" applyAlignment="1" applyProtection="1">
      <alignment horizontal="center" vertical="center" wrapText="1"/>
    </xf>
    <xf numFmtId="0" fontId="28" fillId="13" borderId="1" xfId="0" applyFont="1" applyFill="1" applyBorder="1" applyAlignment="1" applyProtection="1">
      <alignment horizontal="center" vertical="center" wrapText="1"/>
      <protection locked="0"/>
    </xf>
    <xf numFmtId="3" fontId="28" fillId="2" borderId="1" xfId="2" applyNumberFormat="1" applyFont="1" applyFill="1" applyBorder="1" applyAlignment="1" applyProtection="1">
      <alignment horizontal="center" vertical="center" wrapText="1"/>
    </xf>
    <xf numFmtId="1" fontId="28" fillId="2" borderId="1" xfId="2" applyNumberFormat="1" applyFont="1" applyFill="1" applyBorder="1" applyAlignment="1" applyProtection="1">
      <alignment horizontal="center" vertical="center" wrapText="1"/>
    </xf>
    <xf numFmtId="1" fontId="28" fillId="2" borderId="14" xfId="2" applyNumberFormat="1" applyFont="1" applyFill="1" applyBorder="1" applyAlignment="1" applyProtection="1">
      <alignment horizontal="center" vertical="center" wrapText="1"/>
    </xf>
    <xf numFmtId="1" fontId="28" fillId="2" borderId="7" xfId="2" applyNumberFormat="1" applyFont="1" applyFill="1" applyBorder="1" applyAlignment="1" applyProtection="1">
      <alignment horizontal="center" vertical="center" wrapText="1"/>
    </xf>
    <xf numFmtId="0" fontId="29" fillId="13" borderId="1" xfId="0" applyFont="1" applyFill="1" applyBorder="1" applyAlignment="1" applyProtection="1">
      <alignment horizontal="center" vertical="center" wrapText="1"/>
    </xf>
    <xf numFmtId="0" fontId="36" fillId="0" borderId="0" xfId="0" applyFont="1"/>
    <xf numFmtId="0" fontId="36" fillId="13" borderId="0" xfId="0" applyFont="1" applyFill="1"/>
    <xf numFmtId="0" fontId="27" fillId="11" borderId="3" xfId="0" applyFont="1" applyFill="1" applyBorder="1" applyAlignment="1" applyProtection="1">
      <alignment horizontal="center" vertical="center" wrapText="1"/>
    </xf>
    <xf numFmtId="0" fontId="34" fillId="2" borderId="1" xfId="2" applyNumberFormat="1" applyFont="1" applyFill="1" applyBorder="1" applyAlignment="1" applyProtection="1">
      <alignment horizontal="center" vertical="center" wrapText="1"/>
    </xf>
    <xf numFmtId="3" fontId="39" fillId="4" borderId="1" xfId="0" applyNumberFormat="1" applyFont="1" applyFill="1" applyBorder="1" applyAlignment="1" applyProtection="1">
      <alignment horizontal="center" vertical="center" wrapText="1"/>
    </xf>
    <xf numFmtId="0" fontId="34" fillId="2" borderId="3" xfId="0" applyFont="1" applyFill="1" applyBorder="1" applyAlignment="1" applyProtection="1">
      <alignment horizontal="center" vertical="center" wrapText="1"/>
    </xf>
    <xf numFmtId="0" fontId="22" fillId="0" borderId="1" xfId="0" applyFont="1" applyFill="1" applyBorder="1" applyAlignment="1" applyProtection="1">
      <alignment horizontal="center" vertical="center" wrapText="1"/>
      <protection locked="0"/>
    </xf>
    <xf numFmtId="9" fontId="24" fillId="2" borderId="1" xfId="2" applyFont="1" applyFill="1" applyBorder="1" applyAlignment="1" applyProtection="1">
      <alignment horizontal="center" vertical="center" wrapText="1"/>
    </xf>
    <xf numFmtId="0" fontId="27" fillId="12" borderId="1" xfId="0" applyFont="1" applyFill="1" applyBorder="1" applyAlignment="1" applyProtection="1">
      <alignment horizontal="center" vertical="center" wrapText="1"/>
    </xf>
    <xf numFmtId="0" fontId="33" fillId="0" borderId="10" xfId="0" applyFont="1" applyBorder="1" applyAlignment="1" applyProtection="1">
      <alignment horizontal="center" vertical="center" wrapText="1"/>
      <protection locked="0"/>
    </xf>
    <xf numFmtId="0" fontId="33" fillId="0" borderId="18" xfId="0" applyFont="1" applyBorder="1" applyAlignment="1" applyProtection="1">
      <alignment horizontal="center" vertical="center" wrapText="1"/>
      <protection locked="0"/>
    </xf>
    <xf numFmtId="0" fontId="33" fillId="0" borderId="0" xfId="0" applyFont="1" applyAlignment="1" applyProtection="1">
      <alignment horizontal="center" vertical="center" wrapText="1"/>
      <protection locked="0"/>
    </xf>
    <xf numFmtId="0" fontId="31" fillId="0" borderId="9" xfId="0" applyFont="1" applyBorder="1" applyAlignment="1" applyProtection="1">
      <alignment horizontal="center" vertical="center" wrapText="1"/>
      <protection locked="0"/>
    </xf>
    <xf numFmtId="0" fontId="31" fillId="0" borderId="11" xfId="0" applyFont="1" applyBorder="1" applyAlignment="1" applyProtection="1">
      <alignment horizontal="center" vertical="center" wrapText="1"/>
      <protection locked="0"/>
    </xf>
    <xf numFmtId="9" fontId="34" fillId="2" borderId="1" xfId="2" applyFont="1" applyFill="1" applyBorder="1" applyAlignment="1" applyProtection="1">
      <alignment horizontal="center" vertical="center" wrapText="1"/>
    </xf>
    <xf numFmtId="1" fontId="34" fillId="2" borderId="1" xfId="2" applyNumberFormat="1" applyFont="1" applyFill="1" applyBorder="1" applyAlignment="1" applyProtection="1">
      <alignment horizontal="center" vertical="center" wrapText="1"/>
    </xf>
    <xf numFmtId="0" fontId="33" fillId="2" borderId="8" xfId="0" applyFont="1" applyFill="1" applyBorder="1" applyAlignment="1" applyProtection="1">
      <alignment horizontal="center" vertical="center" wrapText="1"/>
    </xf>
    <xf numFmtId="0" fontId="33" fillId="2" borderId="2" xfId="0" applyFont="1" applyFill="1" applyBorder="1" applyAlignment="1" applyProtection="1">
      <alignment horizontal="center" vertical="center" wrapText="1"/>
    </xf>
    <xf numFmtId="3" fontId="42" fillId="2" borderId="1" xfId="0" applyNumberFormat="1" applyFont="1" applyFill="1" applyBorder="1" applyAlignment="1">
      <alignment horizontal="center" vertical="center" wrapText="1"/>
    </xf>
    <xf numFmtId="3" fontId="39" fillId="2" borderId="1" xfId="0" applyNumberFormat="1" applyFont="1" applyFill="1" applyBorder="1" applyAlignment="1" applyProtection="1">
      <alignment horizontal="center" vertical="center" wrapText="1"/>
    </xf>
    <xf numFmtId="3" fontId="39" fillId="2" borderId="8" xfId="0" applyNumberFormat="1" applyFont="1" applyFill="1" applyBorder="1" applyAlignment="1" applyProtection="1">
      <alignment horizontal="center" vertical="center" wrapText="1"/>
    </xf>
    <xf numFmtId="9" fontId="31" fillId="2" borderId="8" xfId="2" applyFont="1" applyFill="1" applyBorder="1" applyAlignment="1" applyProtection="1">
      <alignment horizontal="center" vertical="center" wrapText="1"/>
      <protection locked="0"/>
    </xf>
    <xf numFmtId="9" fontId="31" fillId="2" borderId="2" xfId="2" applyFont="1" applyFill="1" applyBorder="1" applyAlignment="1" applyProtection="1">
      <alignment horizontal="center" vertical="center" wrapText="1"/>
      <protection locked="0"/>
    </xf>
    <xf numFmtId="0" fontId="31" fillId="2" borderId="11" xfId="0" applyFont="1" applyFill="1" applyBorder="1" applyAlignment="1" applyProtection="1">
      <alignment horizontal="center" vertical="center"/>
      <protection locked="0"/>
    </xf>
    <xf numFmtId="0" fontId="18" fillId="2" borderId="13" xfId="0" applyFont="1" applyFill="1" applyBorder="1" applyAlignment="1" applyProtection="1">
      <alignment horizontal="center" vertical="center" wrapText="1"/>
    </xf>
    <xf numFmtId="0" fontId="22" fillId="2" borderId="13" xfId="0" applyFont="1" applyFill="1" applyBorder="1" applyAlignment="1" applyProtection="1">
      <alignment horizontal="center" vertical="center" wrapText="1"/>
    </xf>
    <xf numFmtId="0" fontId="22" fillId="0" borderId="13" xfId="0" applyFont="1" applyFill="1" applyBorder="1" applyAlignment="1" applyProtection="1">
      <alignment horizontal="center" vertical="center" wrapText="1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18" fillId="0" borderId="15" xfId="0" applyFont="1" applyBorder="1" applyAlignment="1" applyProtection="1">
      <alignment horizontal="center" vertical="center" wrapText="1"/>
      <protection locked="0"/>
    </xf>
    <xf numFmtId="0" fontId="22" fillId="0" borderId="15" xfId="0" applyFont="1" applyFill="1" applyBorder="1" applyAlignment="1" applyProtection="1">
      <alignment horizontal="center" vertical="center" wrapText="1"/>
    </xf>
    <xf numFmtId="0" fontId="18" fillId="3" borderId="13" xfId="0" applyNumberFormat="1" applyFont="1" applyFill="1" applyBorder="1" applyAlignment="1" applyProtection="1">
      <alignment horizontal="center" vertical="center" wrapText="1"/>
    </xf>
    <xf numFmtId="3" fontId="18" fillId="3" borderId="13" xfId="0" applyNumberFormat="1" applyFont="1" applyFill="1" applyBorder="1" applyAlignment="1" applyProtection="1">
      <alignment horizontal="center" vertical="center" wrapText="1"/>
    </xf>
    <xf numFmtId="3" fontId="18" fillId="0" borderId="13" xfId="0" applyNumberFormat="1" applyFont="1" applyFill="1" applyBorder="1" applyAlignment="1" applyProtection="1">
      <alignment horizontal="center" vertical="center" wrapText="1"/>
      <protection locked="0"/>
    </xf>
    <xf numFmtId="9" fontId="22" fillId="2" borderId="13" xfId="2" applyFont="1" applyFill="1" applyBorder="1" applyAlignment="1" applyProtection="1">
      <alignment horizontal="center" vertical="center" wrapText="1"/>
    </xf>
    <xf numFmtId="0" fontId="22" fillId="0" borderId="13" xfId="2" applyNumberFormat="1" applyFont="1" applyFill="1" applyBorder="1" applyAlignment="1" applyProtection="1">
      <alignment horizontal="center" vertical="center" wrapText="1"/>
    </xf>
    <xf numFmtId="9" fontId="18" fillId="2" borderId="13" xfId="2" applyFont="1" applyFill="1" applyBorder="1" applyAlignment="1" applyProtection="1">
      <alignment horizontal="center" vertical="center" wrapText="1"/>
    </xf>
    <xf numFmtId="0" fontId="18" fillId="2" borderId="13" xfId="0" applyNumberFormat="1" applyFont="1" applyFill="1" applyBorder="1" applyAlignment="1" applyProtection="1">
      <alignment horizontal="center" vertical="center" wrapText="1"/>
    </xf>
    <xf numFmtId="0" fontId="22" fillId="0" borderId="13" xfId="0" applyFont="1" applyBorder="1" applyAlignment="1" applyProtection="1">
      <alignment horizontal="center" vertical="center" wrapText="1"/>
      <protection locked="0"/>
    </xf>
    <xf numFmtId="0" fontId="22" fillId="2" borderId="13" xfId="2" applyNumberFormat="1" applyFont="1" applyFill="1" applyBorder="1" applyAlignment="1" applyProtection="1">
      <alignment horizontal="center" vertical="center" wrapText="1"/>
    </xf>
    <xf numFmtId="9" fontId="22" fillId="0" borderId="13" xfId="2" applyFont="1" applyFill="1" applyBorder="1" applyAlignment="1" applyProtection="1">
      <alignment horizontal="center" vertical="center" wrapText="1"/>
    </xf>
    <xf numFmtId="3" fontId="22" fillId="2" borderId="13" xfId="2" applyNumberFormat="1" applyFont="1" applyFill="1" applyBorder="1" applyAlignment="1" applyProtection="1">
      <alignment horizontal="center" vertical="center" wrapText="1"/>
    </xf>
    <xf numFmtId="1" fontId="22" fillId="2" borderId="13" xfId="2" applyNumberFormat="1" applyFont="1" applyFill="1" applyBorder="1" applyAlignment="1" applyProtection="1">
      <alignment horizontal="center" vertical="center" wrapText="1"/>
    </xf>
    <xf numFmtId="0" fontId="18" fillId="4" borderId="13" xfId="0" applyFont="1" applyFill="1" applyBorder="1" applyAlignment="1" applyProtection="1">
      <alignment horizontal="center" vertical="center" wrapText="1"/>
    </xf>
    <xf numFmtId="0" fontId="22" fillId="2" borderId="16" xfId="0" applyFont="1" applyFill="1" applyBorder="1" applyAlignment="1" applyProtection="1">
      <alignment horizontal="center" vertical="center" wrapText="1"/>
    </xf>
    <xf numFmtId="0" fontId="24" fillId="0" borderId="0" xfId="0" applyFont="1"/>
    <xf numFmtId="0" fontId="32" fillId="0" borderId="0" xfId="0" applyFont="1" applyFill="1" applyBorder="1" applyAlignment="1" applyProtection="1">
      <alignment horizontal="center" vertical="center"/>
      <protection locked="0"/>
    </xf>
    <xf numFmtId="0" fontId="33" fillId="0" borderId="0" xfId="0" applyFont="1" applyFill="1" applyBorder="1" applyAlignment="1" applyProtection="1">
      <alignment horizontal="center" vertical="center"/>
      <protection locked="0"/>
    </xf>
    <xf numFmtId="3" fontId="33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33" fillId="0" borderId="1" xfId="1" applyNumberFormat="1" applyFont="1" applyFill="1" applyBorder="1" applyAlignment="1" applyProtection="1">
      <alignment horizontal="center" vertical="center" wrapText="1"/>
    </xf>
    <xf numFmtId="3" fontId="33" fillId="0" borderId="8" xfId="0" applyNumberFormat="1" applyFont="1" applyFill="1" applyBorder="1" applyAlignment="1" applyProtection="1">
      <alignment horizontal="center" vertical="center" wrapText="1"/>
    </xf>
    <xf numFmtId="3" fontId="5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4" fillId="2" borderId="1" xfId="0" applyFont="1" applyFill="1" applyBorder="1" applyAlignment="1" applyProtection="1">
      <alignment horizontal="center" vertical="center" wrapText="1"/>
      <protection locked="0"/>
    </xf>
    <xf numFmtId="9" fontId="54" fillId="2" borderId="1" xfId="2" applyFont="1" applyFill="1" applyBorder="1" applyAlignment="1" applyProtection="1">
      <alignment horizontal="center" vertical="center" wrapText="1"/>
      <protection locked="0"/>
    </xf>
    <xf numFmtId="3" fontId="54" fillId="0" borderId="1" xfId="0" applyNumberFormat="1" applyFont="1" applyFill="1" applyBorder="1" applyAlignment="1" applyProtection="1">
      <alignment horizontal="center" vertical="center" wrapText="1"/>
    </xf>
    <xf numFmtId="3" fontId="54" fillId="0" borderId="1" xfId="1" applyNumberFormat="1" applyFont="1" applyFill="1" applyBorder="1" applyAlignment="1" applyProtection="1">
      <alignment horizontal="center" vertical="center" wrapText="1"/>
    </xf>
    <xf numFmtId="0" fontId="54" fillId="2" borderId="1" xfId="0" applyFont="1" applyFill="1" applyBorder="1" applyAlignment="1" applyProtection="1">
      <alignment horizontal="center" vertical="center" wrapText="1"/>
    </xf>
    <xf numFmtId="0" fontId="53" fillId="0" borderId="19" xfId="0" applyFont="1" applyFill="1" applyBorder="1" applyAlignment="1" applyProtection="1">
      <alignment horizontal="center" vertical="center" wrapText="1"/>
      <protection locked="0"/>
    </xf>
    <xf numFmtId="0" fontId="54" fillId="0" borderId="19" xfId="0" applyFont="1" applyBorder="1" applyAlignment="1" applyProtection="1">
      <alignment horizontal="center" vertical="center" wrapText="1"/>
      <protection locked="0"/>
    </xf>
    <xf numFmtId="0" fontId="54" fillId="2" borderId="19" xfId="0" applyFont="1" applyFill="1" applyBorder="1" applyAlignment="1" applyProtection="1">
      <alignment horizontal="center" vertical="center" wrapText="1"/>
      <protection locked="0"/>
    </xf>
    <xf numFmtId="0" fontId="54" fillId="0" borderId="19" xfId="0" applyFont="1" applyFill="1" applyBorder="1" applyAlignment="1" applyProtection="1">
      <alignment horizontal="center" vertical="center" wrapText="1"/>
      <protection locked="0"/>
    </xf>
    <xf numFmtId="0" fontId="54" fillId="0" borderId="20" xfId="0" applyFont="1" applyBorder="1" applyAlignment="1" applyProtection="1">
      <alignment horizontal="center" vertical="center" wrapText="1"/>
      <protection locked="0"/>
    </xf>
    <xf numFmtId="0" fontId="54" fillId="0" borderId="1" xfId="0" applyFont="1" applyFill="1" applyBorder="1" applyAlignment="1" applyProtection="1">
      <alignment horizontal="center" vertical="center" wrapText="1"/>
      <protection locked="0"/>
    </xf>
    <xf numFmtId="3" fontId="55" fillId="0" borderId="1" xfId="0" applyNumberFormat="1" applyFont="1" applyBorder="1" applyAlignment="1">
      <alignment horizontal="center" vertical="center" wrapText="1"/>
    </xf>
    <xf numFmtId="0" fontId="54" fillId="0" borderId="1" xfId="0" applyFont="1" applyBorder="1" applyAlignment="1" applyProtection="1">
      <alignment horizontal="center" vertical="center" wrapText="1"/>
      <protection locked="0"/>
    </xf>
    <xf numFmtId="0" fontId="54" fillId="0" borderId="15" xfId="0" applyFont="1" applyBorder="1" applyAlignment="1" applyProtection="1">
      <alignment horizontal="center" vertical="center" wrapText="1"/>
      <protection locked="0"/>
    </xf>
    <xf numFmtId="0" fontId="54" fillId="2" borderId="15" xfId="0" applyFont="1" applyFill="1" applyBorder="1" applyAlignment="1" applyProtection="1">
      <alignment horizontal="center" vertical="center" wrapText="1"/>
      <protection locked="0"/>
    </xf>
    <xf numFmtId="0" fontId="55" fillId="2" borderId="6" xfId="0" applyFont="1" applyFill="1" applyBorder="1" applyAlignment="1" applyProtection="1">
      <alignment horizontal="center" vertical="center" wrapText="1"/>
    </xf>
    <xf numFmtId="0" fontId="55" fillId="0" borderId="1" xfId="0" applyFont="1" applyBorder="1" applyAlignment="1" applyProtection="1">
      <alignment horizontal="center" vertical="center" wrapText="1"/>
      <protection locked="0"/>
    </xf>
    <xf numFmtId="0" fontId="55" fillId="2" borderId="1" xfId="0" applyFont="1" applyFill="1" applyBorder="1" applyAlignment="1" applyProtection="1">
      <alignment horizontal="center" vertical="center" wrapText="1"/>
    </xf>
    <xf numFmtId="9" fontId="55" fillId="2" borderId="1" xfId="2" applyFont="1" applyFill="1" applyBorder="1" applyAlignment="1" applyProtection="1">
      <alignment horizontal="center" vertical="center" wrapText="1"/>
    </xf>
    <xf numFmtId="9" fontId="55" fillId="0" borderId="1" xfId="2" applyFont="1" applyFill="1" applyBorder="1" applyAlignment="1" applyProtection="1">
      <alignment horizontal="center" vertical="center" wrapText="1"/>
    </xf>
    <xf numFmtId="0" fontId="55" fillId="0" borderId="1" xfId="2" applyNumberFormat="1" applyFont="1" applyFill="1" applyBorder="1" applyAlignment="1" applyProtection="1">
      <alignment horizontal="center" vertical="center" wrapText="1"/>
    </xf>
    <xf numFmtId="0" fontId="55" fillId="2" borderId="1" xfId="2" applyNumberFormat="1" applyFont="1" applyFill="1" applyBorder="1" applyAlignment="1" applyProtection="1">
      <alignment horizontal="center" vertical="center" wrapText="1"/>
    </xf>
    <xf numFmtId="0" fontId="55" fillId="0" borderId="1" xfId="0" applyFont="1" applyFill="1" applyBorder="1" applyAlignment="1" applyProtection="1">
      <alignment horizontal="center" vertical="center" wrapText="1"/>
    </xf>
    <xf numFmtId="3" fontId="55" fillId="0" borderId="1" xfId="2" applyNumberFormat="1" applyFont="1" applyFill="1" applyBorder="1" applyAlignment="1" applyProtection="1">
      <alignment horizontal="center" vertical="center" wrapText="1"/>
    </xf>
    <xf numFmtId="1" fontId="55" fillId="0" borderId="1" xfId="2" applyNumberFormat="1" applyFont="1" applyFill="1" applyBorder="1" applyAlignment="1" applyProtection="1">
      <alignment horizontal="center" vertical="center" wrapText="1"/>
    </xf>
    <xf numFmtId="0" fontId="55" fillId="4" borderId="1" xfId="0" applyFont="1" applyFill="1" applyBorder="1" applyAlignment="1" applyProtection="1">
      <alignment horizontal="center" vertical="center" wrapText="1"/>
      <protection locked="0"/>
    </xf>
    <xf numFmtId="0" fontId="55" fillId="0" borderId="15" xfId="0" applyFont="1" applyFill="1" applyBorder="1" applyAlignment="1" applyProtection="1">
      <alignment horizontal="center" vertical="center" wrapText="1"/>
    </xf>
    <xf numFmtId="0" fontId="55" fillId="13" borderId="1" xfId="0" applyFont="1" applyFill="1" applyBorder="1" applyAlignment="1" applyProtection="1">
      <alignment horizontal="center" vertical="center" wrapText="1"/>
    </xf>
    <xf numFmtId="0" fontId="55" fillId="2" borderId="1" xfId="0" applyFont="1" applyFill="1" applyBorder="1" applyAlignment="1" applyProtection="1">
      <alignment horizontal="center" vertical="center" wrapText="1"/>
      <protection locked="0"/>
    </xf>
    <xf numFmtId="3" fontId="55" fillId="2" borderId="1" xfId="0" applyNumberFormat="1" applyFont="1" applyFill="1" applyBorder="1" applyAlignment="1">
      <alignment horizontal="center" vertical="center" wrapText="1"/>
    </xf>
    <xf numFmtId="3" fontId="55" fillId="2" borderId="1" xfId="2" applyNumberFormat="1" applyFont="1" applyFill="1" applyBorder="1" applyAlignment="1" applyProtection="1">
      <alignment horizontal="center" vertical="center" wrapText="1"/>
    </xf>
    <xf numFmtId="1" fontId="55" fillId="2" borderId="1" xfId="2" applyNumberFormat="1" applyFont="1" applyFill="1" applyBorder="1" applyAlignment="1" applyProtection="1">
      <alignment horizontal="center" vertical="center" wrapText="1"/>
    </xf>
    <xf numFmtId="0" fontId="55" fillId="0" borderId="1" xfId="0" applyFont="1" applyFill="1" applyBorder="1" applyAlignment="1" applyProtection="1">
      <alignment horizontal="center" vertical="center" wrapText="1"/>
      <protection locked="0"/>
    </xf>
    <xf numFmtId="3" fontId="55" fillId="0" borderId="1" xfId="0" applyNumberFormat="1" applyFont="1" applyFill="1" applyBorder="1" applyAlignment="1">
      <alignment horizontal="center" vertical="center" wrapText="1"/>
    </xf>
    <xf numFmtId="0" fontId="54" fillId="2" borderId="12" xfId="0" applyFont="1" applyFill="1" applyBorder="1" applyAlignment="1" applyProtection="1">
      <alignment horizontal="center" vertical="center" wrapText="1"/>
      <protection locked="0"/>
    </xf>
    <xf numFmtId="0" fontId="54" fillId="2" borderId="13" xfId="0" applyFont="1" applyFill="1" applyBorder="1" applyAlignment="1" applyProtection="1">
      <alignment horizontal="center" vertical="center" wrapText="1"/>
    </xf>
    <xf numFmtId="0" fontId="54" fillId="2" borderId="13" xfId="0" applyNumberFormat="1" applyFont="1" applyFill="1" applyBorder="1" applyAlignment="1" applyProtection="1">
      <alignment horizontal="center" vertical="center" wrapText="1"/>
    </xf>
    <xf numFmtId="3" fontId="54" fillId="2" borderId="13" xfId="0" applyNumberFormat="1" applyFont="1" applyFill="1" applyBorder="1" applyAlignment="1" applyProtection="1">
      <alignment horizontal="center" vertical="center" wrapText="1"/>
      <protection locked="0"/>
    </xf>
    <xf numFmtId="3" fontId="55" fillId="0" borderId="13" xfId="0" applyNumberFormat="1" applyFont="1" applyBorder="1" applyAlignment="1">
      <alignment horizontal="center" vertical="center" wrapText="1"/>
    </xf>
    <xf numFmtId="0" fontId="55" fillId="2" borderId="13" xfId="0" applyFont="1" applyFill="1" applyBorder="1" applyAlignment="1" applyProtection="1">
      <alignment horizontal="center" vertical="center" wrapText="1"/>
    </xf>
    <xf numFmtId="0" fontId="56" fillId="2" borderId="13" xfId="0" applyFont="1" applyFill="1" applyBorder="1" applyAlignment="1" applyProtection="1">
      <alignment horizontal="center" vertical="center" wrapText="1"/>
    </xf>
    <xf numFmtId="9" fontId="55" fillId="2" borderId="13" xfId="2" applyFont="1" applyFill="1" applyBorder="1" applyAlignment="1" applyProtection="1">
      <alignment horizontal="center" vertical="center" wrapText="1"/>
    </xf>
    <xf numFmtId="9" fontId="54" fillId="2" borderId="13" xfId="2" applyFont="1" applyFill="1" applyBorder="1" applyAlignment="1" applyProtection="1">
      <alignment horizontal="center" vertical="center" wrapText="1"/>
    </xf>
    <xf numFmtId="0" fontId="55" fillId="0" borderId="13" xfId="0" applyFont="1" applyBorder="1" applyAlignment="1" applyProtection="1">
      <alignment horizontal="center" vertical="center" wrapText="1"/>
      <protection locked="0"/>
    </xf>
    <xf numFmtId="0" fontId="55" fillId="2" borderId="13" xfId="2" applyNumberFormat="1" applyFont="1" applyFill="1" applyBorder="1" applyAlignment="1" applyProtection="1">
      <alignment horizontal="center" vertical="center" wrapText="1"/>
    </xf>
    <xf numFmtId="0" fontId="55" fillId="0" borderId="13" xfId="0" applyFont="1" applyFill="1" applyBorder="1" applyAlignment="1" applyProtection="1">
      <alignment horizontal="center" vertical="center" wrapText="1"/>
    </xf>
    <xf numFmtId="9" fontId="55" fillId="0" borderId="13" xfId="2" applyFont="1" applyFill="1" applyBorder="1" applyAlignment="1" applyProtection="1">
      <alignment horizontal="center" vertical="center" wrapText="1"/>
    </xf>
    <xf numFmtId="3" fontId="55" fillId="0" borderId="13" xfId="2" applyNumberFormat="1" applyFont="1" applyFill="1" applyBorder="1" applyAlignment="1" applyProtection="1">
      <alignment horizontal="center" vertical="center" wrapText="1"/>
    </xf>
    <xf numFmtId="1" fontId="55" fillId="0" borderId="13" xfId="2" applyNumberFormat="1" applyFont="1" applyFill="1" applyBorder="1" applyAlignment="1" applyProtection="1">
      <alignment horizontal="center" vertical="center" wrapText="1"/>
    </xf>
    <xf numFmtId="0" fontId="56" fillId="2" borderId="13" xfId="0" applyFont="1" applyFill="1" applyBorder="1" applyAlignment="1" applyProtection="1">
      <alignment horizontal="center" vertical="center" wrapText="1"/>
      <protection locked="0"/>
    </xf>
    <xf numFmtId="0" fontId="54" fillId="4" borderId="13" xfId="0" applyFont="1" applyFill="1" applyBorder="1" applyAlignment="1" applyProtection="1">
      <alignment horizontal="center" vertical="center" wrapText="1"/>
    </xf>
    <xf numFmtId="0" fontId="55" fillId="0" borderId="16" xfId="0" applyFont="1" applyFill="1" applyBorder="1" applyAlignment="1" applyProtection="1">
      <alignment horizontal="center" vertical="center" wrapText="1"/>
    </xf>
    <xf numFmtId="3" fontId="33" fillId="0" borderId="10" xfId="0" applyNumberFormat="1" applyFont="1" applyBorder="1" applyAlignment="1" applyProtection="1">
      <alignment horizontal="center" vertical="center"/>
      <protection locked="0"/>
    </xf>
    <xf numFmtId="3" fontId="33" fillId="4" borderId="1" xfId="0" applyNumberFormat="1" applyFont="1" applyFill="1" applyBorder="1" applyAlignment="1" applyProtection="1">
      <alignment horizontal="center" vertical="center"/>
      <protection locked="0"/>
    </xf>
    <xf numFmtId="0" fontId="33" fillId="4" borderId="1" xfId="0" applyFont="1" applyFill="1" applyBorder="1" applyAlignment="1" applyProtection="1">
      <alignment horizontal="center" vertical="center"/>
    </xf>
    <xf numFmtId="0" fontId="34" fillId="4" borderId="1" xfId="0" applyFont="1" applyFill="1" applyBorder="1" applyAlignment="1" applyProtection="1">
      <alignment horizontal="center" vertical="center"/>
      <protection locked="0"/>
    </xf>
    <xf numFmtId="0" fontId="33" fillId="10" borderId="1" xfId="0" applyFont="1" applyFill="1" applyBorder="1" applyAlignment="1" applyProtection="1">
      <alignment horizontal="center" vertical="center"/>
    </xf>
    <xf numFmtId="0" fontId="31" fillId="0" borderId="1" xfId="0" applyFont="1" applyBorder="1" applyAlignment="1" applyProtection="1">
      <alignment horizontal="center" vertical="center"/>
      <protection locked="0"/>
    </xf>
    <xf numFmtId="3" fontId="57" fillId="0" borderId="1" xfId="0" applyNumberFormat="1" applyFont="1" applyBorder="1" applyAlignment="1">
      <alignment horizontal="center" vertical="center"/>
    </xf>
    <xf numFmtId="3" fontId="34" fillId="0" borderId="1" xfId="0" applyNumberFormat="1" applyFont="1" applyBorder="1" applyAlignment="1">
      <alignment horizontal="center" vertical="center"/>
    </xf>
    <xf numFmtId="0" fontId="34" fillId="2" borderId="1" xfId="0" applyFont="1" applyFill="1" applyBorder="1" applyAlignment="1" applyProtection="1">
      <alignment horizontal="center" vertical="center"/>
    </xf>
    <xf numFmtId="9" fontId="34" fillId="2" borderId="1" xfId="2" applyFont="1" applyFill="1" applyBorder="1" applyAlignment="1" applyProtection="1">
      <alignment horizontal="center" vertical="center"/>
    </xf>
    <xf numFmtId="9" fontId="34" fillId="0" borderId="1" xfId="2" applyFont="1" applyFill="1" applyBorder="1" applyAlignment="1" applyProtection="1">
      <alignment horizontal="center" vertical="center"/>
    </xf>
    <xf numFmtId="0" fontId="34" fillId="0" borderId="1" xfId="2" applyNumberFormat="1" applyFont="1" applyFill="1" applyBorder="1" applyAlignment="1" applyProtection="1">
      <alignment horizontal="center" vertical="center"/>
    </xf>
    <xf numFmtId="0" fontId="34" fillId="0" borderId="1" xfId="0" applyFont="1" applyFill="1" applyBorder="1" applyAlignment="1" applyProtection="1">
      <alignment horizontal="center" vertical="center"/>
    </xf>
    <xf numFmtId="0" fontId="34" fillId="0" borderId="3" xfId="0" applyFont="1" applyFill="1" applyBorder="1" applyAlignment="1" applyProtection="1">
      <alignment horizontal="center" vertical="center"/>
    </xf>
    <xf numFmtId="0" fontId="34" fillId="2" borderId="3" xfId="0" applyFont="1" applyFill="1" applyBorder="1" applyAlignment="1" applyProtection="1">
      <alignment horizontal="center" vertical="center"/>
    </xf>
    <xf numFmtId="3" fontId="34" fillId="0" borderId="1" xfId="2" applyNumberFormat="1" applyFont="1" applyFill="1" applyBorder="1" applyAlignment="1" applyProtection="1">
      <alignment horizontal="center" vertical="center"/>
    </xf>
    <xf numFmtId="1" fontId="34" fillId="0" borderId="1" xfId="2" applyNumberFormat="1" applyFont="1" applyFill="1" applyBorder="1" applyAlignment="1" applyProtection="1">
      <alignment horizontal="center" vertical="center"/>
    </xf>
    <xf numFmtId="1" fontId="34" fillId="0" borderId="14" xfId="2" applyNumberFormat="1" applyFont="1" applyFill="1" applyBorder="1" applyAlignment="1" applyProtection="1">
      <alignment horizontal="center" vertical="center"/>
    </xf>
    <xf numFmtId="0" fontId="31" fillId="2" borderId="14" xfId="0" applyFont="1" applyFill="1" applyBorder="1" applyAlignment="1" applyProtection="1">
      <alignment horizontal="center" vertical="center"/>
    </xf>
    <xf numFmtId="0" fontId="34" fillId="10" borderId="1" xfId="0" applyFont="1" applyFill="1" applyBorder="1" applyAlignment="1" applyProtection="1">
      <alignment horizontal="center" vertical="center"/>
      <protection locked="0"/>
    </xf>
    <xf numFmtId="0" fontId="34" fillId="2" borderId="1" xfId="0" applyFont="1" applyFill="1" applyBorder="1" applyAlignment="1" applyProtection="1">
      <alignment horizontal="center" vertical="center"/>
      <protection locked="0"/>
    </xf>
    <xf numFmtId="3" fontId="57" fillId="2" borderId="1" xfId="0" applyNumberFormat="1" applyFont="1" applyFill="1" applyBorder="1" applyAlignment="1">
      <alignment horizontal="center" vertical="center"/>
    </xf>
    <xf numFmtId="1" fontId="34" fillId="2" borderId="14" xfId="2" applyNumberFormat="1" applyFont="1" applyFill="1" applyBorder="1" applyAlignment="1" applyProtection="1">
      <alignment horizontal="center" vertical="center"/>
    </xf>
    <xf numFmtId="0" fontId="57" fillId="0" borderId="1" xfId="0" applyFont="1" applyBorder="1" applyAlignment="1" applyProtection="1">
      <alignment horizontal="center" vertical="center"/>
      <protection locked="0"/>
    </xf>
    <xf numFmtId="0" fontId="57" fillId="2" borderId="1" xfId="0" applyFont="1" applyFill="1" applyBorder="1" applyAlignment="1" applyProtection="1">
      <alignment horizontal="center" vertical="center"/>
      <protection locked="0"/>
    </xf>
    <xf numFmtId="0" fontId="34" fillId="2" borderId="14" xfId="0" applyFont="1" applyFill="1" applyBorder="1" applyAlignment="1" applyProtection="1">
      <alignment horizontal="center" vertical="center"/>
    </xf>
    <xf numFmtId="3" fontId="34" fillId="4" borderId="1" xfId="0" applyNumberFormat="1" applyFont="1" applyFill="1" applyBorder="1" applyAlignment="1">
      <alignment horizontal="center" vertical="center"/>
    </xf>
    <xf numFmtId="9" fontId="34" fillId="4" borderId="1" xfId="2" applyFont="1" applyFill="1" applyBorder="1" applyAlignment="1" applyProtection="1">
      <alignment horizontal="center" vertical="center"/>
    </xf>
    <xf numFmtId="1" fontId="34" fillId="4" borderId="1" xfId="2" applyNumberFormat="1" applyFont="1" applyFill="1" applyBorder="1" applyAlignment="1" applyProtection="1">
      <alignment horizontal="center" vertical="center"/>
    </xf>
    <xf numFmtId="3" fontId="42" fillId="0" borderId="1" xfId="0" applyNumberFormat="1" applyFont="1" applyFill="1" applyBorder="1" applyAlignment="1">
      <alignment horizontal="center" vertical="center" wrapText="1"/>
    </xf>
    <xf numFmtId="0" fontId="42" fillId="0" borderId="1" xfId="0" applyFont="1" applyFill="1" applyBorder="1" applyAlignment="1" applyProtection="1">
      <alignment horizontal="center" vertical="center" wrapText="1"/>
      <protection locked="0"/>
    </xf>
    <xf numFmtId="0" fontId="18" fillId="3" borderId="12" xfId="0" applyFont="1" applyFill="1" applyBorder="1" applyAlignment="1" applyProtection="1">
      <alignment horizontal="center" vertical="center" wrapText="1"/>
    </xf>
    <xf numFmtId="0" fontId="18" fillId="3" borderId="13" xfId="0" applyFont="1" applyFill="1" applyBorder="1" applyAlignment="1" applyProtection="1">
      <alignment horizontal="center" vertical="center" wrapText="1"/>
    </xf>
    <xf numFmtId="0" fontId="35" fillId="2" borderId="1" xfId="0" applyFont="1" applyFill="1" applyBorder="1" applyAlignment="1" applyProtection="1">
      <alignment horizontal="center" vertical="center" wrapText="1"/>
      <protection locked="0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18" fillId="2" borderId="1" xfId="0" applyFont="1" applyFill="1" applyBorder="1" applyAlignment="1" applyProtection="1">
      <alignment horizontal="center" vertical="center" wrapText="1"/>
      <protection locked="0"/>
    </xf>
    <xf numFmtId="0" fontId="21" fillId="2" borderId="21" xfId="0" applyFont="1" applyFill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0" fontId="18" fillId="2" borderId="1" xfId="0" applyFont="1" applyFill="1" applyBorder="1" applyAlignment="1" applyProtection="1">
      <alignment horizontal="center" vertical="center" wrapText="1"/>
    </xf>
    <xf numFmtId="0" fontId="21" fillId="2" borderId="19" xfId="0" applyFont="1" applyFill="1" applyBorder="1" applyAlignment="1" applyProtection="1">
      <alignment horizontal="center" vertical="center" wrapText="1"/>
      <protection locked="0"/>
    </xf>
    <xf numFmtId="0" fontId="20" fillId="2" borderId="6" xfId="0" applyFont="1" applyFill="1" applyBorder="1" applyAlignment="1" applyProtection="1">
      <alignment horizontal="center" vertical="center" wrapText="1"/>
      <protection locked="0"/>
    </xf>
    <xf numFmtId="0" fontId="2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9" fontId="10" fillId="2" borderId="1" xfId="2" applyFont="1" applyFill="1" applyBorder="1" applyAlignment="1" applyProtection="1">
      <alignment horizontal="center" vertical="center" wrapText="1"/>
      <protection locked="0"/>
    </xf>
    <xf numFmtId="49" fontId="1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37" fillId="2" borderId="1" xfId="0" applyFont="1" applyFill="1" applyBorder="1" applyAlignment="1" applyProtection="1">
      <alignment horizontal="center" vertical="center" wrapText="1"/>
      <protection locked="0"/>
    </xf>
    <xf numFmtId="0" fontId="3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29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29" fillId="2" borderId="8" xfId="0" applyFont="1" applyFill="1" applyBorder="1" applyAlignment="1" applyProtection="1">
      <alignment horizontal="center" vertical="center" wrapText="1"/>
    </xf>
    <xf numFmtId="0" fontId="29" fillId="2" borderId="2" xfId="0" applyFont="1" applyFill="1" applyBorder="1" applyAlignment="1" applyProtection="1">
      <alignment horizontal="center" vertical="center" wrapText="1"/>
    </xf>
    <xf numFmtId="0" fontId="29" fillId="2" borderId="8" xfId="0" applyFont="1" applyFill="1" applyBorder="1" applyAlignment="1" applyProtection="1">
      <alignment horizontal="center" vertical="center" wrapText="1"/>
      <protection locked="0"/>
    </xf>
    <xf numFmtId="0" fontId="29" fillId="2" borderId="2" xfId="0" applyFont="1" applyFill="1" applyBorder="1" applyAlignment="1" applyProtection="1">
      <alignment horizontal="center" vertical="center" wrapText="1"/>
      <protection locked="0"/>
    </xf>
    <xf numFmtId="9" fontId="16" fillId="2" borderId="1" xfId="2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29" fillId="3" borderId="23" xfId="0" applyFont="1" applyFill="1" applyBorder="1" applyAlignment="1" applyProtection="1">
      <alignment horizontal="center" vertical="center" wrapText="1"/>
    </xf>
    <xf numFmtId="0" fontId="29" fillId="3" borderId="14" xfId="0" applyFont="1" applyFill="1" applyBorder="1" applyAlignment="1" applyProtection="1">
      <alignment horizontal="center" vertical="center" wrapText="1"/>
    </xf>
    <xf numFmtId="0" fontId="3" fillId="3" borderId="23" xfId="0" applyFont="1" applyFill="1" applyBorder="1" applyAlignment="1" applyProtection="1">
      <alignment horizontal="center" vertical="center" wrapText="1"/>
    </xf>
    <xf numFmtId="0" fontId="3" fillId="3" borderId="14" xfId="0" applyFont="1" applyFill="1" applyBorder="1" applyAlignment="1" applyProtection="1">
      <alignment horizontal="center" vertical="center" wrapText="1"/>
    </xf>
    <xf numFmtId="0" fontId="3" fillId="13" borderId="1" xfId="0" applyFont="1" applyFill="1" applyBorder="1" applyAlignment="1" applyProtection="1">
      <alignment horizontal="center" vertical="center" wrapText="1"/>
      <protection locked="0"/>
    </xf>
    <xf numFmtId="0" fontId="48" fillId="2" borderId="1" xfId="0" applyFont="1" applyFill="1" applyBorder="1" applyAlignment="1" applyProtection="1">
      <alignment horizontal="center" vertical="center" wrapText="1"/>
      <protection locked="0"/>
    </xf>
    <xf numFmtId="0" fontId="48" fillId="0" borderId="1" xfId="0" applyFont="1" applyBorder="1" applyAlignment="1" applyProtection="1">
      <alignment horizontal="center" vertical="center" wrapText="1"/>
      <protection locked="0"/>
    </xf>
    <xf numFmtId="0" fontId="48" fillId="2" borderId="3" xfId="0" applyFont="1" applyFill="1" applyBorder="1" applyAlignment="1" applyProtection="1">
      <alignment horizontal="center" vertical="center" wrapText="1"/>
      <protection locked="0"/>
    </xf>
    <xf numFmtId="0" fontId="48" fillId="0" borderId="14" xfId="0" applyFont="1" applyBorder="1" applyAlignment="1" applyProtection="1">
      <alignment horizontal="center" vertical="center" wrapText="1"/>
      <protection locked="0"/>
    </xf>
    <xf numFmtId="0" fontId="50" fillId="0" borderId="1" xfId="0" applyFont="1" applyFill="1" applyBorder="1" applyAlignment="1" applyProtection="1">
      <alignment horizontal="center" vertical="center" wrapText="1"/>
      <protection locked="0"/>
    </xf>
    <xf numFmtId="0" fontId="49" fillId="2" borderId="1" xfId="0" applyFont="1" applyFill="1" applyBorder="1" applyAlignment="1" applyProtection="1">
      <alignment horizontal="center" vertical="center" wrapText="1"/>
      <protection locked="0"/>
    </xf>
    <xf numFmtId="0" fontId="50" fillId="2" borderId="3" xfId="0" applyFont="1" applyFill="1" applyBorder="1" applyAlignment="1" applyProtection="1">
      <alignment horizontal="center" vertical="center" wrapText="1"/>
      <protection locked="0"/>
    </xf>
    <xf numFmtId="0" fontId="50" fillId="2" borderId="14" xfId="0" applyFont="1" applyFill="1" applyBorder="1" applyAlignment="1" applyProtection="1">
      <alignment horizontal="center" vertical="center" wrapText="1"/>
      <protection locked="0"/>
    </xf>
    <xf numFmtId="0" fontId="51" fillId="2" borderId="1" xfId="0" applyFont="1" applyFill="1" applyBorder="1" applyAlignment="1" applyProtection="1">
      <alignment horizontal="center" vertical="center" wrapText="1"/>
      <protection locked="0"/>
    </xf>
    <xf numFmtId="0" fontId="51" fillId="2" borderId="3" xfId="0" applyFont="1" applyFill="1" applyBorder="1" applyAlignment="1" applyProtection="1">
      <alignment horizontal="center" vertical="center" wrapText="1"/>
      <protection locked="0"/>
    </xf>
    <xf numFmtId="0" fontId="51" fillId="2" borderId="14" xfId="0" applyFont="1" applyFill="1" applyBorder="1" applyAlignment="1" applyProtection="1">
      <alignment horizontal="center" vertical="center" wrapText="1"/>
      <protection locked="0"/>
    </xf>
    <xf numFmtId="0" fontId="51" fillId="2" borderId="8" xfId="0" applyFont="1" applyFill="1" applyBorder="1" applyAlignment="1" applyProtection="1">
      <alignment horizontal="center" vertical="center" wrapText="1"/>
    </xf>
    <xf numFmtId="0" fontId="51" fillId="2" borderId="2" xfId="0" applyFont="1" applyFill="1" applyBorder="1" applyAlignment="1" applyProtection="1">
      <alignment horizontal="center" vertical="center" wrapText="1"/>
    </xf>
    <xf numFmtId="9" fontId="49" fillId="2" borderId="1" xfId="2" applyFont="1" applyFill="1" applyBorder="1" applyAlignment="1" applyProtection="1">
      <alignment horizontal="center" vertical="center" wrapText="1"/>
      <protection locked="0"/>
    </xf>
    <xf numFmtId="0" fontId="51" fillId="13" borderId="1" xfId="0" applyFont="1" applyFill="1" applyBorder="1" applyAlignment="1" applyProtection="1">
      <alignment horizontal="center" vertical="center" wrapText="1"/>
      <protection locked="0"/>
    </xf>
    <xf numFmtId="49" fontId="5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1" fillId="3" borderId="23" xfId="0" applyFont="1" applyFill="1" applyBorder="1" applyAlignment="1" applyProtection="1">
      <alignment horizontal="center" vertical="center" wrapText="1"/>
    </xf>
    <xf numFmtId="0" fontId="51" fillId="3" borderId="14" xfId="0" applyFont="1" applyFill="1" applyBorder="1" applyAlignment="1" applyProtection="1">
      <alignment horizontal="center" vertical="center" wrapText="1"/>
    </xf>
    <xf numFmtId="0" fontId="35" fillId="2" borderId="3" xfId="0" applyFont="1" applyFill="1" applyBorder="1" applyAlignment="1" applyProtection="1">
      <alignment horizontal="center" vertical="center" wrapText="1"/>
      <protection locked="0"/>
    </xf>
    <xf numFmtId="0" fontId="35" fillId="0" borderId="14" xfId="0" applyFont="1" applyBorder="1" applyAlignment="1" applyProtection="1">
      <alignment horizontal="center" vertical="center" wrapText="1"/>
      <protection locked="0"/>
    </xf>
    <xf numFmtId="0" fontId="37" fillId="2" borderId="3" xfId="0" applyFont="1" applyFill="1" applyBorder="1" applyAlignment="1" applyProtection="1">
      <alignment horizontal="center" vertical="center" wrapText="1"/>
      <protection locked="0"/>
    </xf>
    <xf numFmtId="0" fontId="37" fillId="2" borderId="14" xfId="0" applyFont="1" applyFill="1" applyBorder="1" applyAlignment="1" applyProtection="1">
      <alignment horizontal="center" vertical="center" wrapText="1"/>
      <protection locked="0"/>
    </xf>
    <xf numFmtId="0" fontId="29" fillId="2" borderId="3" xfId="0" applyFont="1" applyFill="1" applyBorder="1" applyAlignment="1" applyProtection="1">
      <alignment horizontal="center" vertical="center" wrapText="1"/>
      <protection locked="0"/>
    </xf>
    <xf numFmtId="0" fontId="29" fillId="2" borderId="14" xfId="0" applyFont="1" applyFill="1" applyBorder="1" applyAlignment="1" applyProtection="1">
      <alignment horizontal="center" vertical="center" wrapText="1"/>
      <protection locked="0"/>
    </xf>
    <xf numFmtId="0" fontId="36" fillId="2" borderId="3" xfId="0" applyFont="1" applyFill="1" applyBorder="1" applyAlignment="1" applyProtection="1">
      <alignment horizontal="center" vertical="center" wrapText="1"/>
      <protection locked="0"/>
    </xf>
    <xf numFmtId="0" fontId="36" fillId="2" borderId="7" xfId="0" applyFont="1" applyFill="1" applyBorder="1" applyAlignment="1" applyProtection="1">
      <alignment horizontal="center" vertical="center" wrapText="1"/>
      <protection locked="0"/>
    </xf>
    <xf numFmtId="0" fontId="36" fillId="2" borderId="14" xfId="0" applyFont="1" applyFill="1" applyBorder="1" applyAlignment="1" applyProtection="1">
      <alignment horizontal="center" vertical="center" wrapText="1"/>
      <protection locked="0"/>
    </xf>
    <xf numFmtId="9" fontId="36" fillId="2" borderId="1" xfId="2" applyFont="1" applyFill="1" applyBorder="1" applyAlignment="1" applyProtection="1">
      <alignment horizontal="center" vertical="center" wrapText="1"/>
      <protection locked="0"/>
    </xf>
    <xf numFmtId="9" fontId="36" fillId="2" borderId="8" xfId="2" applyFont="1" applyFill="1" applyBorder="1" applyAlignment="1" applyProtection="1">
      <alignment horizontal="center" vertical="center" wrapText="1"/>
      <protection locked="0"/>
    </xf>
    <xf numFmtId="9" fontId="36" fillId="2" borderId="2" xfId="2" applyFont="1" applyFill="1" applyBorder="1" applyAlignment="1" applyProtection="1">
      <alignment horizontal="center" vertical="center" wrapText="1"/>
      <protection locked="0"/>
    </xf>
    <xf numFmtId="0" fontId="29" fillId="13" borderId="1" xfId="0" applyFont="1" applyFill="1" applyBorder="1" applyAlignment="1" applyProtection="1">
      <alignment horizontal="center" vertical="center" wrapText="1"/>
      <protection locked="0"/>
    </xf>
    <xf numFmtId="49" fontId="29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9" fillId="2" borderId="3" xfId="0" applyFont="1" applyFill="1" applyBorder="1" applyAlignment="1" applyProtection="1">
      <alignment horizontal="center" vertical="center" wrapText="1"/>
      <protection locked="0"/>
    </xf>
    <xf numFmtId="0" fontId="49" fillId="2" borderId="7" xfId="0" applyFont="1" applyFill="1" applyBorder="1" applyAlignment="1" applyProtection="1">
      <alignment horizontal="center" vertical="center" wrapText="1"/>
      <protection locked="0"/>
    </xf>
    <xf numFmtId="0" fontId="49" fillId="2" borderId="14" xfId="0" applyFont="1" applyFill="1" applyBorder="1" applyAlignment="1" applyProtection="1">
      <alignment horizontal="center" vertical="center" wrapText="1"/>
      <protection locked="0"/>
    </xf>
    <xf numFmtId="0" fontId="18" fillId="2" borderId="8" xfId="0" applyFont="1" applyFill="1" applyBorder="1" applyAlignment="1" applyProtection="1">
      <alignment horizontal="center" vertical="center" wrapText="1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21" fillId="2" borderId="1" xfId="0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21" fillId="2" borderId="3" xfId="0" applyFont="1" applyFill="1" applyBorder="1" applyAlignment="1" applyProtection="1">
      <alignment horizontal="center" vertical="center" wrapText="1"/>
      <protection locked="0"/>
    </xf>
    <xf numFmtId="0" fontId="21" fillId="0" borderId="14" xfId="0" applyFont="1" applyBorder="1" applyAlignment="1" applyProtection="1">
      <alignment horizontal="center" vertical="center" wrapText="1"/>
      <protection locked="0"/>
    </xf>
    <xf numFmtId="0" fontId="20" fillId="2" borderId="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18" fillId="2" borderId="3" xfId="0" applyFont="1" applyFill="1" applyBorder="1" applyAlignment="1" applyProtection="1">
      <alignment horizontal="center" vertical="center" wrapText="1"/>
      <protection locked="0"/>
    </xf>
    <xf numFmtId="0" fontId="18" fillId="2" borderId="14" xfId="0" applyFont="1" applyFill="1" applyBorder="1" applyAlignment="1" applyProtection="1">
      <alignment horizontal="center" vertical="center" wrapText="1"/>
      <protection locked="0"/>
    </xf>
    <xf numFmtId="0" fontId="18" fillId="2" borderId="8" xfId="0" applyFont="1" applyFill="1" applyBorder="1" applyAlignment="1" applyProtection="1">
      <alignment horizontal="center" vertical="center" wrapText="1"/>
    </xf>
    <xf numFmtId="0" fontId="18" fillId="2" borderId="2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7" xfId="0" applyFont="1" applyFill="1" applyBorder="1" applyAlignment="1" applyProtection="1">
      <alignment horizontal="center" vertical="center" wrapText="1"/>
      <protection locked="0"/>
    </xf>
    <xf numFmtId="0" fontId="10" fillId="2" borderId="14" xfId="0" applyFont="1" applyFill="1" applyBorder="1" applyAlignment="1" applyProtection="1">
      <alignment horizontal="center" vertical="center" wrapText="1"/>
      <protection locked="0"/>
    </xf>
    <xf numFmtId="0" fontId="18" fillId="4" borderId="1" xfId="0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Fill="1" applyBorder="1" applyAlignment="1" applyProtection="1">
      <alignment horizontal="center" vertical="center" wrapText="1"/>
      <protection locked="0"/>
    </xf>
    <xf numFmtId="0" fontId="30" fillId="2" borderId="1" xfId="0" applyFont="1" applyFill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0" fillId="2" borderId="3" xfId="0" applyFont="1" applyFill="1" applyBorder="1" applyAlignment="1" applyProtection="1">
      <alignment horizontal="center" vertical="center" wrapText="1"/>
      <protection locked="0"/>
    </xf>
    <xf numFmtId="0" fontId="30" fillId="0" borderId="14" xfId="0" applyFont="1" applyBorder="1" applyAlignment="1" applyProtection="1">
      <alignment horizontal="center" vertical="center" wrapText="1"/>
      <protection locked="0"/>
    </xf>
    <xf numFmtId="0" fontId="32" fillId="0" borderId="1" xfId="0" applyFont="1" applyFill="1" applyBorder="1" applyAlignment="1" applyProtection="1">
      <alignment horizontal="center" vertical="center" wrapText="1"/>
      <protection locked="0"/>
    </xf>
    <xf numFmtId="0" fontId="31" fillId="0" borderId="1" xfId="0" applyFont="1" applyFill="1" applyBorder="1" applyAlignment="1" applyProtection="1">
      <alignment horizontal="center" vertical="center" wrapText="1"/>
      <protection locked="0"/>
    </xf>
    <xf numFmtId="0" fontId="32" fillId="0" borderId="3" xfId="0" applyFont="1" applyFill="1" applyBorder="1" applyAlignment="1" applyProtection="1">
      <alignment horizontal="center" vertical="center" wrapText="1"/>
      <protection locked="0"/>
    </xf>
    <xf numFmtId="0" fontId="32" fillId="0" borderId="14" xfId="0" applyFont="1" applyFill="1" applyBorder="1" applyAlignment="1" applyProtection="1">
      <alignment horizontal="center" vertical="center" wrapText="1"/>
      <protection locked="0"/>
    </xf>
    <xf numFmtId="0" fontId="33" fillId="0" borderId="1" xfId="0" applyFont="1" applyFill="1" applyBorder="1" applyAlignment="1" applyProtection="1">
      <alignment horizontal="center" vertical="center" wrapText="1"/>
      <protection locked="0"/>
    </xf>
    <xf numFmtId="0" fontId="33" fillId="0" borderId="3" xfId="0" applyFont="1" applyFill="1" applyBorder="1" applyAlignment="1" applyProtection="1">
      <alignment horizontal="center" vertical="center" wrapText="1"/>
      <protection locked="0"/>
    </xf>
    <xf numFmtId="0" fontId="33" fillId="0" borderId="14" xfId="0" applyFont="1" applyFill="1" applyBorder="1" applyAlignment="1" applyProtection="1">
      <alignment horizontal="center" vertical="center" wrapText="1"/>
      <protection locked="0"/>
    </xf>
    <xf numFmtId="0" fontId="33" fillId="0" borderId="8" xfId="0" applyFont="1" applyFill="1" applyBorder="1" applyAlignment="1" applyProtection="1">
      <alignment horizontal="center" vertical="center" wrapText="1"/>
    </xf>
    <xf numFmtId="0" fontId="33" fillId="0" borderId="2" xfId="0" applyFont="1" applyFill="1" applyBorder="1" applyAlignment="1" applyProtection="1">
      <alignment horizontal="center" vertical="center" wrapText="1"/>
    </xf>
    <xf numFmtId="0" fontId="33" fillId="0" borderId="8" xfId="0" applyFont="1" applyFill="1" applyBorder="1" applyAlignment="1" applyProtection="1">
      <alignment horizontal="center" vertical="center" wrapText="1"/>
      <protection locked="0"/>
    </xf>
    <xf numFmtId="0" fontId="33" fillId="0" borderId="2" xfId="0" applyFont="1" applyFill="1" applyBorder="1" applyAlignment="1" applyProtection="1">
      <alignment horizontal="center" vertical="center" wrapText="1"/>
      <protection locked="0"/>
    </xf>
    <xf numFmtId="0" fontId="31" fillId="0" borderId="3" xfId="0" applyFont="1" applyFill="1" applyBorder="1" applyAlignment="1" applyProtection="1">
      <alignment horizontal="center" vertical="center" wrapText="1"/>
      <protection locked="0"/>
    </xf>
    <xf numFmtId="0" fontId="31" fillId="0" borderId="7" xfId="0" applyFont="1" applyFill="1" applyBorder="1" applyAlignment="1" applyProtection="1">
      <alignment horizontal="center" vertical="center" wrapText="1"/>
      <protection locked="0"/>
    </xf>
    <xf numFmtId="0" fontId="31" fillId="0" borderId="14" xfId="0" applyFont="1" applyFill="1" applyBorder="1" applyAlignment="1" applyProtection="1">
      <alignment horizontal="center" vertical="center" wrapText="1"/>
      <protection locked="0"/>
    </xf>
    <xf numFmtId="0" fontId="31" fillId="0" borderId="8" xfId="0" applyFont="1" applyFill="1" applyBorder="1" applyAlignment="1" applyProtection="1">
      <alignment horizontal="center" vertical="center" wrapText="1"/>
      <protection locked="0"/>
    </xf>
    <xf numFmtId="0" fontId="31" fillId="0" borderId="2" xfId="0" applyFont="1" applyFill="1" applyBorder="1" applyAlignment="1" applyProtection="1">
      <alignment horizontal="center" vertical="center" wrapText="1"/>
      <protection locked="0"/>
    </xf>
    <xf numFmtId="9" fontId="31" fillId="0" borderId="1" xfId="2" applyFont="1" applyFill="1" applyBorder="1" applyAlignment="1" applyProtection="1">
      <alignment horizontal="center" vertical="center" wrapText="1"/>
      <protection locked="0"/>
    </xf>
    <xf numFmtId="9" fontId="31" fillId="0" borderId="8" xfId="2" applyFont="1" applyFill="1" applyBorder="1" applyAlignment="1" applyProtection="1">
      <alignment horizontal="center" vertical="center" wrapText="1"/>
      <protection locked="0"/>
    </xf>
    <xf numFmtId="9" fontId="31" fillId="0" borderId="2" xfId="2" applyFont="1" applyFill="1" applyBorder="1" applyAlignment="1" applyProtection="1">
      <alignment horizontal="center" vertical="center" wrapText="1"/>
      <protection locked="0"/>
    </xf>
    <xf numFmtId="49" fontId="3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2" fillId="2" borderId="1" xfId="0" applyFont="1" applyFill="1" applyBorder="1" applyAlignment="1" applyProtection="1">
      <alignment horizontal="center" vertical="center" wrapText="1"/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2" fillId="2" borderId="3" xfId="0" applyFont="1" applyFill="1" applyBorder="1" applyAlignment="1" applyProtection="1">
      <alignment horizontal="center" vertical="center" wrapText="1"/>
      <protection locked="0"/>
    </xf>
    <xf numFmtId="0" fontId="32" fillId="2" borderId="14" xfId="0" applyFont="1" applyFill="1" applyBorder="1" applyAlignment="1" applyProtection="1">
      <alignment horizontal="center" vertical="center" wrapText="1"/>
      <protection locked="0"/>
    </xf>
    <xf numFmtId="0" fontId="33" fillId="2" borderId="1" xfId="0" applyFont="1" applyFill="1" applyBorder="1" applyAlignment="1" applyProtection="1">
      <alignment horizontal="center" vertical="center" wrapText="1"/>
      <protection locked="0"/>
    </xf>
    <xf numFmtId="0" fontId="33" fillId="2" borderId="3" xfId="0" applyFont="1" applyFill="1" applyBorder="1" applyAlignment="1" applyProtection="1">
      <alignment horizontal="center" vertical="center" wrapText="1"/>
      <protection locked="0"/>
    </xf>
    <xf numFmtId="0" fontId="33" fillId="2" borderId="14" xfId="0" applyFont="1" applyFill="1" applyBorder="1" applyAlignment="1" applyProtection="1">
      <alignment horizontal="center" vertical="center" wrapText="1"/>
      <protection locked="0"/>
    </xf>
    <xf numFmtId="0" fontId="33" fillId="2" borderId="8" xfId="0" applyFont="1" applyFill="1" applyBorder="1" applyAlignment="1" applyProtection="1">
      <alignment horizontal="center" vertical="center" wrapText="1"/>
    </xf>
    <xf numFmtId="0" fontId="33" fillId="2" borderId="2" xfId="0" applyFont="1" applyFill="1" applyBorder="1" applyAlignment="1" applyProtection="1">
      <alignment horizontal="center" vertical="center" wrapText="1"/>
    </xf>
    <xf numFmtId="0" fontId="33" fillId="2" borderId="8" xfId="0" applyFont="1" applyFill="1" applyBorder="1" applyAlignment="1" applyProtection="1">
      <alignment horizontal="center" vertical="center" wrapText="1"/>
      <protection locked="0"/>
    </xf>
    <xf numFmtId="0" fontId="33" fillId="2" borderId="2" xfId="0" applyFont="1" applyFill="1" applyBorder="1" applyAlignment="1" applyProtection="1">
      <alignment horizontal="center" vertical="center" wrapText="1"/>
      <protection locked="0"/>
    </xf>
    <xf numFmtId="0" fontId="31" fillId="2" borderId="3" xfId="0" applyFont="1" applyFill="1" applyBorder="1" applyAlignment="1" applyProtection="1">
      <alignment horizontal="center" vertical="center" wrapText="1"/>
      <protection locked="0"/>
    </xf>
    <xf numFmtId="0" fontId="31" fillId="2" borderId="7" xfId="0" applyFont="1" applyFill="1" applyBorder="1" applyAlignment="1" applyProtection="1">
      <alignment horizontal="center" vertical="center" wrapText="1"/>
      <protection locked="0"/>
    </xf>
    <xf numFmtId="0" fontId="31" fillId="2" borderId="14" xfId="0" applyFont="1" applyFill="1" applyBorder="1" applyAlignment="1" applyProtection="1">
      <alignment horizontal="center" vertical="center" wrapText="1"/>
      <protection locked="0"/>
    </xf>
    <xf numFmtId="9" fontId="31" fillId="2" borderId="1" xfId="2" applyFont="1" applyFill="1" applyBorder="1" applyAlignment="1" applyProtection="1">
      <alignment horizontal="center" vertical="center" wrapText="1"/>
      <protection locked="0"/>
    </xf>
    <xf numFmtId="49" fontId="33" fillId="2" borderId="1" xfId="0" applyNumberFormat="1" applyFont="1" applyFill="1" applyBorder="1" applyAlignment="1" applyProtection="1">
      <alignment horizontal="center" vertical="center" wrapText="1"/>
      <protection locked="0"/>
    </xf>
    <xf numFmtId="9" fontId="10" fillId="2" borderId="8" xfId="2" applyFont="1" applyFill="1" applyBorder="1" applyAlignment="1" applyProtection="1">
      <alignment horizontal="center" vertical="center" wrapText="1"/>
      <protection locked="0"/>
    </xf>
    <xf numFmtId="9" fontId="10" fillId="2" borderId="2" xfId="2" applyFont="1" applyFill="1" applyBorder="1" applyAlignment="1" applyProtection="1">
      <alignment horizontal="center" vertical="center" wrapText="1"/>
      <protection locked="0"/>
    </xf>
    <xf numFmtId="0" fontId="25" fillId="2" borderId="1" xfId="0" applyFont="1" applyFill="1" applyBorder="1" applyAlignment="1" applyProtection="1">
      <alignment horizontal="center" vertical="center" wrapText="1"/>
      <protection locked="0"/>
    </xf>
    <xf numFmtId="0" fontId="25" fillId="2" borderId="3" xfId="0" applyFont="1" applyFill="1" applyBorder="1" applyAlignment="1" applyProtection="1">
      <alignment horizontal="center" vertical="center" wrapText="1"/>
      <protection locked="0"/>
    </xf>
    <xf numFmtId="0" fontId="25" fillId="2" borderId="7" xfId="0" applyFont="1" applyFill="1" applyBorder="1" applyAlignment="1" applyProtection="1">
      <alignment horizontal="center" vertical="center" wrapText="1"/>
      <protection locked="0"/>
    </xf>
    <xf numFmtId="0" fontId="25" fillId="2" borderId="14" xfId="0" applyFont="1" applyFill="1" applyBorder="1" applyAlignment="1" applyProtection="1">
      <alignment horizontal="center" vertical="center" wrapText="1"/>
      <protection locked="0"/>
    </xf>
    <xf numFmtId="0" fontId="24" fillId="2" borderId="1" xfId="0" applyFont="1" applyFill="1" applyBorder="1" applyAlignment="1" applyProtection="1">
      <alignment horizontal="center" vertical="center" wrapText="1"/>
      <protection locked="0"/>
    </xf>
    <xf numFmtId="0" fontId="26" fillId="2" borderId="1" xfId="0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23" fillId="2" borderId="1" xfId="0" applyFont="1" applyFill="1" applyBorder="1" applyAlignment="1" applyProtection="1">
      <alignment horizontal="center" vertical="center" wrapText="1"/>
      <protection locked="0"/>
    </xf>
    <xf numFmtId="0" fontId="26" fillId="2" borderId="3" xfId="0" applyFont="1" applyFill="1" applyBorder="1" applyAlignment="1" applyProtection="1">
      <alignment horizontal="center" vertical="center" wrapText="1"/>
      <protection locked="0"/>
    </xf>
    <xf numFmtId="0" fontId="26" fillId="0" borderId="14" xfId="0" applyFont="1" applyBorder="1" applyAlignment="1" applyProtection="1">
      <alignment horizontal="center" vertical="center" wrapText="1"/>
      <protection locked="0"/>
    </xf>
    <xf numFmtId="0" fontId="23" fillId="2" borderId="3" xfId="0" applyFont="1" applyFill="1" applyBorder="1" applyAlignment="1" applyProtection="1">
      <alignment horizontal="center" vertical="center" wrapText="1"/>
      <protection locked="0"/>
    </xf>
    <xf numFmtId="0" fontId="23" fillId="2" borderId="14" xfId="0" applyFont="1" applyFill="1" applyBorder="1" applyAlignment="1" applyProtection="1">
      <alignment horizontal="center" vertical="center" wrapText="1"/>
      <protection locked="0"/>
    </xf>
    <xf numFmtId="0" fontId="24" fillId="2" borderId="3" xfId="0" applyFont="1" applyFill="1" applyBorder="1" applyAlignment="1" applyProtection="1">
      <alignment horizontal="center" vertical="center" wrapText="1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24" fillId="2" borderId="8" xfId="0" applyFont="1" applyFill="1" applyBorder="1" applyAlignment="1" applyProtection="1">
      <alignment horizontal="center" vertical="center" wrapText="1"/>
    </xf>
    <xf numFmtId="0" fontId="24" fillId="2" borderId="2" xfId="0" applyFont="1" applyFill="1" applyBorder="1" applyAlignment="1" applyProtection="1">
      <alignment horizontal="center" vertical="center" wrapText="1"/>
    </xf>
    <xf numFmtId="0" fontId="24" fillId="2" borderId="8" xfId="0" applyFont="1" applyFill="1" applyBorder="1" applyAlignment="1" applyProtection="1">
      <alignment horizontal="center" vertical="center" wrapText="1"/>
      <protection locked="0"/>
    </xf>
    <xf numFmtId="0" fontId="24" fillId="2" borderId="2" xfId="0" applyFont="1" applyFill="1" applyBorder="1" applyAlignment="1" applyProtection="1">
      <alignment horizontal="center" vertical="center" wrapText="1"/>
      <protection locked="0"/>
    </xf>
    <xf numFmtId="9" fontId="25" fillId="2" borderId="1" xfId="2" applyFont="1" applyFill="1" applyBorder="1" applyAlignment="1" applyProtection="1">
      <alignment horizontal="center" vertical="center" wrapText="1"/>
      <protection locked="0"/>
    </xf>
    <xf numFmtId="9" fontId="25" fillId="2" borderId="8" xfId="2" applyFont="1" applyFill="1" applyBorder="1" applyAlignment="1" applyProtection="1">
      <alignment horizontal="center" vertical="center" wrapText="1"/>
      <protection locked="0"/>
    </xf>
    <xf numFmtId="9" fontId="25" fillId="2" borderId="2" xfId="2" applyFont="1" applyFill="1" applyBorder="1" applyAlignment="1" applyProtection="1">
      <alignment horizontal="center" vertical="center" wrapText="1"/>
      <protection locked="0"/>
    </xf>
    <xf numFmtId="49" fontId="2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4" fillId="10" borderId="1" xfId="0" applyFont="1" applyFill="1" applyBorder="1" applyAlignment="1" applyProtection="1">
      <alignment horizontal="center" vertical="center" wrapText="1"/>
      <protection locked="0"/>
    </xf>
    <xf numFmtId="0" fontId="37" fillId="0" borderId="1" xfId="0" applyFont="1" applyFill="1" applyBorder="1" applyAlignment="1" applyProtection="1">
      <alignment horizontal="center" vertical="center" wrapText="1"/>
      <protection locked="0"/>
    </xf>
    <xf numFmtId="0" fontId="25" fillId="2" borderId="8" xfId="0" applyFont="1" applyFill="1" applyBorder="1" applyAlignment="1" applyProtection="1">
      <alignment horizontal="center" vertical="center" wrapText="1"/>
      <protection locked="0"/>
    </xf>
    <xf numFmtId="0" fontId="25" fillId="2" borderId="2" xfId="0" applyFont="1" applyFill="1" applyBorder="1" applyAlignment="1" applyProtection="1">
      <alignment horizontal="center" vertical="center" wrapText="1"/>
      <protection locked="0"/>
    </xf>
    <xf numFmtId="0" fontId="33" fillId="2" borderId="1" xfId="0" applyFont="1" applyFill="1" applyBorder="1" applyAlignment="1" applyProtection="1">
      <alignment horizontal="center" vertical="center"/>
      <protection locked="0"/>
    </xf>
    <xf numFmtId="0" fontId="40" fillId="2" borderId="1" xfId="0" applyFont="1" applyFill="1" applyBorder="1" applyAlignment="1" applyProtection="1">
      <alignment horizontal="center" vertical="center" wrapText="1"/>
      <protection locked="0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39" fillId="2" borderId="7" xfId="0" applyFont="1" applyFill="1" applyBorder="1" applyAlignment="1" applyProtection="1">
      <alignment horizontal="center" vertical="center" wrapText="1"/>
      <protection locked="0"/>
    </xf>
    <xf numFmtId="0" fontId="39" fillId="2" borderId="1" xfId="0" applyFont="1" applyFill="1" applyBorder="1" applyAlignment="1" applyProtection="1">
      <alignment horizontal="center" vertical="center" wrapText="1"/>
      <protection locked="0"/>
    </xf>
    <xf numFmtId="0" fontId="54" fillId="2" borderId="1" xfId="0" applyFont="1" applyFill="1" applyBorder="1" applyAlignment="1" applyProtection="1">
      <alignment horizontal="center" vertical="center" wrapText="1"/>
      <protection locked="0"/>
    </xf>
    <xf numFmtId="0" fontId="39" fillId="2" borderId="8" xfId="0" applyFont="1" applyFill="1" applyBorder="1" applyAlignment="1" applyProtection="1">
      <alignment horizontal="center" vertical="center" wrapText="1"/>
    </xf>
    <xf numFmtId="0" fontId="39" fillId="2" borderId="2" xfId="0" applyFont="1" applyFill="1" applyBorder="1" applyAlignment="1" applyProtection="1">
      <alignment horizontal="center" vertical="center" wrapText="1"/>
    </xf>
    <xf numFmtId="0" fontId="54" fillId="2" borderId="1" xfId="0" applyFont="1" applyFill="1" applyBorder="1" applyAlignment="1" applyProtection="1">
      <alignment horizontal="center" vertical="center" wrapText="1"/>
    </xf>
    <xf numFmtId="0" fontId="45" fillId="2" borderId="3" xfId="0" applyFont="1" applyFill="1" applyBorder="1" applyAlignment="1" applyProtection="1">
      <alignment horizontal="center" vertical="center" wrapText="1"/>
      <protection locked="0"/>
    </xf>
    <xf numFmtId="0" fontId="45" fillId="0" borderId="14" xfId="0" applyFont="1" applyBorder="1" applyAlignment="1" applyProtection="1">
      <alignment horizontal="center" vertical="center" wrapText="1"/>
      <protection locked="0"/>
    </xf>
    <xf numFmtId="0" fontId="39" fillId="2" borderId="14" xfId="0" applyFont="1" applyFill="1" applyBorder="1" applyAlignment="1" applyProtection="1">
      <alignment horizontal="center" vertical="center" wrapText="1"/>
      <protection locked="0"/>
    </xf>
    <xf numFmtId="9" fontId="40" fillId="2" borderId="1" xfId="2" applyFont="1" applyFill="1" applyBorder="1" applyAlignment="1" applyProtection="1">
      <alignment horizontal="center" vertical="center" wrapText="1"/>
      <protection locked="0"/>
    </xf>
    <xf numFmtId="0" fontId="33" fillId="2" borderId="3" xfId="0" applyFont="1" applyFill="1" applyBorder="1" applyAlignment="1" applyProtection="1">
      <alignment horizontal="center" vertical="center"/>
      <protection locked="0"/>
    </xf>
    <xf numFmtId="0" fontId="33" fillId="2" borderId="7" xfId="0" applyFont="1" applyFill="1" applyBorder="1" applyAlignment="1" applyProtection="1">
      <alignment horizontal="center" vertical="center"/>
      <protection locked="0"/>
    </xf>
    <xf numFmtId="0" fontId="33" fillId="2" borderId="14" xfId="0" applyFont="1" applyFill="1" applyBorder="1" applyAlignment="1" applyProtection="1">
      <alignment horizontal="center" vertical="center"/>
      <protection locked="0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0" fontId="54" fillId="2" borderId="15" xfId="0" applyFont="1" applyFill="1" applyBorder="1" applyAlignment="1" applyProtection="1">
      <alignment horizontal="center" vertical="center" wrapText="1"/>
      <protection locked="0"/>
    </xf>
    <xf numFmtId="0" fontId="53" fillId="2" borderId="19" xfId="0" applyFont="1" applyFill="1" applyBorder="1" applyAlignment="1" applyProtection="1">
      <alignment horizontal="center" vertical="center" wrapText="1"/>
      <protection locked="0"/>
    </xf>
    <xf numFmtId="0" fontId="39" fillId="10" borderId="1" xfId="0" applyFont="1" applyFill="1" applyBorder="1" applyAlignment="1" applyProtection="1">
      <alignment horizontal="center" vertical="center" wrapText="1"/>
      <protection locked="0"/>
    </xf>
    <xf numFmtId="49" fontId="39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4" fillId="4" borderId="1" xfId="0" applyFont="1" applyFill="1" applyBorder="1" applyAlignment="1" applyProtection="1">
      <alignment horizontal="center" vertical="center"/>
      <protection locked="0"/>
    </xf>
    <xf numFmtId="9" fontId="31" fillId="2" borderId="8" xfId="2" applyFont="1" applyFill="1" applyBorder="1" applyAlignment="1" applyProtection="1">
      <alignment horizontal="center" vertical="center" wrapText="1"/>
      <protection locked="0"/>
    </xf>
    <xf numFmtId="9" fontId="31" fillId="2" borderId="2" xfId="2" applyFont="1" applyFill="1" applyBorder="1" applyAlignment="1" applyProtection="1">
      <alignment horizontal="center" vertical="center" wrapText="1"/>
      <protection locked="0"/>
    </xf>
    <xf numFmtId="9" fontId="40" fillId="2" borderId="8" xfId="2" applyFont="1" applyFill="1" applyBorder="1" applyAlignment="1" applyProtection="1">
      <alignment horizontal="center" vertical="center" wrapText="1"/>
      <protection locked="0"/>
    </xf>
    <xf numFmtId="9" fontId="40" fillId="2" borderId="2" xfId="2" applyFont="1" applyFill="1" applyBorder="1" applyAlignment="1" applyProtection="1">
      <alignment horizontal="center" vertical="center" wrapText="1"/>
      <protection locked="0"/>
    </xf>
    <xf numFmtId="0" fontId="5" fillId="2" borderId="24" xfId="0" applyFont="1" applyFill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30" fillId="2" borderId="3" xfId="0" applyFont="1" applyFill="1" applyBorder="1" applyAlignment="1" applyProtection="1">
      <alignment horizontal="center" vertical="center"/>
      <protection locked="0"/>
    </xf>
    <xf numFmtId="0" fontId="30" fillId="0" borderId="14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6" fillId="2" borderId="13" xfId="0" applyFont="1" applyFill="1" applyBorder="1" applyAlignment="1" applyProtection="1">
      <alignment horizontal="center" vertical="center" wrapText="1"/>
      <protection locked="0"/>
    </xf>
    <xf numFmtId="0" fontId="32" fillId="2" borderId="3" xfId="0" applyFont="1" applyFill="1" applyBorder="1" applyAlignment="1" applyProtection="1">
      <alignment horizontal="center" vertical="center"/>
      <protection locked="0"/>
    </xf>
    <xf numFmtId="0" fontId="32" fillId="2" borderId="14" xfId="0" applyFont="1" applyFill="1" applyBorder="1" applyAlignment="1" applyProtection="1">
      <alignment horizontal="center" vertical="center"/>
      <protection locked="0"/>
    </xf>
    <xf numFmtId="0" fontId="31" fillId="2" borderId="1" xfId="0" applyFont="1" applyFill="1" applyBorder="1" applyAlignment="1" applyProtection="1">
      <alignment horizontal="center" vertical="center"/>
      <protection locked="0"/>
    </xf>
    <xf numFmtId="9" fontId="54" fillId="2" borderId="1" xfId="2" applyFont="1" applyFill="1" applyBorder="1" applyAlignment="1" applyProtection="1">
      <alignment horizontal="center" vertical="center" wrapText="1"/>
      <protection locked="0"/>
    </xf>
    <xf numFmtId="49" fontId="5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4" fillId="2" borderId="6" xfId="0" applyFont="1" applyFill="1" applyBorder="1" applyAlignment="1" applyProtection="1">
      <alignment horizontal="center" vertical="center" wrapText="1"/>
      <protection locked="0"/>
    </xf>
    <xf numFmtId="0" fontId="53" fillId="0" borderId="21" xfId="0" applyFont="1" applyFill="1" applyBorder="1" applyAlignment="1" applyProtection="1">
      <alignment horizontal="center" vertical="center" wrapText="1"/>
      <protection locked="0"/>
    </xf>
    <xf numFmtId="0" fontId="53" fillId="0" borderId="19" xfId="0" applyFont="1" applyFill="1" applyBorder="1" applyAlignment="1" applyProtection="1">
      <alignment horizontal="center" vertical="center" wrapText="1"/>
      <protection locked="0"/>
    </xf>
    <xf numFmtId="49" fontId="33" fillId="2" borderId="1" xfId="0" applyNumberFormat="1" applyFont="1" applyFill="1" applyBorder="1" applyAlignment="1" applyProtection="1">
      <alignment horizontal="center" vertical="center"/>
      <protection locked="0"/>
    </xf>
    <xf numFmtId="0" fontId="43" fillId="2" borderId="1" xfId="0" applyFont="1" applyFill="1" applyBorder="1" applyAlignment="1" applyProtection="1">
      <alignment horizontal="center" vertical="center" wrapText="1"/>
      <protection locked="0"/>
    </xf>
    <xf numFmtId="0" fontId="43" fillId="4" borderId="1" xfId="0" applyFont="1" applyFill="1" applyBorder="1" applyAlignment="1" applyProtection="1">
      <alignment horizontal="center" vertical="center" wrapText="1"/>
      <protection locked="0"/>
    </xf>
    <xf numFmtId="0" fontId="40" fillId="2" borderId="24" xfId="0" applyFont="1" applyFill="1" applyBorder="1" applyAlignment="1" applyProtection="1">
      <alignment horizontal="center" vertical="center" wrapText="1"/>
      <protection locked="0"/>
    </xf>
    <xf numFmtId="0" fontId="40" fillId="2" borderId="22" xfId="0" applyFont="1" applyFill="1" applyBorder="1" applyAlignment="1" applyProtection="1">
      <alignment horizontal="center" vertical="center" wrapText="1"/>
      <protection locked="0"/>
    </xf>
    <xf numFmtId="0" fontId="40" fillId="2" borderId="5" xfId="0" applyFont="1" applyFill="1" applyBorder="1" applyAlignment="1" applyProtection="1">
      <alignment horizontal="center" vertical="center" wrapText="1"/>
      <protection locked="0"/>
    </xf>
    <xf numFmtId="0" fontId="40" fillId="2" borderId="11" xfId="0" applyFont="1" applyFill="1" applyBorder="1" applyAlignment="1" applyProtection="1">
      <alignment horizontal="center" vertical="center" wrapText="1"/>
      <protection locked="0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38" fillId="2" borderId="14" xfId="0" applyFont="1" applyFill="1" applyBorder="1" applyAlignment="1" applyProtection="1">
      <alignment horizontal="center" vertical="center" wrapText="1"/>
      <protection locked="0"/>
    </xf>
    <xf numFmtId="0" fontId="32" fillId="0" borderId="3" xfId="0" applyFont="1" applyFill="1" applyBorder="1" applyAlignment="1" applyProtection="1">
      <alignment horizontal="center" vertical="center"/>
      <protection locked="0"/>
    </xf>
    <xf numFmtId="0" fontId="32" fillId="0" borderId="14" xfId="0" applyFont="1" applyFill="1" applyBorder="1" applyAlignment="1" applyProtection="1">
      <alignment horizontal="center" vertical="center"/>
      <protection locked="0"/>
    </xf>
    <xf numFmtId="0" fontId="39" fillId="2" borderId="24" xfId="0" applyFont="1" applyFill="1" applyBorder="1" applyAlignment="1" applyProtection="1">
      <alignment horizontal="center" vertical="center" wrapText="1"/>
      <protection locked="0"/>
    </xf>
    <xf numFmtId="0" fontId="39" fillId="2" borderId="22" xfId="0" applyFont="1" applyFill="1" applyBorder="1" applyAlignment="1" applyProtection="1">
      <alignment horizontal="center" vertical="center" wrapText="1"/>
      <protection locked="0"/>
    </xf>
    <xf numFmtId="0" fontId="40" fillId="2" borderId="3" xfId="0" applyFont="1" applyFill="1" applyBorder="1" applyAlignment="1" applyProtection="1">
      <alignment horizontal="center" vertical="center" wrapText="1"/>
      <protection locked="0"/>
    </xf>
    <xf numFmtId="0" fontId="40" fillId="2" borderId="7" xfId="0" applyFont="1" applyFill="1" applyBorder="1" applyAlignment="1" applyProtection="1">
      <alignment horizontal="center" vertical="center" wrapText="1"/>
      <protection locked="0"/>
    </xf>
    <xf numFmtId="0" fontId="40" fillId="2" borderId="14" xfId="0" applyFont="1" applyFill="1" applyBorder="1" applyAlignment="1" applyProtection="1">
      <alignment horizontal="center" vertical="center" wrapText="1"/>
      <protection locked="0"/>
    </xf>
    <xf numFmtId="0" fontId="38" fillId="0" borderId="3" xfId="0" applyFont="1" applyFill="1" applyBorder="1" applyAlignment="1" applyProtection="1">
      <alignment horizontal="center" vertical="center" wrapText="1"/>
      <protection locked="0"/>
    </xf>
    <xf numFmtId="0" fontId="38" fillId="0" borderId="14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54" fillId="2" borderId="19" xfId="0" applyFont="1" applyFill="1" applyBorder="1" applyAlignment="1" applyProtection="1">
      <alignment horizontal="center" vertical="center" wrapText="1"/>
      <protection locked="0"/>
    </xf>
    <xf numFmtId="0" fontId="31" fillId="2" borderId="3" xfId="0" applyFont="1" applyFill="1" applyBorder="1" applyAlignment="1" applyProtection="1">
      <alignment horizontal="center" vertical="center"/>
      <protection locked="0"/>
    </xf>
    <xf numFmtId="0" fontId="31" fillId="2" borderId="7" xfId="0" applyFont="1" applyFill="1" applyBorder="1" applyAlignment="1" applyProtection="1">
      <alignment horizontal="center" vertical="center"/>
      <protection locked="0"/>
    </xf>
    <xf numFmtId="0" fontId="31" fillId="2" borderId="14" xfId="0" applyFont="1" applyFill="1" applyBorder="1" applyAlignment="1" applyProtection="1">
      <alignment horizontal="center" vertical="center"/>
      <protection locked="0"/>
    </xf>
    <xf numFmtId="0" fontId="39" fillId="2" borderId="8" xfId="0" applyFont="1" applyFill="1" applyBorder="1" applyAlignment="1" applyProtection="1">
      <alignment horizontal="center" vertical="center" wrapText="1"/>
      <protection locked="0"/>
    </xf>
    <xf numFmtId="0" fontId="39" fillId="2" borderId="2" xfId="0" applyFont="1" applyFill="1" applyBorder="1" applyAlignment="1" applyProtection="1">
      <alignment horizontal="center" vertical="center" wrapText="1"/>
      <protection locked="0"/>
    </xf>
    <xf numFmtId="0" fontId="35" fillId="15" borderId="0" xfId="0" applyFont="1" applyFill="1" applyBorder="1" applyAlignment="1" applyProtection="1">
      <alignment horizontal="center" vertical="center" wrapText="1"/>
      <protection locked="0"/>
    </xf>
    <xf numFmtId="0" fontId="36" fillId="15" borderId="0" xfId="0" applyFont="1" applyFill="1" applyBorder="1" applyAlignment="1" applyProtection="1">
      <alignment horizontal="center" vertical="center" wrapText="1"/>
      <protection locked="0"/>
    </xf>
    <xf numFmtId="0" fontId="37" fillId="15" borderId="0" xfId="0" applyFont="1" applyFill="1" applyBorder="1" applyAlignment="1" applyProtection="1">
      <alignment horizontal="center" vertical="center" wrapText="1"/>
      <protection locked="0"/>
    </xf>
    <xf numFmtId="0" fontId="29" fillId="15" borderId="0" xfId="0" applyFont="1" applyFill="1" applyBorder="1" applyAlignment="1" applyProtection="1">
      <alignment horizontal="center" vertical="center" wrapText="1"/>
      <protection locked="0"/>
    </xf>
    <xf numFmtId="0" fontId="36" fillId="15" borderId="0" xfId="0" applyFont="1" applyFill="1" applyBorder="1"/>
    <xf numFmtId="0" fontId="35" fillId="15" borderId="0" xfId="0" applyFont="1" applyFill="1" applyBorder="1" applyAlignment="1" applyProtection="1">
      <alignment horizontal="center" vertical="center" wrapText="1"/>
      <protection locked="0"/>
    </xf>
    <xf numFmtId="0" fontId="37" fillId="15" borderId="0" xfId="0" applyFont="1" applyFill="1" applyBorder="1" applyAlignment="1" applyProtection="1">
      <alignment horizontal="center" vertical="center" wrapText="1"/>
      <protection locked="0"/>
    </xf>
    <xf numFmtId="0" fontId="36" fillId="15" borderId="0" xfId="0" applyFont="1" applyFill="1" applyBorder="1" applyAlignment="1" applyProtection="1">
      <alignment horizontal="center" vertical="center" wrapText="1"/>
      <protection locked="0"/>
    </xf>
    <xf numFmtId="0" fontId="29" fillId="15" borderId="0" xfId="0" applyFont="1" applyFill="1" applyBorder="1" applyAlignment="1" applyProtection="1">
      <alignment horizontal="center" vertical="center" wrapText="1"/>
      <protection locked="0"/>
    </xf>
    <xf numFmtId="0" fontId="29" fillId="15" borderId="0" xfId="0" applyFont="1" applyFill="1" applyBorder="1" applyAlignment="1" applyProtection="1">
      <alignment horizontal="center" vertical="center" wrapText="1"/>
    </xf>
    <xf numFmtId="9" fontId="36" fillId="15" borderId="0" xfId="2" applyFont="1" applyFill="1" applyBorder="1" applyAlignment="1" applyProtection="1">
      <alignment horizontal="center" vertical="center" wrapText="1"/>
      <protection locked="0"/>
    </xf>
    <xf numFmtId="49" fontId="29" fillId="15" borderId="0" xfId="0" applyNumberFormat="1" applyFont="1" applyFill="1" applyBorder="1" applyAlignment="1" applyProtection="1">
      <alignment horizontal="center" vertical="center" wrapText="1"/>
      <protection locked="0"/>
    </xf>
    <xf numFmtId="0" fontId="29" fillId="15" borderId="0" xfId="0" applyFont="1" applyFill="1" applyBorder="1" applyAlignment="1" applyProtection="1">
      <alignment horizontal="center" vertical="center" wrapText="1"/>
    </xf>
    <xf numFmtId="0" fontId="29" fillId="15" borderId="0" xfId="0" applyNumberFormat="1" applyFont="1" applyFill="1" applyBorder="1" applyAlignment="1" applyProtection="1">
      <alignment horizontal="center" vertical="center" wrapText="1"/>
    </xf>
    <xf numFmtId="3" fontId="29" fillId="15" borderId="0" xfId="0" applyNumberFormat="1" applyFont="1" applyFill="1" applyBorder="1" applyAlignment="1" applyProtection="1">
      <alignment horizontal="center" vertical="center" wrapText="1"/>
      <protection locked="0"/>
    </xf>
    <xf numFmtId="0" fontId="28" fillId="15" borderId="0" xfId="0" applyFont="1" applyFill="1" applyBorder="1" applyAlignment="1" applyProtection="1">
      <alignment horizontal="center" vertical="center" wrapText="1"/>
      <protection locked="0"/>
    </xf>
    <xf numFmtId="9" fontId="28" fillId="15" borderId="0" xfId="2" applyFont="1" applyFill="1" applyBorder="1" applyAlignment="1" applyProtection="1">
      <alignment horizontal="center" vertical="center" wrapText="1"/>
      <protection locked="0"/>
    </xf>
    <xf numFmtId="9" fontId="28" fillId="15" borderId="0" xfId="2" applyFont="1" applyFill="1" applyBorder="1" applyAlignment="1" applyProtection="1">
      <alignment horizontal="center" vertical="center" wrapText="1"/>
    </xf>
    <xf numFmtId="3" fontId="28" fillId="15" borderId="0" xfId="2" applyNumberFormat="1" applyFont="1" applyFill="1" applyBorder="1" applyAlignment="1" applyProtection="1">
      <alignment horizontal="center" vertical="center" wrapText="1"/>
    </xf>
    <xf numFmtId="1" fontId="28" fillId="15" borderId="0" xfId="2" applyNumberFormat="1" applyFont="1" applyFill="1" applyBorder="1" applyAlignment="1" applyProtection="1">
      <alignment horizontal="center" vertical="center" wrapText="1"/>
    </xf>
    <xf numFmtId="3" fontId="29" fillId="15" borderId="0" xfId="0" applyNumberFormat="1" applyFont="1" applyFill="1" applyBorder="1" applyAlignment="1" applyProtection="1">
      <alignment horizontal="center" vertical="center" wrapText="1"/>
    </xf>
    <xf numFmtId="9" fontId="29" fillId="15" borderId="0" xfId="2" applyFont="1" applyFill="1" applyBorder="1" applyAlignment="1" applyProtection="1">
      <alignment horizontal="center" vertical="center" wrapText="1"/>
    </xf>
    <xf numFmtId="0" fontId="21" fillId="15" borderId="0" xfId="0" applyFont="1" applyFill="1" applyBorder="1" applyAlignment="1" applyProtection="1">
      <alignment horizontal="center" vertical="center" wrapText="1"/>
      <protection locked="0"/>
    </xf>
    <xf numFmtId="0" fontId="21" fillId="15" borderId="0" xfId="0" applyFont="1" applyFill="1" applyBorder="1" applyAlignment="1" applyProtection="1">
      <alignment horizontal="center" vertical="center" wrapText="1"/>
      <protection locked="0"/>
    </xf>
    <xf numFmtId="0" fontId="10" fillId="15" borderId="0" xfId="0" applyFont="1" applyFill="1" applyBorder="1" applyAlignment="1" applyProtection="1">
      <alignment horizontal="center" vertical="center" wrapText="1"/>
      <protection locked="0"/>
    </xf>
    <xf numFmtId="0" fontId="20" fillId="15" borderId="0" xfId="0" applyFont="1" applyFill="1" applyBorder="1" applyAlignment="1" applyProtection="1">
      <alignment horizontal="center" vertical="center" wrapText="1"/>
      <protection locked="0"/>
    </xf>
    <xf numFmtId="0" fontId="20" fillId="15" borderId="0" xfId="0" applyFont="1" applyFill="1" applyBorder="1" applyAlignment="1" applyProtection="1">
      <alignment horizontal="center" vertical="center" wrapText="1"/>
      <protection locked="0"/>
    </xf>
    <xf numFmtId="0" fontId="18" fillId="15" borderId="0" xfId="0" applyFont="1" applyFill="1" applyBorder="1" applyAlignment="1" applyProtection="1">
      <alignment horizontal="center" vertical="center" wrapText="1"/>
      <protection locked="0"/>
    </xf>
    <xf numFmtId="0" fontId="10" fillId="15" borderId="0" xfId="0" applyFont="1" applyFill="1" applyBorder="1" applyAlignment="1" applyProtection="1">
      <alignment horizontal="center" vertical="center" wrapText="1"/>
      <protection locked="0"/>
    </xf>
    <xf numFmtId="0" fontId="18" fillId="15" borderId="0" xfId="0" applyFont="1" applyFill="1" applyBorder="1" applyAlignment="1" applyProtection="1">
      <alignment horizontal="center" vertical="center" wrapText="1"/>
      <protection locked="0"/>
    </xf>
    <xf numFmtId="0" fontId="18" fillId="15" borderId="0" xfId="0" applyFont="1" applyFill="1" applyBorder="1" applyAlignment="1" applyProtection="1">
      <alignment horizontal="center" vertical="center" wrapText="1"/>
    </xf>
    <xf numFmtId="9" fontId="10" fillId="15" borderId="0" xfId="2" applyFont="1" applyFill="1" applyBorder="1" applyAlignment="1" applyProtection="1">
      <alignment horizontal="center" vertical="center" wrapText="1"/>
      <protection locked="0"/>
    </xf>
    <xf numFmtId="9" fontId="10" fillId="15" borderId="0" xfId="2" applyFont="1" applyFill="1" applyBorder="1" applyAlignment="1" applyProtection="1">
      <alignment horizontal="center" vertical="center" wrapText="1"/>
      <protection locked="0"/>
    </xf>
    <xf numFmtId="49" fontId="18" fillId="15" borderId="0" xfId="0" applyNumberFormat="1" applyFont="1" applyFill="1" applyBorder="1" applyAlignment="1" applyProtection="1">
      <alignment horizontal="center" vertical="center" wrapText="1"/>
      <protection locked="0"/>
    </xf>
    <xf numFmtId="0" fontId="22" fillId="15" borderId="0" xfId="0" applyFont="1" applyFill="1" applyBorder="1" applyAlignment="1" applyProtection="1">
      <alignment horizontal="center" vertical="center" wrapText="1"/>
    </xf>
    <xf numFmtId="0" fontId="18" fillId="15" borderId="0" xfId="0" applyFont="1" applyFill="1" applyBorder="1" applyAlignment="1" applyProtection="1">
      <alignment horizontal="center" vertical="center" wrapText="1"/>
    </xf>
    <xf numFmtId="0" fontId="18" fillId="15" borderId="0" xfId="0" applyNumberFormat="1" applyFont="1" applyFill="1" applyBorder="1" applyAlignment="1" applyProtection="1">
      <alignment horizontal="center" vertical="center" wrapText="1"/>
    </xf>
    <xf numFmtId="3" fontId="18" fillId="15" borderId="0" xfId="0" applyNumberFormat="1" applyFont="1" applyFill="1" applyBorder="1" applyAlignment="1" applyProtection="1">
      <alignment horizontal="center" vertical="center" wrapText="1"/>
    </xf>
    <xf numFmtId="0" fontId="22" fillId="15" borderId="0" xfId="0" applyFont="1" applyFill="1" applyBorder="1" applyAlignment="1" applyProtection="1">
      <alignment horizontal="center" vertical="center" wrapText="1"/>
      <protection locked="0"/>
    </xf>
    <xf numFmtId="9" fontId="22" fillId="15" borderId="0" xfId="2" applyFont="1" applyFill="1" applyBorder="1" applyAlignment="1" applyProtection="1">
      <alignment horizontal="center" vertical="center" wrapText="1"/>
    </xf>
    <xf numFmtId="3" fontId="22" fillId="15" borderId="0" xfId="2" applyNumberFormat="1" applyFont="1" applyFill="1" applyBorder="1" applyAlignment="1" applyProtection="1">
      <alignment horizontal="center" vertical="center" wrapText="1"/>
    </xf>
    <xf numFmtId="1" fontId="22" fillId="15" borderId="0" xfId="2" applyNumberFormat="1" applyFont="1" applyFill="1" applyBorder="1" applyAlignment="1" applyProtection="1">
      <alignment horizontal="center" vertical="center" wrapText="1"/>
    </xf>
    <xf numFmtId="0" fontId="27" fillId="15" borderId="0" xfId="0" applyFont="1" applyFill="1" applyBorder="1" applyAlignment="1" applyProtection="1">
      <alignment horizontal="center" vertical="center" wrapText="1"/>
      <protection locked="0"/>
    </xf>
    <xf numFmtId="9" fontId="27" fillId="15" borderId="0" xfId="2" applyFont="1" applyFill="1" applyBorder="1" applyAlignment="1" applyProtection="1">
      <alignment horizontal="center" vertical="center" wrapText="1"/>
    </xf>
    <xf numFmtId="3" fontId="27" fillId="15" borderId="0" xfId="2" applyNumberFormat="1" applyFont="1" applyFill="1" applyBorder="1" applyAlignment="1" applyProtection="1">
      <alignment horizontal="center" vertical="center" wrapText="1"/>
    </xf>
    <xf numFmtId="1" fontId="27" fillId="15" borderId="0" xfId="2" applyNumberFormat="1" applyFont="1" applyFill="1" applyBorder="1" applyAlignment="1" applyProtection="1">
      <alignment horizontal="center" vertical="center" wrapText="1"/>
    </xf>
    <xf numFmtId="0" fontId="26" fillId="15" borderId="0" xfId="0" applyFont="1" applyFill="1" applyBorder="1" applyAlignment="1" applyProtection="1">
      <alignment horizontal="center" vertical="center" wrapText="1"/>
      <protection locked="0"/>
    </xf>
    <xf numFmtId="0" fontId="26" fillId="15" borderId="0" xfId="0" applyFont="1" applyFill="1" applyBorder="1" applyAlignment="1" applyProtection="1">
      <alignment horizontal="center" vertical="center" wrapText="1"/>
      <protection locked="0"/>
    </xf>
    <xf numFmtId="0" fontId="25" fillId="15" borderId="0" xfId="0" applyFont="1" applyFill="1" applyBorder="1" applyAlignment="1" applyProtection="1">
      <alignment horizontal="center" vertical="center" wrapText="1"/>
      <protection locked="0"/>
    </xf>
    <xf numFmtId="0" fontId="23" fillId="15" borderId="0" xfId="0" applyFont="1" applyFill="1" applyBorder="1" applyAlignment="1" applyProtection="1">
      <alignment horizontal="center" vertical="center" wrapText="1"/>
      <protection locked="0"/>
    </xf>
    <xf numFmtId="0" fontId="23" fillId="15" borderId="0" xfId="0" applyFont="1" applyFill="1" applyBorder="1" applyAlignment="1" applyProtection="1">
      <alignment horizontal="center" vertical="center" wrapText="1"/>
      <protection locked="0"/>
    </xf>
    <xf numFmtId="0" fontId="24" fillId="15" borderId="0" xfId="0" applyFont="1" applyFill="1" applyBorder="1" applyAlignment="1" applyProtection="1">
      <alignment horizontal="center" vertical="center" wrapText="1"/>
      <protection locked="0"/>
    </xf>
    <xf numFmtId="0" fontId="25" fillId="15" borderId="0" xfId="0" applyFont="1" applyFill="1" applyBorder="1" applyAlignment="1" applyProtection="1">
      <alignment horizontal="center" vertical="center" wrapText="1"/>
      <protection locked="0"/>
    </xf>
    <xf numFmtId="0" fontId="24" fillId="15" borderId="0" xfId="0" applyFont="1" applyFill="1" applyBorder="1" applyAlignment="1" applyProtection="1">
      <alignment horizontal="center" vertical="center" wrapText="1"/>
      <protection locked="0"/>
    </xf>
    <xf numFmtId="0" fontId="24" fillId="15" borderId="0" xfId="0" applyFont="1" applyFill="1" applyBorder="1" applyAlignment="1" applyProtection="1">
      <alignment horizontal="center" vertical="center" wrapText="1"/>
    </xf>
    <xf numFmtId="9" fontId="25" fillId="15" borderId="0" xfId="2" applyFont="1" applyFill="1" applyBorder="1" applyAlignment="1" applyProtection="1">
      <alignment horizontal="center" vertical="center" wrapText="1"/>
      <protection locked="0"/>
    </xf>
    <xf numFmtId="9" fontId="25" fillId="15" borderId="0" xfId="2" applyFont="1" applyFill="1" applyBorder="1" applyAlignment="1" applyProtection="1">
      <alignment horizontal="center" vertical="center" wrapText="1"/>
      <protection locked="0"/>
    </xf>
    <xf numFmtId="49" fontId="24" fillId="15" borderId="0" xfId="0" applyNumberFormat="1" applyFont="1" applyFill="1" applyBorder="1" applyAlignment="1" applyProtection="1">
      <alignment horizontal="center" vertical="center" wrapText="1"/>
      <protection locked="0"/>
    </xf>
    <xf numFmtId="0" fontId="27" fillId="15" borderId="0" xfId="0" applyFont="1" applyFill="1" applyBorder="1" applyAlignment="1" applyProtection="1">
      <alignment horizontal="center" vertical="center" wrapText="1"/>
    </xf>
    <xf numFmtId="164" fontId="24" fillId="15" borderId="0" xfId="1" applyFont="1" applyFill="1" applyBorder="1" applyAlignment="1" applyProtection="1">
      <alignment horizontal="center" vertical="center" wrapText="1"/>
    </xf>
    <xf numFmtId="0" fontId="24" fillId="15" borderId="0" xfId="1" applyNumberFormat="1" applyFont="1" applyFill="1" applyBorder="1" applyAlignment="1" applyProtection="1">
      <alignment horizontal="center" vertical="center" wrapText="1"/>
    </xf>
    <xf numFmtId="3" fontId="24" fillId="15" borderId="0" xfId="0" applyNumberFormat="1" applyFont="1" applyFill="1" applyBorder="1" applyAlignment="1" applyProtection="1">
      <alignment horizontal="center" vertical="center" wrapText="1"/>
      <protection locked="0"/>
    </xf>
    <xf numFmtId="0" fontId="27" fillId="15" borderId="0" xfId="2" applyNumberFormat="1" applyFont="1" applyFill="1" applyBorder="1" applyAlignment="1" applyProtection="1">
      <alignment horizontal="center" vertical="center" wrapText="1"/>
    </xf>
    <xf numFmtId="3" fontId="24" fillId="15" borderId="0" xfId="1" applyNumberFormat="1" applyFont="1" applyFill="1" applyBorder="1" applyAlignment="1" applyProtection="1">
      <alignment horizontal="center" vertical="center" wrapText="1"/>
    </xf>
    <xf numFmtId="0" fontId="24" fillId="15" borderId="0" xfId="0" applyNumberFormat="1" applyFont="1" applyFill="1" applyBorder="1" applyAlignment="1" applyProtection="1">
      <alignment horizontal="center" vertical="center" wrapText="1"/>
    </xf>
    <xf numFmtId="3" fontId="24" fillId="15" borderId="0" xfId="0" applyNumberFormat="1" applyFont="1" applyFill="1" applyBorder="1" applyAlignment="1" applyProtection="1">
      <alignment horizontal="center" vertical="center" wrapText="1"/>
    </xf>
    <xf numFmtId="0" fontId="24" fillId="15" borderId="0" xfId="0" applyFont="1" applyFill="1" applyBorder="1" applyAlignment="1" applyProtection="1">
      <alignment horizontal="center" vertical="center" wrapText="1"/>
    </xf>
    <xf numFmtId="0" fontId="25" fillId="15" borderId="0" xfId="0" applyFont="1" applyFill="1" applyBorder="1" applyAlignment="1">
      <alignment horizontal="center" vertical="center" wrapText="1"/>
    </xf>
    <xf numFmtId="0" fontId="45" fillId="15" borderId="0" xfId="0" applyFont="1" applyFill="1" applyBorder="1" applyAlignment="1" applyProtection="1">
      <alignment horizontal="center" vertical="center" wrapText="1"/>
      <protection locked="0"/>
    </xf>
    <xf numFmtId="0" fontId="0" fillId="15" borderId="0" xfId="0" applyFill="1" applyBorder="1" applyAlignment="1" applyProtection="1">
      <alignment horizontal="center" vertical="center"/>
      <protection locked="0"/>
    </xf>
    <xf numFmtId="0" fontId="39" fillId="15" borderId="0" xfId="0" applyFont="1" applyFill="1" applyBorder="1" applyAlignment="1" applyProtection="1">
      <alignment horizontal="center" vertical="center" wrapText="1"/>
      <protection locked="0"/>
    </xf>
    <xf numFmtId="0" fontId="40" fillId="15" borderId="0" xfId="0" applyFont="1" applyFill="1" applyBorder="1" applyAlignment="1" applyProtection="1">
      <alignment horizontal="center" vertical="center" wrapText="1"/>
      <protection locked="0"/>
    </xf>
    <xf numFmtId="0" fontId="47" fillId="15" borderId="0" xfId="0" applyFont="1" applyFill="1" applyBorder="1" applyAlignment="1" applyProtection="1">
      <alignment horizontal="center" vertical="center" wrapText="1"/>
      <protection locked="0"/>
    </xf>
    <xf numFmtId="0" fontId="12" fillId="15" borderId="0" xfId="0" applyFont="1" applyFill="1" applyBorder="1" applyAlignment="1" applyProtection="1">
      <alignment horizontal="center" vertical="center"/>
      <protection locked="0"/>
    </xf>
    <xf numFmtId="0" fontId="11" fillId="15" borderId="0" xfId="0" applyFont="1" applyFill="1" applyBorder="1" applyAlignment="1" applyProtection="1">
      <alignment horizontal="center" vertical="center"/>
      <protection locked="0"/>
    </xf>
    <xf numFmtId="0" fontId="3" fillId="15" borderId="0" xfId="0" applyFont="1" applyFill="1" applyBorder="1" applyAlignment="1" applyProtection="1">
      <alignment horizontal="center" vertical="center"/>
      <protection locked="0"/>
    </xf>
    <xf numFmtId="0" fontId="45" fillId="15" borderId="0" xfId="0" applyFont="1" applyFill="1" applyBorder="1" applyAlignment="1" applyProtection="1">
      <alignment horizontal="center" vertical="center" wrapText="1"/>
      <protection locked="0"/>
    </xf>
    <xf numFmtId="0" fontId="44" fillId="15" borderId="0" xfId="0" applyFont="1" applyFill="1" applyBorder="1" applyAlignment="1" applyProtection="1">
      <alignment horizontal="center" vertical="center" wrapText="1"/>
      <protection locked="0"/>
    </xf>
    <xf numFmtId="0" fontId="47" fillId="15" borderId="0" xfId="0" applyFont="1" applyFill="1" applyBorder="1" applyAlignment="1" applyProtection="1">
      <alignment horizontal="center" vertical="center" wrapText="1"/>
      <protection locked="0"/>
    </xf>
    <xf numFmtId="0" fontId="40" fillId="15" borderId="0" xfId="0" applyFont="1" applyFill="1" applyBorder="1" applyAlignment="1" applyProtection="1">
      <alignment horizontal="center" vertical="center" wrapText="1"/>
      <protection locked="0"/>
    </xf>
    <xf numFmtId="0" fontId="39" fillId="15" borderId="0" xfId="0" applyFont="1" applyFill="1" applyBorder="1" applyAlignment="1" applyProtection="1">
      <alignment horizontal="center" vertical="center" wrapText="1"/>
      <protection locked="0"/>
    </xf>
    <xf numFmtId="0" fontId="39" fillId="15" borderId="0" xfId="0" applyFont="1" applyFill="1" applyBorder="1" applyAlignment="1" applyProtection="1">
      <alignment horizontal="center" vertical="center" wrapText="1"/>
    </xf>
    <xf numFmtId="0" fontId="39" fillId="15" borderId="0" xfId="0" applyFont="1" applyFill="1" applyBorder="1" applyAlignment="1" applyProtection="1">
      <alignment horizontal="center" vertical="center" wrapText="1"/>
    </xf>
    <xf numFmtId="9" fontId="40" fillId="15" borderId="0" xfId="2" applyFont="1" applyFill="1" applyBorder="1" applyAlignment="1" applyProtection="1">
      <alignment horizontal="center" vertical="center" wrapText="1"/>
      <protection locked="0"/>
    </xf>
    <xf numFmtId="9" fontId="40" fillId="15" borderId="0" xfId="2" applyFont="1" applyFill="1" applyBorder="1" applyAlignment="1" applyProtection="1">
      <alignment horizontal="center" vertical="center" wrapText="1"/>
      <protection locked="0"/>
    </xf>
    <xf numFmtId="49" fontId="39" fillId="15" borderId="0" xfId="0" applyNumberFormat="1" applyFont="1" applyFill="1" applyBorder="1" applyAlignment="1" applyProtection="1">
      <alignment horizontal="center" vertical="center" wrapText="1"/>
      <protection locked="0"/>
    </xf>
    <xf numFmtId="0" fontId="44" fillId="15" borderId="0" xfId="0" applyFont="1" applyFill="1" applyBorder="1" applyAlignment="1" applyProtection="1">
      <alignment horizontal="center" vertical="center" wrapText="1"/>
    </xf>
    <xf numFmtId="3" fontId="44" fillId="15" borderId="0" xfId="0" applyNumberFormat="1" applyFont="1" applyFill="1" applyBorder="1" applyAlignment="1" applyProtection="1">
      <alignment horizontal="center" vertical="center" wrapText="1"/>
      <protection locked="0"/>
    </xf>
    <xf numFmtId="9" fontId="44" fillId="15" borderId="0" xfId="2" applyFont="1" applyFill="1" applyBorder="1" applyAlignment="1" applyProtection="1">
      <alignment horizontal="center" vertical="center" wrapText="1"/>
    </xf>
    <xf numFmtId="0" fontId="46" fillId="15" borderId="0" xfId="2" applyNumberFormat="1" applyFont="1" applyFill="1" applyBorder="1" applyAlignment="1" applyProtection="1">
      <alignment horizontal="center" vertical="center" wrapText="1"/>
    </xf>
    <xf numFmtId="0" fontId="42" fillId="15" borderId="0" xfId="0" applyFont="1" applyFill="1" applyBorder="1" applyAlignment="1" applyProtection="1">
      <alignment horizontal="center" vertical="center" wrapText="1"/>
    </xf>
    <xf numFmtId="9" fontId="42" fillId="15" borderId="0" xfId="2" applyFont="1" applyFill="1" applyBorder="1" applyAlignment="1" applyProtection="1">
      <alignment horizontal="center" vertical="center" wrapText="1"/>
    </xf>
    <xf numFmtId="3" fontId="42" fillId="15" borderId="0" xfId="2" applyNumberFormat="1" applyFont="1" applyFill="1" applyBorder="1" applyAlignment="1" applyProtection="1">
      <alignment horizontal="center" vertical="center" wrapText="1"/>
    </xf>
    <xf numFmtId="1" fontId="42" fillId="15" borderId="0" xfId="2" applyNumberFormat="1" applyFont="1" applyFill="1" applyBorder="1" applyAlignment="1" applyProtection="1">
      <alignment horizontal="center" vertical="center" wrapText="1"/>
    </xf>
    <xf numFmtId="3" fontId="44" fillId="15" borderId="0" xfId="1" applyNumberFormat="1" applyFont="1" applyFill="1" applyBorder="1" applyAlignment="1" applyProtection="1">
      <alignment horizontal="center" vertical="center" wrapText="1"/>
      <protection locked="0"/>
    </xf>
    <xf numFmtId="3" fontId="46" fillId="15" borderId="0" xfId="0" applyNumberFormat="1" applyFont="1" applyFill="1" applyBorder="1" applyAlignment="1" applyProtection="1">
      <alignment horizontal="center" vertical="center" wrapText="1"/>
      <protection locked="0"/>
    </xf>
    <xf numFmtId="0" fontId="42" fillId="15" borderId="0" xfId="0" applyFont="1" applyFill="1" applyBorder="1" applyAlignment="1" applyProtection="1">
      <alignment horizontal="center" vertical="center" wrapText="1"/>
      <protection locked="0"/>
    </xf>
    <xf numFmtId="3" fontId="42" fillId="15" borderId="0" xfId="0" applyNumberFormat="1" applyFont="1" applyFill="1" applyBorder="1" applyAlignment="1">
      <alignment horizontal="center" vertical="center" wrapText="1"/>
    </xf>
    <xf numFmtId="0" fontId="39" fillId="15" borderId="0" xfId="0" applyNumberFormat="1" applyFont="1" applyFill="1" applyBorder="1" applyAlignment="1" applyProtection="1">
      <alignment horizontal="center" vertical="center" wrapText="1"/>
    </xf>
    <xf numFmtId="3" fontId="39" fillId="15" borderId="0" xfId="0" applyNumberFormat="1" applyFont="1" applyFill="1" applyBorder="1" applyAlignment="1" applyProtection="1">
      <alignment horizontal="center" vertical="center" wrapText="1"/>
      <protection locked="0"/>
    </xf>
    <xf numFmtId="9" fontId="39" fillId="15" borderId="0" xfId="2" applyFont="1" applyFill="1" applyBorder="1" applyAlignment="1" applyProtection="1">
      <alignment horizontal="center" vertical="center" wrapText="1"/>
    </xf>
    <xf numFmtId="0" fontId="43" fillId="15" borderId="0" xfId="0" applyFont="1" applyFill="1" applyBorder="1" applyAlignment="1" applyProtection="1">
      <alignment horizontal="center" vertical="center" wrapText="1"/>
      <protection locked="0"/>
    </xf>
    <xf numFmtId="0" fontId="43" fillId="15" borderId="0" xfId="0" applyFont="1" applyFill="1" applyBorder="1" applyAlignment="1" applyProtection="1">
      <alignment horizontal="center" vertical="center" wrapText="1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man-2008/Karachi-format%20-2007-ABC-2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B07"/>
      <sheetName val="TB08"/>
      <sheetName val="TB09"/>
      <sheetName val="REPORTS"/>
      <sheetName val="GRAPHS ESSENTIAL"/>
    </sheetNames>
    <sheetDataSet>
      <sheetData sheetId="0" refreshError="1">
        <row r="7">
          <cell r="C7" t="str">
            <v xml:space="preserve">CDG-UHC BALDIA </v>
          </cell>
          <cell r="D7" t="str">
            <v>BALDIA</v>
          </cell>
          <cell r="E7">
            <v>250000</v>
          </cell>
        </row>
        <row r="10">
          <cell r="C10" t="str">
            <v xml:space="preserve">CDG-SGH I.HAIDERI </v>
          </cell>
          <cell r="D10" t="str">
            <v>BIN-QASIM</v>
          </cell>
        </row>
        <row r="11">
          <cell r="C11" t="str">
            <v>CDG- LEPROSY HOSPITAL</v>
          </cell>
          <cell r="D11" t="str">
            <v>GADAP</v>
          </cell>
          <cell r="E11">
            <v>100000</v>
          </cell>
        </row>
        <row r="12">
          <cell r="C12" t="str">
            <v xml:space="preserve">CDG-RHC MURAD MEMON GOTH </v>
          </cell>
          <cell r="D12" t="str">
            <v>GADAP</v>
          </cell>
          <cell r="E12">
            <v>100000</v>
          </cell>
        </row>
        <row r="13">
          <cell r="D13" t="str">
            <v>GULBERG</v>
          </cell>
          <cell r="E13">
            <v>500000</v>
          </cell>
        </row>
        <row r="15">
          <cell r="C15" t="str">
            <v xml:space="preserve">CDG-MEHMOODAABAD MAT.HOME </v>
          </cell>
          <cell r="D15" t="str">
            <v>JAMSHED</v>
          </cell>
          <cell r="E15">
            <v>250000</v>
          </cell>
        </row>
        <row r="16">
          <cell r="C16" t="str">
            <v xml:space="preserve">CDG-SGD ABESENA-LINE </v>
          </cell>
          <cell r="D16" t="str">
            <v>JAMSHED</v>
          </cell>
          <cell r="E16">
            <v>200000</v>
          </cell>
        </row>
        <row r="17">
          <cell r="C17" t="str">
            <v xml:space="preserve">CDG-RHC KEMARI </v>
          </cell>
          <cell r="D17" t="str">
            <v>KEMARI</v>
          </cell>
          <cell r="E17">
            <v>150000</v>
          </cell>
        </row>
        <row r="18">
          <cell r="C18" t="str">
            <v xml:space="preserve">CDG-SHER SHAH </v>
          </cell>
          <cell r="D18" t="str">
            <v>KEMARI</v>
          </cell>
          <cell r="E18">
            <v>200000</v>
          </cell>
        </row>
        <row r="19">
          <cell r="C19" t="str">
            <v>CDG-THO OFFICE CUM MAT HOME</v>
          </cell>
          <cell r="D19" t="str">
            <v>KORANGI</v>
          </cell>
          <cell r="E19">
            <v>300000</v>
          </cell>
        </row>
        <row r="20">
          <cell r="C20" t="str">
            <v>CDG-LANDHI MEDICAL COMPLEX</v>
          </cell>
          <cell r="D20" t="str">
            <v>LANDHI</v>
          </cell>
          <cell r="E20">
            <v>200000</v>
          </cell>
        </row>
        <row r="21">
          <cell r="C21" t="str">
            <v xml:space="preserve">CDG-UHC LAUNDHI </v>
          </cell>
          <cell r="D21" t="str">
            <v>LANDHI</v>
          </cell>
          <cell r="E21">
            <v>450000</v>
          </cell>
        </row>
        <row r="22">
          <cell r="C22" t="str">
            <v>CDG-GHAZI QAYUM DISPENSARY</v>
          </cell>
          <cell r="D22" t="str">
            <v>LYARI</v>
          </cell>
          <cell r="E22">
            <v>150000</v>
          </cell>
        </row>
        <row r="23">
          <cell r="C23" t="str">
            <v xml:space="preserve">CDG-MCH CENTER </v>
          </cell>
          <cell r="D23" t="str">
            <v>NORTH KARACHI</v>
          </cell>
          <cell r="E23">
            <v>150000</v>
          </cell>
        </row>
        <row r="24">
          <cell r="C24" t="str">
            <v>CDG-N. BHUTTO COLONY DISPENSARY</v>
          </cell>
          <cell r="D24" t="str">
            <v>NORTH NAZIMABAD</v>
          </cell>
          <cell r="E24">
            <v>580000</v>
          </cell>
        </row>
        <row r="27">
          <cell r="C27" t="str">
            <v xml:space="preserve">CDG-STAFF CLINIC </v>
          </cell>
          <cell r="D27" t="str">
            <v>SADDAR</v>
          </cell>
        </row>
        <row r="28">
          <cell r="C28" t="str">
            <v xml:space="preserve">CDG-SGD SHAH FAISAL </v>
          </cell>
          <cell r="D28" t="str">
            <v>SHAH FAISAL</v>
          </cell>
          <cell r="E28">
            <v>200000</v>
          </cell>
        </row>
        <row r="29">
          <cell r="C29" t="str">
            <v xml:space="preserve">CDG-H.M.COMPLEX </v>
          </cell>
          <cell r="D29" t="str">
            <v>SITE</v>
          </cell>
          <cell r="E29">
            <v>423500</v>
          </cell>
        </row>
        <row r="30">
          <cell r="C30" t="str">
            <v xml:space="preserve">SGH N.KARACHI </v>
          </cell>
          <cell r="D30" t="str">
            <v>N.KARACHI</v>
          </cell>
          <cell r="E30">
            <v>450000</v>
          </cell>
        </row>
        <row r="31">
          <cell r="D31" t="str">
            <v>N.KARACHI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101"/>
  <sheetViews>
    <sheetView zoomScale="30" zoomScaleNormal="75" workbookViewId="0">
      <pane xSplit="2" ySplit="5" topLeftCell="BE59" activePane="bottomRight" state="frozen"/>
      <selection pane="topRight" activeCell="C1" sqref="C1"/>
      <selection pane="bottomLeft" activeCell="A6" sqref="A6"/>
      <selection pane="bottomRight" activeCell="E64" sqref="E64:F65"/>
    </sheetView>
  </sheetViews>
  <sheetFormatPr defaultRowHeight="12.75"/>
  <cols>
    <col min="2" max="2" width="44.140625" customWidth="1"/>
    <col min="3" max="3" width="36.42578125" customWidth="1"/>
    <col min="4" max="4" width="32.5703125" customWidth="1"/>
    <col min="5" max="5" width="23.85546875" customWidth="1"/>
    <col min="6" max="6" width="24.5703125" customWidth="1"/>
    <col min="7" max="7" width="11.7109375" customWidth="1"/>
    <col min="8" max="8" width="17.7109375" customWidth="1"/>
    <col min="9" max="10" width="15.140625" customWidth="1"/>
    <col min="12" max="12" width="11.28515625" customWidth="1"/>
    <col min="13" max="13" width="15.7109375" customWidth="1"/>
    <col min="16" max="16" width="17.7109375" customWidth="1"/>
    <col min="19" max="19" width="16" customWidth="1"/>
    <col min="22" max="22" width="15.28515625" customWidth="1"/>
    <col min="23" max="23" width="23.28515625" customWidth="1"/>
    <col min="24" max="24" width="32.28515625" customWidth="1"/>
    <col min="25" max="25" width="23.28515625" customWidth="1"/>
    <col min="26" max="26" width="24.85546875" customWidth="1"/>
    <col min="31" max="31" width="18.7109375" customWidth="1"/>
    <col min="32" max="32" width="23.140625" customWidth="1"/>
    <col min="33" max="33" width="16.28515625" customWidth="1"/>
    <col min="34" max="34" width="22.42578125" customWidth="1"/>
    <col min="35" max="35" width="22.7109375" customWidth="1"/>
    <col min="41" max="41" width="15.85546875" customWidth="1"/>
    <col min="42" max="42" width="21" customWidth="1"/>
    <col min="43" max="43" width="15.85546875" customWidth="1"/>
    <col min="44" max="44" width="15.140625" customWidth="1"/>
    <col min="45" max="45" width="13.140625" customWidth="1"/>
    <col min="46" max="48" width="13.7109375" customWidth="1"/>
    <col min="49" max="49" width="18.140625" customWidth="1"/>
    <col min="50" max="50" width="29.28515625" customWidth="1"/>
    <col min="51" max="51" width="12.7109375" customWidth="1"/>
    <col min="52" max="52" width="20.7109375" customWidth="1"/>
    <col min="53" max="53" width="18.28515625" customWidth="1"/>
    <col min="54" max="54" width="30.28515625" customWidth="1"/>
    <col min="55" max="55" width="24.5703125" customWidth="1"/>
    <col min="56" max="56" width="19.28515625" customWidth="1"/>
    <col min="59" max="59" width="51.42578125" customWidth="1"/>
    <col min="60" max="60" width="36.5703125" customWidth="1"/>
    <col min="63" max="79" width="15.7109375" customWidth="1"/>
  </cols>
  <sheetData>
    <row r="1" spans="1:79" ht="50.1" customHeight="1">
      <c r="A1" s="735" t="s">
        <v>40</v>
      </c>
      <c r="B1" s="736"/>
      <c r="C1" s="622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739" t="s">
        <v>40</v>
      </c>
      <c r="BG1" s="736"/>
      <c r="BH1" s="622"/>
      <c r="BI1" s="264"/>
      <c r="BJ1" s="264"/>
      <c r="BK1" s="264"/>
      <c r="BL1" s="264"/>
      <c r="BM1" s="264"/>
      <c r="BN1" s="264"/>
      <c r="BO1" s="264"/>
      <c r="BP1" s="264"/>
      <c r="BQ1" s="264"/>
      <c r="BR1" s="264"/>
      <c r="BS1" s="264"/>
      <c r="BT1" s="264"/>
      <c r="BU1" s="264"/>
      <c r="BV1" s="264"/>
      <c r="BW1" s="264"/>
      <c r="BX1" s="264"/>
      <c r="BY1" s="264"/>
      <c r="BZ1" s="264"/>
      <c r="CA1" s="265"/>
    </row>
    <row r="2" spans="1:79" ht="50.1" customHeight="1">
      <c r="A2" s="740" t="s">
        <v>24</v>
      </c>
      <c r="B2" s="741"/>
      <c r="C2" s="260"/>
      <c r="D2" s="267"/>
      <c r="E2" s="267"/>
      <c r="F2" s="267"/>
      <c r="G2" s="742" t="s">
        <v>34</v>
      </c>
      <c r="H2" s="742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50"/>
      <c r="U2" s="50"/>
      <c r="V2" s="50"/>
      <c r="W2" s="50"/>
      <c r="X2" s="50"/>
      <c r="Y2" s="50"/>
      <c r="Z2" s="267"/>
      <c r="AA2" s="742" t="s">
        <v>28</v>
      </c>
      <c r="AB2" s="742"/>
      <c r="AC2" s="742"/>
      <c r="AD2" s="742"/>
      <c r="AE2" s="742"/>
      <c r="AF2" s="742"/>
      <c r="AG2" s="742"/>
      <c r="AH2" s="742"/>
      <c r="AI2" s="742"/>
      <c r="AJ2" s="742" t="s">
        <v>35</v>
      </c>
      <c r="AK2" s="742"/>
      <c r="AL2" s="742"/>
      <c r="AM2" s="742"/>
      <c r="AN2" s="742"/>
      <c r="AO2" s="742"/>
      <c r="AP2" s="742"/>
      <c r="AQ2" s="742"/>
      <c r="AR2" s="742"/>
      <c r="AS2" s="623"/>
      <c r="AT2" s="623"/>
      <c r="AU2" s="623"/>
      <c r="AV2" s="623"/>
      <c r="AW2" s="623"/>
      <c r="AX2" s="623"/>
      <c r="AY2" s="623"/>
      <c r="AZ2" s="623"/>
      <c r="BA2" s="623"/>
      <c r="BB2" s="623"/>
      <c r="BC2" s="623"/>
      <c r="BD2" s="623"/>
      <c r="BE2" s="623"/>
      <c r="BF2" s="741" t="s">
        <v>24</v>
      </c>
      <c r="BG2" s="741"/>
      <c r="BH2" s="260"/>
      <c r="BI2" s="267"/>
      <c r="BJ2" s="267"/>
      <c r="BK2" s="267"/>
      <c r="BL2" s="267"/>
      <c r="BM2" s="267"/>
      <c r="BN2" s="267"/>
      <c r="BO2" s="267"/>
      <c r="BP2" s="267"/>
      <c r="BQ2" s="267"/>
      <c r="BR2" s="267"/>
      <c r="BS2" s="267"/>
      <c r="BT2" s="267"/>
      <c r="BU2" s="267"/>
      <c r="BV2" s="267"/>
      <c r="BW2" s="267"/>
      <c r="BX2" s="267"/>
      <c r="BY2" s="267"/>
      <c r="BZ2" s="267"/>
      <c r="CA2" s="624"/>
    </row>
    <row r="3" spans="1:79" ht="50.1" customHeight="1">
      <c r="A3" s="737" t="s">
        <v>2</v>
      </c>
      <c r="B3" s="734"/>
      <c r="C3" s="261"/>
      <c r="D3" s="261"/>
      <c r="E3" s="261"/>
      <c r="F3" s="261"/>
      <c r="G3" s="742" t="s">
        <v>10</v>
      </c>
      <c r="H3" s="742"/>
      <c r="I3" s="742"/>
      <c r="J3" s="50"/>
      <c r="K3" s="742" t="s">
        <v>29</v>
      </c>
      <c r="L3" s="742"/>
      <c r="M3" s="742"/>
      <c r="N3" s="742"/>
      <c r="O3" s="742"/>
      <c r="P3" s="742"/>
      <c r="Q3" s="742"/>
      <c r="R3" s="742"/>
      <c r="S3" s="742"/>
      <c r="T3" s="50"/>
      <c r="U3" s="50"/>
      <c r="V3" s="50"/>
      <c r="W3" s="50"/>
      <c r="X3" s="50"/>
      <c r="Y3" s="50"/>
      <c r="Z3" s="623"/>
      <c r="AA3" s="742" t="s">
        <v>12</v>
      </c>
      <c r="AB3" s="742"/>
      <c r="AC3" s="742"/>
      <c r="AD3" s="742"/>
      <c r="AE3" s="742"/>
      <c r="AF3" s="742"/>
      <c r="AG3" s="742"/>
      <c r="AH3" s="742"/>
      <c r="AI3" s="742"/>
      <c r="AJ3" s="742"/>
      <c r="AK3" s="742"/>
      <c r="AL3" s="742"/>
      <c r="AM3" s="742"/>
      <c r="AN3" s="742"/>
      <c r="AO3" s="742"/>
      <c r="AP3" s="742"/>
      <c r="AQ3" s="742"/>
      <c r="AR3" s="742"/>
      <c r="AS3" s="261"/>
      <c r="AT3" s="623"/>
      <c r="AU3" s="623"/>
      <c r="AV3" s="623"/>
      <c r="AW3" s="623"/>
      <c r="AX3" s="266"/>
      <c r="AY3" s="266"/>
      <c r="AZ3" s="266"/>
      <c r="BA3" s="266"/>
      <c r="BB3" s="266"/>
      <c r="BC3" s="266"/>
      <c r="BD3" s="266"/>
      <c r="BE3" s="266"/>
      <c r="BF3" s="734" t="s">
        <v>3</v>
      </c>
      <c r="BG3" s="734"/>
      <c r="BH3" s="261"/>
      <c r="BI3" s="267"/>
      <c r="BJ3" s="267"/>
      <c r="BK3" s="267"/>
      <c r="BL3" s="267"/>
      <c r="BM3" s="267"/>
      <c r="BN3" s="267"/>
      <c r="BO3" s="267"/>
      <c r="BP3" s="267"/>
      <c r="BQ3" s="267"/>
      <c r="BR3" s="267"/>
      <c r="BS3" s="267"/>
      <c r="BT3" s="267"/>
      <c r="BU3" s="267"/>
      <c r="BV3" s="267"/>
      <c r="BW3" s="267"/>
      <c r="BX3" s="267"/>
      <c r="BY3" s="267"/>
      <c r="BZ3" s="267"/>
      <c r="CA3" s="624"/>
    </row>
    <row r="4" spans="1:79" ht="50.1" customHeight="1">
      <c r="A4" s="737" t="s">
        <v>0</v>
      </c>
      <c r="B4" s="738" t="s">
        <v>42</v>
      </c>
      <c r="C4" s="738" t="s">
        <v>43</v>
      </c>
      <c r="D4" s="734" t="s">
        <v>44</v>
      </c>
      <c r="E4" s="734" t="s">
        <v>130</v>
      </c>
      <c r="F4" s="734" t="s">
        <v>131</v>
      </c>
      <c r="G4" s="742"/>
      <c r="H4" s="742"/>
      <c r="I4" s="742"/>
      <c r="J4" s="50"/>
      <c r="K4" s="742" t="s">
        <v>11</v>
      </c>
      <c r="L4" s="742"/>
      <c r="M4" s="742"/>
      <c r="N4" s="742" t="s">
        <v>38</v>
      </c>
      <c r="O4" s="742"/>
      <c r="P4" s="742"/>
      <c r="Q4" s="742" t="s">
        <v>39</v>
      </c>
      <c r="R4" s="742"/>
      <c r="S4" s="742"/>
      <c r="T4" s="742" t="s">
        <v>47</v>
      </c>
      <c r="U4" s="742"/>
      <c r="V4" s="742"/>
      <c r="W4" s="742" t="s">
        <v>126</v>
      </c>
      <c r="X4" s="50"/>
      <c r="Y4" s="50"/>
      <c r="Z4" s="742" t="s">
        <v>13</v>
      </c>
      <c r="AA4" s="734" t="s">
        <v>30</v>
      </c>
      <c r="AB4" s="734"/>
      <c r="AC4" s="734" t="s">
        <v>23</v>
      </c>
      <c r="AD4" s="734"/>
      <c r="AE4" s="734" t="s">
        <v>31</v>
      </c>
      <c r="AF4" s="734"/>
      <c r="AG4" s="734" t="s">
        <v>1</v>
      </c>
      <c r="AH4" s="734"/>
      <c r="AI4" s="734" t="s">
        <v>32</v>
      </c>
      <c r="AJ4" s="734" t="s">
        <v>30</v>
      </c>
      <c r="AK4" s="734"/>
      <c r="AL4" s="734" t="s">
        <v>23</v>
      </c>
      <c r="AM4" s="734"/>
      <c r="AN4" s="734" t="s">
        <v>31</v>
      </c>
      <c r="AO4" s="734"/>
      <c r="AP4" s="734" t="s">
        <v>1</v>
      </c>
      <c r="AQ4" s="734"/>
      <c r="AR4" s="734" t="s">
        <v>32</v>
      </c>
      <c r="AS4" s="742" t="s">
        <v>33</v>
      </c>
      <c r="AT4" s="742"/>
      <c r="AU4" s="742"/>
      <c r="AV4" s="742"/>
      <c r="AW4" s="742"/>
      <c r="AX4" s="743" t="s">
        <v>22</v>
      </c>
      <c r="AY4" s="81"/>
      <c r="AZ4" s="743" t="s">
        <v>132</v>
      </c>
      <c r="BA4" s="742" t="s">
        <v>14</v>
      </c>
      <c r="BB4" s="742" t="s">
        <v>18</v>
      </c>
      <c r="BC4" s="742" t="s">
        <v>19</v>
      </c>
      <c r="BD4" s="742" t="s">
        <v>20</v>
      </c>
      <c r="BE4" s="50"/>
      <c r="BF4" s="734" t="s">
        <v>0</v>
      </c>
      <c r="BG4" s="738" t="s">
        <v>42</v>
      </c>
      <c r="BH4" s="738" t="s">
        <v>43</v>
      </c>
      <c r="BI4" s="734" t="s">
        <v>140</v>
      </c>
      <c r="BJ4" s="734"/>
      <c r="BK4" s="744" t="s">
        <v>141</v>
      </c>
      <c r="BL4" s="744"/>
      <c r="BM4" s="734" t="s">
        <v>4</v>
      </c>
      <c r="BN4" s="734"/>
      <c r="BO4" s="734" t="s">
        <v>5</v>
      </c>
      <c r="BP4" s="734"/>
      <c r="BQ4" s="734" t="s">
        <v>6</v>
      </c>
      <c r="BR4" s="734"/>
      <c r="BS4" s="734" t="s">
        <v>7</v>
      </c>
      <c r="BT4" s="734"/>
      <c r="BU4" s="734" t="s">
        <v>8</v>
      </c>
      <c r="BV4" s="734"/>
      <c r="BW4" s="734" t="s">
        <v>9</v>
      </c>
      <c r="BX4" s="734"/>
      <c r="BY4" s="734" t="s">
        <v>21</v>
      </c>
      <c r="BZ4" s="734"/>
      <c r="CA4" s="745"/>
    </row>
    <row r="5" spans="1:79" ht="50.1" customHeight="1">
      <c r="A5" s="737"/>
      <c r="B5" s="738"/>
      <c r="C5" s="738"/>
      <c r="D5" s="734"/>
      <c r="E5" s="734"/>
      <c r="F5" s="734"/>
      <c r="G5" s="50" t="s">
        <v>16</v>
      </c>
      <c r="H5" s="50" t="s">
        <v>17</v>
      </c>
      <c r="I5" s="50" t="s">
        <v>32</v>
      </c>
      <c r="J5" s="50"/>
      <c r="K5" s="50" t="s">
        <v>16</v>
      </c>
      <c r="L5" s="50" t="s">
        <v>17</v>
      </c>
      <c r="M5" s="50" t="s">
        <v>32</v>
      </c>
      <c r="N5" s="50" t="s">
        <v>16</v>
      </c>
      <c r="O5" s="50" t="s">
        <v>17</v>
      </c>
      <c r="P5" s="50" t="s">
        <v>32</v>
      </c>
      <c r="Q5" s="50" t="s">
        <v>16</v>
      </c>
      <c r="R5" s="50" t="s">
        <v>17</v>
      </c>
      <c r="S5" s="50" t="s">
        <v>32</v>
      </c>
      <c r="T5" s="50" t="s">
        <v>16</v>
      </c>
      <c r="U5" s="50" t="s">
        <v>17</v>
      </c>
      <c r="V5" s="50" t="s">
        <v>32</v>
      </c>
      <c r="W5" s="742"/>
      <c r="X5" s="50"/>
      <c r="Y5" s="50"/>
      <c r="Z5" s="742"/>
      <c r="AA5" s="50" t="s">
        <v>16</v>
      </c>
      <c r="AB5" s="50" t="s">
        <v>17</v>
      </c>
      <c r="AC5" s="50" t="s">
        <v>16</v>
      </c>
      <c r="AD5" s="50" t="s">
        <v>17</v>
      </c>
      <c r="AE5" s="50" t="s">
        <v>16</v>
      </c>
      <c r="AF5" s="50" t="s">
        <v>17</v>
      </c>
      <c r="AG5" s="50" t="s">
        <v>16</v>
      </c>
      <c r="AH5" s="50" t="s">
        <v>17</v>
      </c>
      <c r="AI5" s="734"/>
      <c r="AJ5" s="50" t="s">
        <v>16</v>
      </c>
      <c r="AK5" s="50" t="s">
        <v>17</v>
      </c>
      <c r="AL5" s="50" t="s">
        <v>16</v>
      </c>
      <c r="AM5" s="50" t="s">
        <v>17</v>
      </c>
      <c r="AN5" s="50" t="s">
        <v>16</v>
      </c>
      <c r="AO5" s="50" t="s">
        <v>17</v>
      </c>
      <c r="AP5" s="50" t="s">
        <v>16</v>
      </c>
      <c r="AQ5" s="50" t="s">
        <v>17</v>
      </c>
      <c r="AR5" s="734"/>
      <c r="AS5" s="50" t="s">
        <v>16</v>
      </c>
      <c r="AT5" s="50" t="s">
        <v>17</v>
      </c>
      <c r="AU5" s="50"/>
      <c r="AV5" s="50"/>
      <c r="AW5" s="50" t="s">
        <v>32</v>
      </c>
      <c r="AX5" s="743"/>
      <c r="AY5" s="81"/>
      <c r="AZ5" s="743"/>
      <c r="BA5" s="742"/>
      <c r="BB5" s="742"/>
      <c r="BC5" s="742"/>
      <c r="BD5" s="742"/>
      <c r="BE5" s="50"/>
      <c r="BF5" s="734"/>
      <c r="BG5" s="738"/>
      <c r="BH5" s="738"/>
      <c r="BI5" s="50" t="s">
        <v>16</v>
      </c>
      <c r="BJ5" s="50" t="s">
        <v>17</v>
      </c>
      <c r="BK5" s="50" t="s">
        <v>16</v>
      </c>
      <c r="BL5" s="50" t="s">
        <v>17</v>
      </c>
      <c r="BM5" s="50" t="s">
        <v>16</v>
      </c>
      <c r="BN5" s="50" t="s">
        <v>17</v>
      </c>
      <c r="BO5" s="50" t="s">
        <v>16</v>
      </c>
      <c r="BP5" s="50" t="s">
        <v>17</v>
      </c>
      <c r="BQ5" s="50" t="s">
        <v>16</v>
      </c>
      <c r="BR5" s="50" t="s">
        <v>17</v>
      </c>
      <c r="BS5" s="50" t="s">
        <v>16</v>
      </c>
      <c r="BT5" s="50" t="s">
        <v>17</v>
      </c>
      <c r="BU5" s="50" t="s">
        <v>16</v>
      </c>
      <c r="BV5" s="50" t="s">
        <v>17</v>
      </c>
      <c r="BW5" s="50" t="s">
        <v>16</v>
      </c>
      <c r="BX5" s="50" t="s">
        <v>17</v>
      </c>
      <c r="BY5" s="50" t="s">
        <v>16</v>
      </c>
      <c r="BZ5" s="50" t="s">
        <v>17</v>
      </c>
      <c r="CA5" s="262" t="s">
        <v>32</v>
      </c>
    </row>
    <row r="6" spans="1:79" ht="50.1" customHeight="1">
      <c r="A6" s="263">
        <v>1</v>
      </c>
      <c r="B6" s="99" t="s">
        <v>48</v>
      </c>
      <c r="C6" s="100" t="s">
        <v>49</v>
      </c>
      <c r="D6" s="71">
        <v>200000</v>
      </c>
      <c r="E6" s="71">
        <v>123</v>
      </c>
      <c r="F6" s="71">
        <v>50</v>
      </c>
      <c r="G6" s="601">
        <v>16</v>
      </c>
      <c r="H6" s="601">
        <v>27</v>
      </c>
      <c r="I6" s="110">
        <f>SUM(G6:H6)</f>
        <v>43</v>
      </c>
      <c r="J6" s="110">
        <v>43</v>
      </c>
      <c r="K6" s="601">
        <v>6</v>
      </c>
      <c r="L6" s="601">
        <v>2</v>
      </c>
      <c r="M6" s="110">
        <f>SUM(K6:L6)</f>
        <v>8</v>
      </c>
      <c r="N6" s="601">
        <v>0</v>
      </c>
      <c r="O6" s="601">
        <v>0</v>
      </c>
      <c r="P6" s="110">
        <f>SUM(N6:O6)</f>
        <v>0</v>
      </c>
      <c r="Q6" s="601">
        <v>0</v>
      </c>
      <c r="R6" s="601">
        <v>0</v>
      </c>
      <c r="S6" s="110">
        <f t="shared" ref="S6:S13" si="0">SUM(Q6:R6)</f>
        <v>0</v>
      </c>
      <c r="T6" s="110">
        <v>0</v>
      </c>
      <c r="U6" s="110">
        <v>0</v>
      </c>
      <c r="V6" s="110">
        <v>0</v>
      </c>
      <c r="W6" s="107">
        <f>I6/F6</f>
        <v>0.86</v>
      </c>
      <c r="X6" s="108">
        <v>8</v>
      </c>
      <c r="Y6" s="107"/>
      <c r="Z6" s="107">
        <f>I6*4/(D6*0.0008)</f>
        <v>1.075</v>
      </c>
      <c r="AA6" s="108">
        <v>0</v>
      </c>
      <c r="AB6" s="108">
        <v>0</v>
      </c>
      <c r="AC6" s="108">
        <v>0</v>
      </c>
      <c r="AD6" s="601">
        <v>0</v>
      </c>
      <c r="AE6" s="601">
        <v>4</v>
      </c>
      <c r="AF6" s="601">
        <v>11</v>
      </c>
      <c r="AG6" s="601">
        <f>AA6+AC6+AE6</f>
        <v>4</v>
      </c>
      <c r="AH6" s="601">
        <f>AB6+AD6+AF6</f>
        <v>11</v>
      </c>
      <c r="AI6" s="108">
        <f>AG6+AH6</f>
        <v>15</v>
      </c>
      <c r="AJ6" s="108"/>
      <c r="AK6" s="110"/>
      <c r="AL6" s="110"/>
      <c r="AM6" s="601"/>
      <c r="AN6" s="601">
        <v>7</v>
      </c>
      <c r="AO6" s="601">
        <v>14</v>
      </c>
      <c r="AP6" s="601">
        <f>AJ6+AL6+AN6</f>
        <v>7</v>
      </c>
      <c r="AQ6" s="601">
        <f>AK6+AM6+AO6</f>
        <v>14</v>
      </c>
      <c r="AR6" s="108">
        <f>AP6+AQ6</f>
        <v>21</v>
      </c>
      <c r="AS6" s="110">
        <f>G6+K6+N6+Q6+T6+AG6+AP6</f>
        <v>33</v>
      </c>
      <c r="AT6" s="110">
        <f>H6+L6+O6+R6+U6+AH6+AQ6</f>
        <v>54</v>
      </c>
      <c r="AU6" s="110">
        <v>33</v>
      </c>
      <c r="AV6" s="110">
        <v>54</v>
      </c>
      <c r="AW6" s="110">
        <f>AS6+AT6</f>
        <v>87</v>
      </c>
      <c r="AX6" s="107">
        <f>I6/(I6+AI6)</f>
        <v>0.74137931034482762</v>
      </c>
      <c r="AY6" s="107">
        <v>0.74</v>
      </c>
      <c r="AZ6" s="107">
        <f>AW6/E6</f>
        <v>0.70731707317073167</v>
      </c>
      <c r="BA6" s="107">
        <f t="shared" ref="BA6:BA14" si="1">AW6*4/(D6*0.00177)</f>
        <v>0.98305084745762716</v>
      </c>
      <c r="BB6" s="107">
        <f t="shared" ref="BB6:BB14" si="2">(M6+P6+S6)/AW6</f>
        <v>9.1954022988505746E-2</v>
      </c>
      <c r="BC6" s="112">
        <f>I6*4/D6*100000</f>
        <v>86</v>
      </c>
      <c r="BD6" s="113">
        <f t="shared" ref="BD6:BD14" si="3">AW6*4/D6*100000</f>
        <v>174</v>
      </c>
      <c r="BE6" s="113"/>
      <c r="BF6" s="261">
        <v>1</v>
      </c>
      <c r="BG6" s="99" t="s">
        <v>48</v>
      </c>
      <c r="BH6" s="100" t="s">
        <v>49</v>
      </c>
      <c r="BI6" s="226">
        <v>0</v>
      </c>
      <c r="BJ6" s="226">
        <v>0</v>
      </c>
      <c r="BK6" s="601">
        <v>1</v>
      </c>
      <c r="BL6" s="601">
        <v>2</v>
      </c>
      <c r="BM6" s="601">
        <v>10</v>
      </c>
      <c r="BN6" s="601">
        <v>13</v>
      </c>
      <c r="BO6" s="601">
        <v>0</v>
      </c>
      <c r="BP6" s="601">
        <v>5</v>
      </c>
      <c r="BQ6" s="601">
        <v>2</v>
      </c>
      <c r="BR6" s="601">
        <v>3</v>
      </c>
      <c r="BS6" s="601">
        <v>1</v>
      </c>
      <c r="BT6" s="601">
        <v>2</v>
      </c>
      <c r="BU6" s="601">
        <v>1</v>
      </c>
      <c r="BV6" s="601">
        <v>2</v>
      </c>
      <c r="BW6" s="601">
        <v>1</v>
      </c>
      <c r="BX6" s="601">
        <v>0</v>
      </c>
      <c r="BY6" s="110">
        <f>BK6+BM6+BO6+BQ6+BS6+BU6+BW6</f>
        <v>16</v>
      </c>
      <c r="BZ6" s="110">
        <f>BL6+BN6+BP6+BR6+BT6+BV6+BX6</f>
        <v>27</v>
      </c>
      <c r="CA6" s="625">
        <f>BZ6+BY6</f>
        <v>43</v>
      </c>
    </row>
    <row r="7" spans="1:79" ht="50.1" customHeight="1">
      <c r="A7" s="263">
        <v>2</v>
      </c>
      <c r="B7" s="99" t="s">
        <v>50</v>
      </c>
      <c r="C7" s="100" t="s">
        <v>51</v>
      </c>
      <c r="D7" s="72">
        <v>300000</v>
      </c>
      <c r="E7" s="71">
        <v>140</v>
      </c>
      <c r="F7" s="72">
        <v>60</v>
      </c>
      <c r="G7" s="601">
        <v>15</v>
      </c>
      <c r="H7" s="601">
        <v>20</v>
      </c>
      <c r="I7" s="110">
        <f t="shared" ref="I7:I13" si="4">SUM(G7:H7)</f>
        <v>35</v>
      </c>
      <c r="J7" s="110">
        <v>35</v>
      </c>
      <c r="K7" s="601">
        <v>1</v>
      </c>
      <c r="L7" s="601">
        <v>2</v>
      </c>
      <c r="M7" s="110">
        <f t="shared" ref="M7:M13" si="5">SUM(K7:L7)</f>
        <v>3</v>
      </c>
      <c r="N7" s="601">
        <v>0</v>
      </c>
      <c r="O7" s="601">
        <v>1</v>
      </c>
      <c r="P7" s="110">
        <f t="shared" ref="P7:P13" si="6">SUM(N7:O7)</f>
        <v>1</v>
      </c>
      <c r="Q7" s="601">
        <v>5</v>
      </c>
      <c r="R7" s="601">
        <v>4</v>
      </c>
      <c r="S7" s="110">
        <f t="shared" si="0"/>
        <v>9</v>
      </c>
      <c r="T7" s="110"/>
      <c r="U7" s="110"/>
      <c r="V7" s="110"/>
      <c r="W7" s="107">
        <f t="shared" ref="W7:W14" si="7">I7/F7</f>
        <v>0.58333333333333337</v>
      </c>
      <c r="X7" s="108">
        <v>13</v>
      </c>
      <c r="Y7" s="107"/>
      <c r="Z7" s="107">
        <f t="shared" ref="Z7:Z13" si="8">I7*4/(D7*0.0008)</f>
        <v>0.58333333333333337</v>
      </c>
      <c r="AA7" s="108"/>
      <c r="AB7" s="108"/>
      <c r="AC7" s="108"/>
      <c r="AD7" s="601"/>
      <c r="AE7" s="601">
        <v>36</v>
      </c>
      <c r="AF7" s="601">
        <v>52</v>
      </c>
      <c r="AG7" s="601">
        <f t="shared" ref="AG7:AG13" si="9">AA7+AC7+AE7</f>
        <v>36</v>
      </c>
      <c r="AH7" s="601">
        <f t="shared" ref="AH7:AH13" si="10">AB7+AD7+AF7</f>
        <v>52</v>
      </c>
      <c r="AI7" s="108">
        <f t="shared" ref="AI7:AI13" si="11">AG7+AH7</f>
        <v>88</v>
      </c>
      <c r="AJ7" s="108"/>
      <c r="AK7" s="110"/>
      <c r="AL7" s="110"/>
      <c r="AM7" s="601"/>
      <c r="AN7" s="601">
        <v>14</v>
      </c>
      <c r="AO7" s="601">
        <v>24</v>
      </c>
      <c r="AP7" s="601">
        <f t="shared" ref="AP7:AP13" si="12">AJ7+AL7+AN7</f>
        <v>14</v>
      </c>
      <c r="AQ7" s="601">
        <f t="shared" ref="AQ7:AQ13" si="13">AK7+AM7+AO7</f>
        <v>24</v>
      </c>
      <c r="AR7" s="108">
        <f t="shared" ref="AR7:AR13" si="14">AP7+AQ7</f>
        <v>38</v>
      </c>
      <c r="AS7" s="110">
        <f t="shared" ref="AS7:AS13" si="15">G7+K7+N7+Q7+T7+AG7+AP7</f>
        <v>71</v>
      </c>
      <c r="AT7" s="110">
        <f t="shared" ref="AT7:AT13" si="16">H7+L7+O7+R7+U7+AH7+AQ7</f>
        <v>103</v>
      </c>
      <c r="AU7" s="110">
        <v>71</v>
      </c>
      <c r="AV7" s="110">
        <v>103</v>
      </c>
      <c r="AW7" s="110">
        <f t="shared" ref="AW7:AW13" si="17">AS7+AT7</f>
        <v>174</v>
      </c>
      <c r="AX7" s="107">
        <f t="shared" ref="AX7:AX14" si="18">I7/(I7+AI7)</f>
        <v>0.28455284552845528</v>
      </c>
      <c r="AY7" s="107">
        <v>0.28000000000000003</v>
      </c>
      <c r="AZ7" s="107">
        <f t="shared" ref="AZ7:AZ14" si="19">AW7/E7</f>
        <v>1.2428571428571429</v>
      </c>
      <c r="BA7" s="107">
        <f t="shared" si="1"/>
        <v>1.3107344632768361</v>
      </c>
      <c r="BB7" s="107">
        <f t="shared" si="2"/>
        <v>7.4712643678160925E-2</v>
      </c>
      <c r="BC7" s="112">
        <f t="shared" ref="BC7:BC13" si="20">I7*4/D7*100000</f>
        <v>46.666666666666664</v>
      </c>
      <c r="BD7" s="113">
        <f t="shared" si="3"/>
        <v>232</v>
      </c>
      <c r="BE7" s="113"/>
      <c r="BF7" s="261">
        <v>2</v>
      </c>
      <c r="BG7" s="99" t="s">
        <v>50</v>
      </c>
      <c r="BH7" s="100" t="s">
        <v>51</v>
      </c>
      <c r="BI7" s="226">
        <v>0</v>
      </c>
      <c r="BJ7" s="226">
        <v>0</v>
      </c>
      <c r="BK7" s="601">
        <v>0</v>
      </c>
      <c r="BL7" s="601">
        <v>3</v>
      </c>
      <c r="BM7" s="601">
        <v>7</v>
      </c>
      <c r="BN7" s="601">
        <v>7</v>
      </c>
      <c r="BO7" s="601">
        <v>3</v>
      </c>
      <c r="BP7" s="601">
        <v>3</v>
      </c>
      <c r="BQ7" s="601">
        <v>1</v>
      </c>
      <c r="BR7" s="601">
        <v>4</v>
      </c>
      <c r="BS7" s="601">
        <v>3</v>
      </c>
      <c r="BT7" s="601">
        <v>1</v>
      </c>
      <c r="BU7" s="601">
        <v>1</v>
      </c>
      <c r="BV7" s="601">
        <v>1</v>
      </c>
      <c r="BW7" s="601">
        <v>0</v>
      </c>
      <c r="BX7" s="601">
        <v>1</v>
      </c>
      <c r="BY7" s="110">
        <f t="shared" ref="BY7:BY13" si="21">BK7+BM7+BO7+BQ7+BS7+BU7+BW7</f>
        <v>15</v>
      </c>
      <c r="BZ7" s="110">
        <f t="shared" ref="BZ7:BZ13" si="22">BL7+BN7+BP7+BR7+BT7+BV7+BX7</f>
        <v>20</v>
      </c>
      <c r="CA7" s="625">
        <f t="shared" ref="CA7:CA13" si="23">BZ7+BY7</f>
        <v>35</v>
      </c>
    </row>
    <row r="8" spans="1:79" ht="50.1" customHeight="1">
      <c r="A8" s="263">
        <v>3</v>
      </c>
      <c r="B8" s="99" t="s">
        <v>52</v>
      </c>
      <c r="C8" s="100" t="s">
        <v>53</v>
      </c>
      <c r="D8" s="72">
        <v>390000</v>
      </c>
      <c r="E8" s="71">
        <v>140</v>
      </c>
      <c r="F8" s="72">
        <v>60</v>
      </c>
      <c r="G8" s="601">
        <v>17</v>
      </c>
      <c r="H8" s="601">
        <v>12</v>
      </c>
      <c r="I8" s="110">
        <f t="shared" si="4"/>
        <v>29</v>
      </c>
      <c r="J8" s="110">
        <v>29</v>
      </c>
      <c r="K8" s="601">
        <v>0</v>
      </c>
      <c r="L8" s="601">
        <v>1</v>
      </c>
      <c r="M8" s="110">
        <f t="shared" si="5"/>
        <v>1</v>
      </c>
      <c r="N8" s="601">
        <v>0</v>
      </c>
      <c r="O8" s="601">
        <v>0</v>
      </c>
      <c r="P8" s="110">
        <f t="shared" si="6"/>
        <v>0</v>
      </c>
      <c r="Q8" s="601">
        <v>0</v>
      </c>
      <c r="R8" s="601">
        <v>0</v>
      </c>
      <c r="S8" s="110">
        <f>SUM(S6:S7)</f>
        <v>9</v>
      </c>
      <c r="T8" s="110"/>
      <c r="U8" s="110"/>
      <c r="V8" s="110"/>
      <c r="W8" s="107">
        <f t="shared" si="7"/>
        <v>0.48333333333333334</v>
      </c>
      <c r="X8" s="108">
        <v>10</v>
      </c>
      <c r="Y8" s="107"/>
      <c r="Z8" s="107">
        <f t="shared" si="8"/>
        <v>0.37179487179487181</v>
      </c>
      <c r="AA8" s="108"/>
      <c r="AB8" s="108"/>
      <c r="AC8" s="108"/>
      <c r="AD8" s="601"/>
      <c r="AE8" s="601">
        <v>13</v>
      </c>
      <c r="AF8" s="601">
        <v>24</v>
      </c>
      <c r="AG8" s="601">
        <f t="shared" si="9"/>
        <v>13</v>
      </c>
      <c r="AH8" s="601">
        <f t="shared" si="10"/>
        <v>24</v>
      </c>
      <c r="AI8" s="108">
        <f t="shared" si="11"/>
        <v>37</v>
      </c>
      <c r="AJ8" s="108"/>
      <c r="AK8" s="110"/>
      <c r="AL8" s="110"/>
      <c r="AM8" s="601"/>
      <c r="AN8" s="601">
        <v>14</v>
      </c>
      <c r="AO8" s="601">
        <v>32</v>
      </c>
      <c r="AP8" s="601">
        <f t="shared" si="12"/>
        <v>14</v>
      </c>
      <c r="AQ8" s="601">
        <f t="shared" si="13"/>
        <v>32</v>
      </c>
      <c r="AR8" s="108">
        <f t="shared" si="14"/>
        <v>46</v>
      </c>
      <c r="AS8" s="110">
        <f t="shared" si="15"/>
        <v>44</v>
      </c>
      <c r="AT8" s="110">
        <f t="shared" si="16"/>
        <v>69</v>
      </c>
      <c r="AU8" s="110">
        <v>44</v>
      </c>
      <c r="AV8" s="110">
        <v>69</v>
      </c>
      <c r="AW8" s="110">
        <f t="shared" si="17"/>
        <v>113</v>
      </c>
      <c r="AX8" s="107">
        <f t="shared" si="18"/>
        <v>0.43939393939393939</v>
      </c>
      <c r="AY8" s="107">
        <v>0.44</v>
      </c>
      <c r="AZ8" s="107">
        <f t="shared" si="19"/>
        <v>0.80714285714285716</v>
      </c>
      <c r="BA8" s="107">
        <f t="shared" si="1"/>
        <v>0.65478777343184114</v>
      </c>
      <c r="BB8" s="107">
        <f t="shared" si="2"/>
        <v>8.8495575221238937E-2</v>
      </c>
      <c r="BC8" s="112">
        <f t="shared" si="20"/>
        <v>29.743589743589745</v>
      </c>
      <c r="BD8" s="113">
        <f t="shared" si="3"/>
        <v>115.8974358974359</v>
      </c>
      <c r="BE8" s="113"/>
      <c r="BF8" s="261">
        <v>3</v>
      </c>
      <c r="BG8" s="99" t="s">
        <v>52</v>
      </c>
      <c r="BH8" s="100" t="s">
        <v>53</v>
      </c>
      <c r="BI8" s="226"/>
      <c r="BJ8" s="226"/>
      <c r="BK8" s="601">
        <v>4</v>
      </c>
      <c r="BL8" s="601">
        <v>5</v>
      </c>
      <c r="BM8" s="601">
        <v>8</v>
      </c>
      <c r="BN8" s="601">
        <v>2</v>
      </c>
      <c r="BO8" s="601">
        <v>0</v>
      </c>
      <c r="BP8" s="601">
        <v>1</v>
      </c>
      <c r="BQ8" s="601">
        <v>1</v>
      </c>
      <c r="BR8" s="601">
        <v>2</v>
      </c>
      <c r="BS8" s="601">
        <v>2</v>
      </c>
      <c r="BT8" s="601">
        <v>1</v>
      </c>
      <c r="BU8" s="601">
        <v>1</v>
      </c>
      <c r="BV8" s="601">
        <v>1</v>
      </c>
      <c r="BW8" s="601">
        <v>1</v>
      </c>
      <c r="BX8" s="601">
        <v>0</v>
      </c>
      <c r="BY8" s="110">
        <f t="shared" si="21"/>
        <v>17</v>
      </c>
      <c r="BZ8" s="110">
        <f t="shared" si="22"/>
        <v>12</v>
      </c>
      <c r="CA8" s="625">
        <f t="shared" si="23"/>
        <v>29</v>
      </c>
    </row>
    <row r="9" spans="1:79" ht="50.1" customHeight="1">
      <c r="A9" s="263">
        <v>4</v>
      </c>
      <c r="B9" s="99" t="s">
        <v>54</v>
      </c>
      <c r="C9" s="100" t="s">
        <v>55</v>
      </c>
      <c r="D9" s="72">
        <v>150000</v>
      </c>
      <c r="E9" s="71">
        <f>(F9*2)+F9*0.25</f>
        <v>112.5</v>
      </c>
      <c r="F9" s="72">
        <v>50</v>
      </c>
      <c r="G9" s="601">
        <v>12</v>
      </c>
      <c r="H9" s="601">
        <v>10</v>
      </c>
      <c r="I9" s="110">
        <f t="shared" si="4"/>
        <v>22</v>
      </c>
      <c r="J9" s="110">
        <v>22</v>
      </c>
      <c r="K9" s="601">
        <v>0</v>
      </c>
      <c r="L9" s="601">
        <v>0</v>
      </c>
      <c r="M9" s="110">
        <f t="shared" si="5"/>
        <v>0</v>
      </c>
      <c r="N9" s="601">
        <v>0</v>
      </c>
      <c r="O9" s="601">
        <v>0</v>
      </c>
      <c r="P9" s="110">
        <f t="shared" si="6"/>
        <v>0</v>
      </c>
      <c r="Q9" s="601">
        <v>1</v>
      </c>
      <c r="R9" s="601">
        <v>0</v>
      </c>
      <c r="S9" s="110">
        <f t="shared" si="0"/>
        <v>1</v>
      </c>
      <c r="T9" s="110"/>
      <c r="U9" s="110"/>
      <c r="V9" s="110"/>
      <c r="W9" s="107">
        <f t="shared" si="7"/>
        <v>0.44</v>
      </c>
      <c r="X9" s="108">
        <v>1</v>
      </c>
      <c r="Y9" s="107"/>
      <c r="Z9" s="107">
        <f t="shared" si="8"/>
        <v>0.73333333333333328</v>
      </c>
      <c r="AA9" s="108"/>
      <c r="AB9" s="108"/>
      <c r="AC9" s="108"/>
      <c r="AD9" s="601"/>
      <c r="AE9" s="601">
        <v>2</v>
      </c>
      <c r="AF9" s="601">
        <v>5</v>
      </c>
      <c r="AG9" s="601">
        <f t="shared" si="9"/>
        <v>2</v>
      </c>
      <c r="AH9" s="601">
        <f t="shared" si="10"/>
        <v>5</v>
      </c>
      <c r="AI9" s="108">
        <f t="shared" si="11"/>
        <v>7</v>
      </c>
      <c r="AJ9" s="108"/>
      <c r="AK9" s="110"/>
      <c r="AL9" s="110"/>
      <c r="AM9" s="601"/>
      <c r="AN9" s="601">
        <v>9</v>
      </c>
      <c r="AO9" s="601">
        <v>8</v>
      </c>
      <c r="AP9" s="601">
        <f t="shared" si="12"/>
        <v>9</v>
      </c>
      <c r="AQ9" s="601">
        <f t="shared" si="13"/>
        <v>8</v>
      </c>
      <c r="AR9" s="108">
        <f t="shared" si="14"/>
        <v>17</v>
      </c>
      <c r="AS9" s="110">
        <f t="shared" si="15"/>
        <v>24</v>
      </c>
      <c r="AT9" s="110">
        <f t="shared" si="16"/>
        <v>23</v>
      </c>
      <c r="AU9" s="110">
        <v>24</v>
      </c>
      <c r="AV9" s="110">
        <v>23</v>
      </c>
      <c r="AW9" s="110">
        <f t="shared" si="17"/>
        <v>47</v>
      </c>
      <c r="AX9" s="107">
        <f t="shared" si="18"/>
        <v>0.75862068965517238</v>
      </c>
      <c r="AY9" s="107">
        <v>0.76</v>
      </c>
      <c r="AZ9" s="107">
        <f t="shared" si="19"/>
        <v>0.4177777777777778</v>
      </c>
      <c r="BA9" s="107">
        <f t="shared" si="1"/>
        <v>0.70809792843691144</v>
      </c>
      <c r="BB9" s="107">
        <f t="shared" si="2"/>
        <v>2.1276595744680851E-2</v>
      </c>
      <c r="BC9" s="112">
        <f t="shared" si="20"/>
        <v>58.666666666666664</v>
      </c>
      <c r="BD9" s="113">
        <f t="shared" si="3"/>
        <v>125.33333333333333</v>
      </c>
      <c r="BE9" s="113"/>
      <c r="BF9" s="261">
        <v>4</v>
      </c>
      <c r="BG9" s="99" t="s">
        <v>54</v>
      </c>
      <c r="BH9" s="100" t="s">
        <v>55</v>
      </c>
      <c r="BI9" s="226"/>
      <c r="BJ9" s="226"/>
      <c r="BK9" s="601">
        <v>0</v>
      </c>
      <c r="BL9" s="601">
        <v>0</v>
      </c>
      <c r="BM9" s="601">
        <v>6</v>
      </c>
      <c r="BN9" s="601">
        <v>4</v>
      </c>
      <c r="BO9" s="601">
        <v>0</v>
      </c>
      <c r="BP9" s="601">
        <v>4</v>
      </c>
      <c r="BQ9" s="601">
        <v>0</v>
      </c>
      <c r="BR9" s="601">
        <v>0</v>
      </c>
      <c r="BS9" s="601">
        <v>1</v>
      </c>
      <c r="BT9" s="601">
        <v>1</v>
      </c>
      <c r="BU9" s="601">
        <v>3</v>
      </c>
      <c r="BV9" s="601">
        <v>1</v>
      </c>
      <c r="BW9" s="601">
        <v>2</v>
      </c>
      <c r="BX9" s="601">
        <v>0</v>
      </c>
      <c r="BY9" s="110">
        <f t="shared" si="21"/>
        <v>12</v>
      </c>
      <c r="BZ9" s="110">
        <f t="shared" si="22"/>
        <v>10</v>
      </c>
      <c r="CA9" s="625">
        <f t="shared" si="23"/>
        <v>22</v>
      </c>
    </row>
    <row r="10" spans="1:79" ht="50.1" customHeight="1">
      <c r="A10" s="263">
        <v>5</v>
      </c>
      <c r="B10" s="99" t="s">
        <v>56</v>
      </c>
      <c r="C10" s="100" t="s">
        <v>57</v>
      </c>
      <c r="D10" s="72">
        <v>150000</v>
      </c>
      <c r="E10" s="71">
        <f>(F10*2)+F10*0.25</f>
        <v>112.5</v>
      </c>
      <c r="F10" s="72">
        <v>50</v>
      </c>
      <c r="G10" s="601">
        <v>24</v>
      </c>
      <c r="H10" s="601">
        <v>25</v>
      </c>
      <c r="I10" s="110">
        <f t="shared" si="4"/>
        <v>49</v>
      </c>
      <c r="J10" s="110">
        <v>49</v>
      </c>
      <c r="K10" s="601">
        <v>3</v>
      </c>
      <c r="L10" s="601">
        <v>3</v>
      </c>
      <c r="M10" s="110">
        <f t="shared" si="5"/>
        <v>6</v>
      </c>
      <c r="N10" s="601">
        <v>0</v>
      </c>
      <c r="O10" s="601">
        <v>0</v>
      </c>
      <c r="P10" s="110">
        <f t="shared" si="6"/>
        <v>0</v>
      </c>
      <c r="Q10" s="601">
        <v>4</v>
      </c>
      <c r="R10" s="601">
        <v>1</v>
      </c>
      <c r="S10" s="110">
        <f t="shared" si="0"/>
        <v>5</v>
      </c>
      <c r="T10" s="110"/>
      <c r="U10" s="110"/>
      <c r="V10" s="110"/>
      <c r="W10" s="107">
        <f t="shared" si="7"/>
        <v>0.98</v>
      </c>
      <c r="X10" s="108">
        <v>11</v>
      </c>
      <c r="Y10" s="107"/>
      <c r="Z10" s="107">
        <f t="shared" si="8"/>
        <v>1.6333333333333333</v>
      </c>
      <c r="AA10" s="108"/>
      <c r="AB10" s="108"/>
      <c r="AC10" s="108"/>
      <c r="AD10" s="601"/>
      <c r="AE10" s="601">
        <v>6</v>
      </c>
      <c r="AF10" s="601">
        <v>8</v>
      </c>
      <c r="AG10" s="601">
        <f t="shared" si="9"/>
        <v>6</v>
      </c>
      <c r="AH10" s="601">
        <f t="shared" si="10"/>
        <v>8</v>
      </c>
      <c r="AI10" s="108">
        <f t="shared" si="11"/>
        <v>14</v>
      </c>
      <c r="AJ10" s="108"/>
      <c r="AK10" s="110"/>
      <c r="AL10" s="110"/>
      <c r="AM10" s="601"/>
      <c r="AN10" s="601">
        <v>12</v>
      </c>
      <c r="AO10" s="601">
        <v>21</v>
      </c>
      <c r="AP10" s="601">
        <f t="shared" si="12"/>
        <v>12</v>
      </c>
      <c r="AQ10" s="601">
        <f t="shared" si="13"/>
        <v>21</v>
      </c>
      <c r="AR10" s="108">
        <f t="shared" si="14"/>
        <v>33</v>
      </c>
      <c r="AS10" s="110">
        <f t="shared" si="15"/>
        <v>49</v>
      </c>
      <c r="AT10" s="110">
        <f t="shared" si="16"/>
        <v>58</v>
      </c>
      <c r="AU10" s="110">
        <v>49</v>
      </c>
      <c r="AV10" s="110">
        <v>58</v>
      </c>
      <c r="AW10" s="110">
        <f t="shared" si="17"/>
        <v>107</v>
      </c>
      <c r="AX10" s="107">
        <f t="shared" si="18"/>
        <v>0.77777777777777779</v>
      </c>
      <c r="AY10" s="107">
        <v>0.78</v>
      </c>
      <c r="AZ10" s="107">
        <f t="shared" si="19"/>
        <v>0.95111111111111113</v>
      </c>
      <c r="BA10" s="107">
        <f t="shared" si="1"/>
        <v>1.6120527306967984</v>
      </c>
      <c r="BB10" s="107">
        <f t="shared" si="2"/>
        <v>0.10280373831775701</v>
      </c>
      <c r="BC10" s="112">
        <f t="shared" si="20"/>
        <v>130.66666666666666</v>
      </c>
      <c r="BD10" s="113">
        <f t="shared" si="3"/>
        <v>285.33333333333331</v>
      </c>
      <c r="BE10" s="113"/>
      <c r="BF10" s="261">
        <v>5</v>
      </c>
      <c r="BG10" s="99" t="s">
        <v>56</v>
      </c>
      <c r="BH10" s="100" t="s">
        <v>57</v>
      </c>
      <c r="BI10" s="226"/>
      <c r="BJ10" s="226"/>
      <c r="BK10" s="601">
        <v>0</v>
      </c>
      <c r="BL10" s="601">
        <v>1</v>
      </c>
      <c r="BM10" s="601">
        <v>8</v>
      </c>
      <c r="BN10" s="601">
        <v>14</v>
      </c>
      <c r="BO10" s="601">
        <v>6</v>
      </c>
      <c r="BP10" s="601">
        <v>6</v>
      </c>
      <c r="BQ10" s="601">
        <v>3</v>
      </c>
      <c r="BR10" s="601">
        <v>1</v>
      </c>
      <c r="BS10" s="601">
        <v>2</v>
      </c>
      <c r="BT10" s="601">
        <v>1</v>
      </c>
      <c r="BU10" s="601">
        <v>2</v>
      </c>
      <c r="BV10" s="601">
        <v>1</v>
      </c>
      <c r="BW10" s="601">
        <v>3</v>
      </c>
      <c r="BX10" s="601">
        <v>1</v>
      </c>
      <c r="BY10" s="110">
        <f t="shared" si="21"/>
        <v>24</v>
      </c>
      <c r="BZ10" s="110">
        <f t="shared" si="22"/>
        <v>25</v>
      </c>
      <c r="CA10" s="625">
        <f t="shared" si="23"/>
        <v>49</v>
      </c>
    </row>
    <row r="11" spans="1:79" ht="50.1" customHeight="1">
      <c r="A11" s="263">
        <v>6</v>
      </c>
      <c r="B11" s="99" t="s">
        <v>58</v>
      </c>
      <c r="C11" s="100" t="s">
        <v>57</v>
      </c>
      <c r="D11" s="72">
        <v>70000</v>
      </c>
      <c r="E11" s="71">
        <f>(F11*2)+F11*0.25</f>
        <v>45</v>
      </c>
      <c r="F11" s="72">
        <v>20</v>
      </c>
      <c r="G11" s="601">
        <v>4</v>
      </c>
      <c r="H11" s="601">
        <v>0</v>
      </c>
      <c r="I11" s="110">
        <f t="shared" si="4"/>
        <v>4</v>
      </c>
      <c r="J11" s="110">
        <v>4</v>
      </c>
      <c r="K11" s="601">
        <v>1</v>
      </c>
      <c r="L11" s="601">
        <v>0</v>
      </c>
      <c r="M11" s="110">
        <f t="shared" si="5"/>
        <v>1</v>
      </c>
      <c r="N11" s="601">
        <v>0</v>
      </c>
      <c r="O11" s="601">
        <v>0</v>
      </c>
      <c r="P11" s="110">
        <f t="shared" si="6"/>
        <v>0</v>
      </c>
      <c r="Q11" s="601">
        <v>1</v>
      </c>
      <c r="R11" s="601">
        <v>0</v>
      </c>
      <c r="S11" s="110">
        <f>SUM(S9:S10)</f>
        <v>6</v>
      </c>
      <c r="T11" s="110"/>
      <c r="U11" s="110"/>
      <c r="V11" s="110"/>
      <c r="W11" s="107">
        <f t="shared" si="7"/>
        <v>0.2</v>
      </c>
      <c r="X11" s="108">
        <v>7</v>
      </c>
      <c r="Y11" s="107"/>
      <c r="Z11" s="107">
        <f t="shared" si="8"/>
        <v>0.2857142857142857</v>
      </c>
      <c r="AA11" s="108"/>
      <c r="AB11" s="108"/>
      <c r="AC11" s="108"/>
      <c r="AD11" s="601"/>
      <c r="AE11" s="601">
        <v>2</v>
      </c>
      <c r="AF11" s="601">
        <v>1</v>
      </c>
      <c r="AG11" s="601">
        <f t="shared" si="9"/>
        <v>2</v>
      </c>
      <c r="AH11" s="601">
        <f t="shared" si="10"/>
        <v>1</v>
      </c>
      <c r="AI11" s="108">
        <f t="shared" si="11"/>
        <v>3</v>
      </c>
      <c r="AJ11" s="108"/>
      <c r="AK11" s="110"/>
      <c r="AL11" s="110"/>
      <c r="AM11" s="601"/>
      <c r="AN11" s="601">
        <v>0</v>
      </c>
      <c r="AO11" s="601">
        <v>1</v>
      </c>
      <c r="AP11" s="601">
        <f t="shared" si="12"/>
        <v>0</v>
      </c>
      <c r="AQ11" s="601">
        <f t="shared" si="13"/>
        <v>1</v>
      </c>
      <c r="AR11" s="108">
        <f t="shared" si="14"/>
        <v>1</v>
      </c>
      <c r="AS11" s="110">
        <f t="shared" si="15"/>
        <v>8</v>
      </c>
      <c r="AT11" s="110">
        <f t="shared" si="16"/>
        <v>2</v>
      </c>
      <c r="AU11" s="110">
        <v>8</v>
      </c>
      <c r="AV11" s="110">
        <v>2</v>
      </c>
      <c r="AW11" s="110">
        <f t="shared" si="17"/>
        <v>10</v>
      </c>
      <c r="AX11" s="107">
        <f t="shared" si="18"/>
        <v>0.5714285714285714</v>
      </c>
      <c r="AY11" s="107">
        <v>0.56999999999999995</v>
      </c>
      <c r="AZ11" s="107">
        <f t="shared" si="19"/>
        <v>0.22222222222222221</v>
      </c>
      <c r="BA11" s="107">
        <f t="shared" si="1"/>
        <v>0.32284100080710249</v>
      </c>
      <c r="BB11" s="107">
        <f t="shared" si="2"/>
        <v>0.7</v>
      </c>
      <c r="BC11" s="112">
        <f t="shared" si="20"/>
        <v>22.857142857142858</v>
      </c>
      <c r="BD11" s="113">
        <f t="shared" si="3"/>
        <v>57.142857142857146</v>
      </c>
      <c r="BE11" s="113"/>
      <c r="BF11" s="261">
        <v>6</v>
      </c>
      <c r="BG11" s="99" t="s">
        <v>58</v>
      </c>
      <c r="BH11" s="100" t="s">
        <v>57</v>
      </c>
      <c r="BI11" s="226"/>
      <c r="BJ11" s="226"/>
      <c r="BK11" s="601">
        <v>0</v>
      </c>
      <c r="BL11" s="601">
        <v>0</v>
      </c>
      <c r="BM11" s="601">
        <v>0</v>
      </c>
      <c r="BN11" s="601">
        <v>0</v>
      </c>
      <c r="BO11" s="601">
        <v>0</v>
      </c>
      <c r="BP11" s="601">
        <v>0</v>
      </c>
      <c r="BQ11" s="601">
        <v>3</v>
      </c>
      <c r="BR11" s="601">
        <v>0</v>
      </c>
      <c r="BS11" s="601">
        <v>1</v>
      </c>
      <c r="BT11" s="601">
        <v>0</v>
      </c>
      <c r="BU11" s="601">
        <v>0</v>
      </c>
      <c r="BV11" s="601">
        <v>0</v>
      </c>
      <c r="BW11" s="601">
        <v>0</v>
      </c>
      <c r="BX11" s="601">
        <v>0</v>
      </c>
      <c r="BY11" s="110">
        <f t="shared" si="21"/>
        <v>4</v>
      </c>
      <c r="BZ11" s="110">
        <f t="shared" si="22"/>
        <v>0</v>
      </c>
      <c r="CA11" s="625">
        <f t="shared" si="23"/>
        <v>4</v>
      </c>
    </row>
    <row r="12" spans="1:79" ht="50.1" customHeight="1">
      <c r="A12" s="263">
        <v>7</v>
      </c>
      <c r="B12" s="99" t="s">
        <v>59</v>
      </c>
      <c r="C12" s="100" t="s">
        <v>57</v>
      </c>
      <c r="D12" s="72">
        <v>50000</v>
      </c>
      <c r="E12" s="71">
        <f>(F12*2)+F12*0.25</f>
        <v>56.25</v>
      </c>
      <c r="F12" s="72">
        <v>25</v>
      </c>
      <c r="G12" s="601">
        <v>2</v>
      </c>
      <c r="H12" s="601">
        <v>6</v>
      </c>
      <c r="I12" s="110">
        <f t="shared" si="4"/>
        <v>8</v>
      </c>
      <c r="J12" s="110">
        <v>8</v>
      </c>
      <c r="K12" s="601">
        <v>0</v>
      </c>
      <c r="L12" s="601">
        <v>0</v>
      </c>
      <c r="M12" s="110">
        <v>0</v>
      </c>
      <c r="N12" s="601">
        <v>0</v>
      </c>
      <c r="O12" s="601">
        <v>0</v>
      </c>
      <c r="P12" s="110">
        <f t="shared" si="6"/>
        <v>0</v>
      </c>
      <c r="Q12" s="601">
        <v>0</v>
      </c>
      <c r="R12" s="601">
        <v>0</v>
      </c>
      <c r="S12" s="110">
        <f t="shared" si="0"/>
        <v>0</v>
      </c>
      <c r="T12" s="110"/>
      <c r="U12" s="110"/>
      <c r="V12" s="110">
        <v>0</v>
      </c>
      <c r="W12" s="107">
        <f t="shared" si="7"/>
        <v>0.32</v>
      </c>
      <c r="X12" s="108">
        <v>0</v>
      </c>
      <c r="Y12" s="107"/>
      <c r="Z12" s="107">
        <f t="shared" si="8"/>
        <v>0.8</v>
      </c>
      <c r="AA12" s="108"/>
      <c r="AB12" s="108"/>
      <c r="AC12" s="108"/>
      <c r="AD12" s="601"/>
      <c r="AE12" s="601">
        <v>0</v>
      </c>
      <c r="AF12" s="601">
        <v>6</v>
      </c>
      <c r="AG12" s="601">
        <f t="shared" si="9"/>
        <v>0</v>
      </c>
      <c r="AH12" s="601">
        <f t="shared" si="10"/>
        <v>6</v>
      </c>
      <c r="AI12" s="108">
        <f t="shared" si="11"/>
        <v>6</v>
      </c>
      <c r="AJ12" s="108"/>
      <c r="AK12" s="110"/>
      <c r="AL12" s="110"/>
      <c r="AM12" s="601"/>
      <c r="AN12" s="601">
        <v>6</v>
      </c>
      <c r="AO12" s="601">
        <v>4</v>
      </c>
      <c r="AP12" s="601">
        <f t="shared" si="12"/>
        <v>6</v>
      </c>
      <c r="AQ12" s="601">
        <f t="shared" si="13"/>
        <v>4</v>
      </c>
      <c r="AR12" s="108">
        <f t="shared" si="14"/>
        <v>10</v>
      </c>
      <c r="AS12" s="110">
        <f t="shared" si="15"/>
        <v>8</v>
      </c>
      <c r="AT12" s="110">
        <f t="shared" si="16"/>
        <v>16</v>
      </c>
      <c r="AU12" s="110">
        <v>8</v>
      </c>
      <c r="AV12" s="110">
        <v>16</v>
      </c>
      <c r="AW12" s="110">
        <f t="shared" si="17"/>
        <v>24</v>
      </c>
      <c r="AX12" s="107">
        <f t="shared" si="18"/>
        <v>0.5714285714285714</v>
      </c>
      <c r="AY12" s="107">
        <v>0.56999999999999995</v>
      </c>
      <c r="AZ12" s="107">
        <f t="shared" si="19"/>
        <v>0.42666666666666669</v>
      </c>
      <c r="BA12" s="107">
        <f t="shared" si="1"/>
        <v>1.0847457627118644</v>
      </c>
      <c r="BB12" s="107">
        <f t="shared" si="2"/>
        <v>0</v>
      </c>
      <c r="BC12" s="112">
        <f t="shared" si="20"/>
        <v>64</v>
      </c>
      <c r="BD12" s="113">
        <f t="shared" si="3"/>
        <v>192</v>
      </c>
      <c r="BE12" s="113"/>
      <c r="BF12" s="261">
        <v>7</v>
      </c>
      <c r="BG12" s="99" t="s">
        <v>59</v>
      </c>
      <c r="BH12" s="100" t="s">
        <v>57</v>
      </c>
      <c r="BI12" s="226">
        <v>0</v>
      </c>
      <c r="BJ12" s="226">
        <v>0</v>
      </c>
      <c r="BK12" s="601">
        <v>0</v>
      </c>
      <c r="BL12" s="601">
        <v>1</v>
      </c>
      <c r="BM12" s="601">
        <v>0</v>
      </c>
      <c r="BN12" s="601">
        <v>0</v>
      </c>
      <c r="BO12" s="601">
        <v>0</v>
      </c>
      <c r="BP12" s="601">
        <v>3</v>
      </c>
      <c r="BQ12" s="601">
        <v>0</v>
      </c>
      <c r="BR12" s="601">
        <v>1</v>
      </c>
      <c r="BS12" s="601">
        <v>1</v>
      </c>
      <c r="BT12" s="601">
        <v>1</v>
      </c>
      <c r="BU12" s="601">
        <v>1</v>
      </c>
      <c r="BV12" s="601">
        <v>0</v>
      </c>
      <c r="BW12" s="601">
        <v>0</v>
      </c>
      <c r="BX12" s="601">
        <v>0</v>
      </c>
      <c r="BY12" s="110">
        <f t="shared" si="21"/>
        <v>2</v>
      </c>
      <c r="BZ12" s="110">
        <f t="shared" si="22"/>
        <v>6</v>
      </c>
      <c r="CA12" s="625">
        <f t="shared" si="23"/>
        <v>8</v>
      </c>
    </row>
    <row r="13" spans="1:79" ht="50.1" customHeight="1">
      <c r="A13" s="263">
        <v>8</v>
      </c>
      <c r="B13" s="99" t="s">
        <v>60</v>
      </c>
      <c r="C13" s="100" t="s">
        <v>57</v>
      </c>
      <c r="D13" s="72">
        <v>100000</v>
      </c>
      <c r="E13" s="71">
        <f>(F13*2)+F13*0.25</f>
        <v>112.5</v>
      </c>
      <c r="F13" s="72">
        <v>50</v>
      </c>
      <c r="G13" s="601">
        <v>18</v>
      </c>
      <c r="H13" s="601">
        <v>18</v>
      </c>
      <c r="I13" s="110">
        <f t="shared" si="4"/>
        <v>36</v>
      </c>
      <c r="J13" s="110">
        <v>36</v>
      </c>
      <c r="K13" s="601">
        <v>0</v>
      </c>
      <c r="L13" s="601">
        <v>2</v>
      </c>
      <c r="M13" s="110">
        <f t="shared" si="5"/>
        <v>2</v>
      </c>
      <c r="N13" s="601">
        <v>1</v>
      </c>
      <c r="O13" s="601">
        <v>0</v>
      </c>
      <c r="P13" s="110">
        <f t="shared" si="6"/>
        <v>1</v>
      </c>
      <c r="Q13" s="601">
        <v>4</v>
      </c>
      <c r="R13" s="601">
        <v>0</v>
      </c>
      <c r="S13" s="110">
        <f t="shared" si="0"/>
        <v>4</v>
      </c>
      <c r="T13" s="110"/>
      <c r="U13" s="110"/>
      <c r="V13" s="110"/>
      <c r="W13" s="107">
        <f t="shared" si="7"/>
        <v>0.72</v>
      </c>
      <c r="X13" s="108">
        <v>7</v>
      </c>
      <c r="Y13" s="107"/>
      <c r="Z13" s="107">
        <f t="shared" si="8"/>
        <v>1.8</v>
      </c>
      <c r="AA13" s="108"/>
      <c r="AB13" s="108"/>
      <c r="AC13" s="108"/>
      <c r="AD13" s="601"/>
      <c r="AE13" s="601">
        <v>0</v>
      </c>
      <c r="AF13" s="601">
        <v>3</v>
      </c>
      <c r="AG13" s="601">
        <f t="shared" si="9"/>
        <v>0</v>
      </c>
      <c r="AH13" s="601">
        <f t="shared" si="10"/>
        <v>3</v>
      </c>
      <c r="AI13" s="108">
        <f t="shared" si="11"/>
        <v>3</v>
      </c>
      <c r="AJ13" s="108"/>
      <c r="AK13" s="110"/>
      <c r="AL13" s="110"/>
      <c r="AM13" s="601"/>
      <c r="AN13" s="601">
        <v>4</v>
      </c>
      <c r="AO13" s="601">
        <v>6</v>
      </c>
      <c r="AP13" s="601">
        <f t="shared" si="12"/>
        <v>4</v>
      </c>
      <c r="AQ13" s="601">
        <f t="shared" si="13"/>
        <v>6</v>
      </c>
      <c r="AR13" s="108">
        <f t="shared" si="14"/>
        <v>10</v>
      </c>
      <c r="AS13" s="110">
        <f t="shared" si="15"/>
        <v>27</v>
      </c>
      <c r="AT13" s="110">
        <f t="shared" si="16"/>
        <v>29</v>
      </c>
      <c r="AU13" s="110">
        <v>27</v>
      </c>
      <c r="AV13" s="110">
        <v>29</v>
      </c>
      <c r="AW13" s="110">
        <f t="shared" si="17"/>
        <v>56</v>
      </c>
      <c r="AX13" s="107">
        <f t="shared" si="18"/>
        <v>0.92307692307692313</v>
      </c>
      <c r="AY13" s="107">
        <v>0.92</v>
      </c>
      <c r="AZ13" s="107">
        <f t="shared" si="19"/>
        <v>0.49777777777777776</v>
      </c>
      <c r="BA13" s="107">
        <f t="shared" si="1"/>
        <v>1.2655367231638419</v>
      </c>
      <c r="BB13" s="107">
        <f t="shared" si="2"/>
        <v>0.125</v>
      </c>
      <c r="BC13" s="112">
        <f t="shared" si="20"/>
        <v>144</v>
      </c>
      <c r="BD13" s="113">
        <f t="shared" si="3"/>
        <v>223.99999999999997</v>
      </c>
      <c r="BE13" s="113"/>
      <c r="BF13" s="261">
        <v>8</v>
      </c>
      <c r="BG13" s="99" t="s">
        <v>60</v>
      </c>
      <c r="BH13" s="100" t="s">
        <v>57</v>
      </c>
      <c r="BI13" s="226"/>
      <c r="BJ13" s="226"/>
      <c r="BK13" s="601">
        <v>0</v>
      </c>
      <c r="BL13" s="601">
        <v>2</v>
      </c>
      <c r="BM13" s="601">
        <v>6</v>
      </c>
      <c r="BN13" s="601">
        <v>6</v>
      </c>
      <c r="BO13" s="601">
        <v>2</v>
      </c>
      <c r="BP13" s="601">
        <v>4</v>
      </c>
      <c r="BQ13" s="601">
        <v>4</v>
      </c>
      <c r="BR13" s="601">
        <v>1</v>
      </c>
      <c r="BS13" s="601">
        <v>2</v>
      </c>
      <c r="BT13" s="601">
        <v>3</v>
      </c>
      <c r="BU13" s="601">
        <v>3</v>
      </c>
      <c r="BV13" s="601">
        <v>1</v>
      </c>
      <c r="BW13" s="601">
        <v>1</v>
      </c>
      <c r="BX13" s="601">
        <v>1</v>
      </c>
      <c r="BY13" s="110">
        <f t="shared" si="21"/>
        <v>18</v>
      </c>
      <c r="BZ13" s="110">
        <f t="shared" si="22"/>
        <v>18</v>
      </c>
      <c r="CA13" s="625">
        <f t="shared" si="23"/>
        <v>36</v>
      </c>
    </row>
    <row r="14" spans="1:79" ht="50.1" customHeight="1" thickBot="1">
      <c r="A14" s="730" t="s">
        <v>102</v>
      </c>
      <c r="B14" s="731"/>
      <c r="C14" s="626" t="s">
        <v>103</v>
      </c>
      <c r="D14" s="627">
        <f>D6+D7+D8+D9+D10+D11+D12+D13</f>
        <v>1410000</v>
      </c>
      <c r="E14" s="628">
        <f t="shared" ref="E14:R14" si="24">SUM(E6:E13)</f>
        <v>841.75</v>
      </c>
      <c r="F14" s="627">
        <f t="shared" si="24"/>
        <v>365</v>
      </c>
      <c r="G14" s="619">
        <f t="shared" si="24"/>
        <v>108</v>
      </c>
      <c r="H14" s="619">
        <f t="shared" si="24"/>
        <v>118</v>
      </c>
      <c r="I14" s="620">
        <f t="shared" si="24"/>
        <v>226</v>
      </c>
      <c r="J14" s="620">
        <v>226</v>
      </c>
      <c r="K14" s="619">
        <f t="shared" si="24"/>
        <v>11</v>
      </c>
      <c r="L14" s="619">
        <f t="shared" si="24"/>
        <v>10</v>
      </c>
      <c r="M14" s="620">
        <f t="shared" si="24"/>
        <v>21</v>
      </c>
      <c r="N14" s="619">
        <f t="shared" si="24"/>
        <v>1</v>
      </c>
      <c r="O14" s="619">
        <f t="shared" si="24"/>
        <v>1</v>
      </c>
      <c r="P14" s="620">
        <f t="shared" si="24"/>
        <v>2</v>
      </c>
      <c r="Q14" s="619">
        <f t="shared" si="24"/>
        <v>15</v>
      </c>
      <c r="R14" s="619">
        <f t="shared" si="24"/>
        <v>5</v>
      </c>
      <c r="S14" s="620">
        <f>SUM(S12:S13)</f>
        <v>4</v>
      </c>
      <c r="T14" s="620">
        <f>SUM(T6:T13)</f>
        <v>0</v>
      </c>
      <c r="U14" s="620">
        <f>SUM(U6:U13)</f>
        <v>0</v>
      </c>
      <c r="V14" s="620">
        <f>SUM(V6:V13)</f>
        <v>0</v>
      </c>
      <c r="W14" s="629">
        <f t="shared" si="7"/>
        <v>0.61917808219178083</v>
      </c>
      <c r="X14" s="630">
        <v>27</v>
      </c>
      <c r="Y14" s="629"/>
      <c r="Z14" s="631">
        <f>I14*4/(D14*0.0008)</f>
        <v>0.8014184397163121</v>
      </c>
      <c r="AA14" s="632">
        <f t="shared" ref="AA14:AI14" si="25">SUM(AA6:AA13)</f>
        <v>0</v>
      </c>
      <c r="AB14" s="619">
        <f t="shared" si="25"/>
        <v>0</v>
      </c>
      <c r="AC14" s="619">
        <f t="shared" si="25"/>
        <v>0</v>
      </c>
      <c r="AD14" s="619">
        <f t="shared" si="25"/>
        <v>0</v>
      </c>
      <c r="AE14" s="619">
        <f t="shared" si="25"/>
        <v>63</v>
      </c>
      <c r="AF14" s="619">
        <f t="shared" si="25"/>
        <v>110</v>
      </c>
      <c r="AG14" s="633">
        <f t="shared" si="25"/>
        <v>63</v>
      </c>
      <c r="AH14" s="633">
        <f t="shared" si="25"/>
        <v>110</v>
      </c>
      <c r="AI14" s="634">
        <f t="shared" si="25"/>
        <v>173</v>
      </c>
      <c r="AJ14" s="619"/>
      <c r="AK14" s="619"/>
      <c r="AL14" s="619"/>
      <c r="AM14" s="619"/>
      <c r="AN14" s="619">
        <f t="shared" ref="AN14:AW14" si="26">SUM(AN6:AN13)</f>
        <v>66</v>
      </c>
      <c r="AO14" s="619">
        <f t="shared" si="26"/>
        <v>110</v>
      </c>
      <c r="AP14" s="633">
        <f t="shared" si="26"/>
        <v>66</v>
      </c>
      <c r="AQ14" s="633">
        <f t="shared" si="26"/>
        <v>110</v>
      </c>
      <c r="AR14" s="634">
        <f t="shared" si="26"/>
        <v>176</v>
      </c>
      <c r="AS14" s="621">
        <f t="shared" si="26"/>
        <v>264</v>
      </c>
      <c r="AT14" s="621">
        <f t="shared" si="26"/>
        <v>354</v>
      </c>
      <c r="AU14" s="621">
        <v>264</v>
      </c>
      <c r="AV14" s="621">
        <v>354</v>
      </c>
      <c r="AW14" s="621">
        <f t="shared" si="26"/>
        <v>618</v>
      </c>
      <c r="AX14" s="635">
        <f t="shared" si="18"/>
        <v>0.5664160401002506</v>
      </c>
      <c r="AY14" s="635">
        <v>0.56999999999999995</v>
      </c>
      <c r="AZ14" s="635">
        <f t="shared" si="19"/>
        <v>0.73418473418473418</v>
      </c>
      <c r="BA14" s="631">
        <f t="shared" si="1"/>
        <v>0.99050366630604625</v>
      </c>
      <c r="BB14" s="629">
        <f t="shared" si="2"/>
        <v>4.3689320388349516E-2</v>
      </c>
      <c r="BC14" s="636">
        <f>I14*4/D14*100000</f>
        <v>64.113475177304963</v>
      </c>
      <c r="BD14" s="637">
        <f t="shared" si="3"/>
        <v>175.31914893617019</v>
      </c>
      <c r="BE14" s="637"/>
      <c r="BF14" s="731" t="s">
        <v>102</v>
      </c>
      <c r="BG14" s="731"/>
      <c r="BH14" s="626" t="s">
        <v>103</v>
      </c>
      <c r="BI14" s="638">
        <f t="shared" ref="BI14:BX14" si="27">SUM(BI6:BI13)</f>
        <v>0</v>
      </c>
      <c r="BJ14" s="638">
        <f t="shared" si="27"/>
        <v>0</v>
      </c>
      <c r="BK14" s="619">
        <f t="shared" si="27"/>
        <v>5</v>
      </c>
      <c r="BL14" s="619">
        <f t="shared" si="27"/>
        <v>14</v>
      </c>
      <c r="BM14" s="619">
        <f t="shared" si="27"/>
        <v>45</v>
      </c>
      <c r="BN14" s="619">
        <f t="shared" si="27"/>
        <v>46</v>
      </c>
      <c r="BO14" s="619">
        <f t="shared" si="27"/>
        <v>11</v>
      </c>
      <c r="BP14" s="619">
        <f t="shared" si="27"/>
        <v>26</v>
      </c>
      <c r="BQ14" s="619">
        <f t="shared" si="27"/>
        <v>14</v>
      </c>
      <c r="BR14" s="619">
        <f t="shared" si="27"/>
        <v>12</v>
      </c>
      <c r="BS14" s="619">
        <f t="shared" si="27"/>
        <v>13</v>
      </c>
      <c r="BT14" s="619">
        <f t="shared" si="27"/>
        <v>10</v>
      </c>
      <c r="BU14" s="619">
        <f t="shared" si="27"/>
        <v>12</v>
      </c>
      <c r="BV14" s="619">
        <f t="shared" si="27"/>
        <v>7</v>
      </c>
      <c r="BW14" s="619">
        <f t="shared" si="27"/>
        <v>8</v>
      </c>
      <c r="BX14" s="619">
        <f t="shared" si="27"/>
        <v>3</v>
      </c>
      <c r="BY14" s="620">
        <f>BW14+BU14+BS14+BQ14+BO14+BM14+BK14+BI14</f>
        <v>108</v>
      </c>
      <c r="BZ14" s="620">
        <f>BX14+BV14+BT14+BR14+BP14+BN14+BL14+BJ14</f>
        <v>118</v>
      </c>
      <c r="CA14" s="639">
        <f>BZ14+BY14</f>
        <v>226</v>
      </c>
    </row>
    <row r="15" spans="1:79" ht="18">
      <c r="A15" s="70"/>
      <c r="B15" s="70"/>
      <c r="C15" s="70" t="s">
        <v>162</v>
      </c>
      <c r="D15" s="39">
        <v>6040500</v>
      </c>
      <c r="E15" s="70"/>
      <c r="F15" s="70"/>
    </row>
    <row r="16" spans="1:79" ht="18">
      <c r="A16" s="70"/>
      <c r="B16" s="70"/>
      <c r="C16" s="70"/>
      <c r="D16" s="70"/>
      <c r="E16" s="70"/>
      <c r="F16" s="70">
        <f>3000*8</f>
        <v>24000</v>
      </c>
    </row>
    <row r="17" spans="1:79" ht="69.95" customHeight="1">
      <c r="A17" s="732" t="s">
        <v>40</v>
      </c>
      <c r="B17" s="733"/>
      <c r="C17" s="297"/>
      <c r="D17" s="341">
        <f>D14+D15</f>
        <v>7450500</v>
      </c>
      <c r="E17" s="298"/>
      <c r="F17" s="298"/>
      <c r="G17" s="298"/>
      <c r="H17" s="298"/>
      <c r="I17" s="298">
        <f>I14+226</f>
        <v>452</v>
      </c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  <c r="W17" s="298"/>
      <c r="X17" s="298"/>
      <c r="Y17" s="298"/>
      <c r="Z17" s="298"/>
      <c r="AA17" s="298"/>
      <c r="AB17" s="298"/>
      <c r="AC17" s="298"/>
      <c r="AD17" s="298"/>
      <c r="AE17" s="298"/>
      <c r="AF17" s="298"/>
      <c r="AG17" s="298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8"/>
      <c r="AS17" s="298"/>
      <c r="AT17" s="298"/>
      <c r="AU17" s="298"/>
      <c r="AV17" s="298"/>
      <c r="AW17" s="298"/>
      <c r="AX17" s="41"/>
      <c r="AY17" s="41"/>
      <c r="AZ17" s="41"/>
      <c r="BA17" s="41"/>
      <c r="BB17" s="41"/>
      <c r="BC17" s="41"/>
      <c r="BD17" s="41"/>
      <c r="BE17" s="41"/>
      <c r="BF17" s="746" t="s">
        <v>40</v>
      </c>
      <c r="BG17" s="747"/>
      <c r="BH17" s="40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</row>
    <row r="18" spans="1:79" ht="69.95" customHeight="1">
      <c r="A18" s="748" t="s">
        <v>106</v>
      </c>
      <c r="B18" s="748"/>
      <c r="C18" s="299"/>
      <c r="D18" s="300">
        <v>7450500</v>
      </c>
      <c r="E18" s="300"/>
      <c r="F18" s="300"/>
      <c r="G18" s="749" t="s">
        <v>34</v>
      </c>
      <c r="H18" s="749"/>
      <c r="I18" s="749"/>
      <c r="J18" s="749"/>
      <c r="K18" s="749"/>
      <c r="L18" s="749"/>
      <c r="M18" s="749"/>
      <c r="N18" s="749"/>
      <c r="O18" s="749"/>
      <c r="P18" s="749"/>
      <c r="Q18" s="749"/>
      <c r="R18" s="749"/>
      <c r="S18" s="749"/>
      <c r="T18" s="302"/>
      <c r="U18" s="302"/>
      <c r="V18" s="302"/>
      <c r="W18" s="302"/>
      <c r="X18" s="302"/>
      <c r="Y18" s="302"/>
      <c r="Z18" s="303"/>
      <c r="AA18" s="749" t="s">
        <v>28</v>
      </c>
      <c r="AB18" s="749"/>
      <c r="AC18" s="749"/>
      <c r="AD18" s="749"/>
      <c r="AE18" s="749"/>
      <c r="AF18" s="749"/>
      <c r="AG18" s="749"/>
      <c r="AH18" s="749"/>
      <c r="AI18" s="749"/>
      <c r="AJ18" s="749" t="s">
        <v>35</v>
      </c>
      <c r="AK18" s="749"/>
      <c r="AL18" s="749"/>
      <c r="AM18" s="749"/>
      <c r="AN18" s="749"/>
      <c r="AO18" s="749"/>
      <c r="AP18" s="749"/>
      <c r="AQ18" s="749"/>
      <c r="AR18" s="749"/>
      <c r="AS18" s="304"/>
      <c r="AT18" s="305"/>
      <c r="AU18" s="305"/>
      <c r="AV18" s="305"/>
      <c r="AW18" s="305">
        <f>AW14+AW30</f>
        <v>1314</v>
      </c>
      <c r="AX18" s="42"/>
      <c r="AY18" s="42"/>
      <c r="AZ18" s="42"/>
      <c r="BA18" s="42"/>
      <c r="BB18" s="42"/>
      <c r="BC18" s="42"/>
      <c r="BD18" s="43"/>
      <c r="BE18" s="42"/>
      <c r="BF18" s="750" t="s">
        <v>106</v>
      </c>
      <c r="BG18" s="751"/>
      <c r="BH18" s="44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</row>
    <row r="19" spans="1:79" ht="69.95" customHeight="1">
      <c r="A19" s="752" t="s">
        <v>2</v>
      </c>
      <c r="B19" s="752"/>
      <c r="C19" s="306"/>
      <c r="D19" s="307"/>
      <c r="E19" s="307"/>
      <c r="F19" s="307"/>
      <c r="G19" s="749" t="s">
        <v>10</v>
      </c>
      <c r="H19" s="749"/>
      <c r="I19" s="749"/>
      <c r="J19" s="301"/>
      <c r="K19" s="749" t="s">
        <v>29</v>
      </c>
      <c r="L19" s="749"/>
      <c r="M19" s="749"/>
      <c r="N19" s="749"/>
      <c r="O19" s="749"/>
      <c r="P19" s="749"/>
      <c r="Q19" s="749"/>
      <c r="R19" s="749"/>
      <c r="S19" s="749"/>
      <c r="T19" s="308"/>
      <c r="U19" s="308"/>
      <c r="V19" s="308"/>
      <c r="W19" s="308"/>
      <c r="X19" s="308"/>
      <c r="Y19" s="308"/>
      <c r="Z19" s="309"/>
      <c r="AA19" s="749" t="s">
        <v>12</v>
      </c>
      <c r="AB19" s="749"/>
      <c r="AC19" s="749"/>
      <c r="AD19" s="749"/>
      <c r="AE19" s="749"/>
      <c r="AF19" s="749"/>
      <c r="AG19" s="749"/>
      <c r="AH19" s="749"/>
      <c r="AI19" s="749"/>
      <c r="AJ19" s="749"/>
      <c r="AK19" s="749"/>
      <c r="AL19" s="749"/>
      <c r="AM19" s="749"/>
      <c r="AN19" s="749"/>
      <c r="AO19" s="749"/>
      <c r="AP19" s="749"/>
      <c r="AQ19" s="749"/>
      <c r="AR19" s="749"/>
      <c r="AS19" s="306"/>
      <c r="AT19" s="310"/>
      <c r="AU19" s="310"/>
      <c r="AV19" s="310"/>
      <c r="AW19" s="310"/>
      <c r="AX19" s="46"/>
      <c r="AY19" s="46"/>
      <c r="AZ19" s="46"/>
      <c r="BA19" s="46"/>
      <c r="BB19" s="46"/>
      <c r="BC19" s="46"/>
      <c r="BD19" s="47"/>
      <c r="BE19" s="46"/>
      <c r="BF19" s="753" t="s">
        <v>3</v>
      </c>
      <c r="BG19" s="754"/>
      <c r="BH19" s="48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</row>
    <row r="20" spans="1:79" ht="69.95" customHeight="1">
      <c r="A20" s="752" t="s">
        <v>0</v>
      </c>
      <c r="B20" s="755" t="s">
        <v>42</v>
      </c>
      <c r="C20" s="755" t="s">
        <v>43</v>
      </c>
      <c r="D20" s="752" t="s">
        <v>44</v>
      </c>
      <c r="E20" s="757" t="s">
        <v>149</v>
      </c>
      <c r="F20" s="757" t="s">
        <v>148</v>
      </c>
      <c r="G20" s="749"/>
      <c r="H20" s="749"/>
      <c r="I20" s="749"/>
      <c r="J20" s="301"/>
      <c r="K20" s="749" t="s">
        <v>11</v>
      </c>
      <c r="L20" s="749"/>
      <c r="M20" s="749"/>
      <c r="N20" s="749" t="s">
        <v>38</v>
      </c>
      <c r="O20" s="749"/>
      <c r="P20" s="749"/>
      <c r="Q20" s="749" t="s">
        <v>39</v>
      </c>
      <c r="R20" s="749"/>
      <c r="S20" s="749"/>
      <c r="T20" s="794" t="s">
        <v>47</v>
      </c>
      <c r="U20" s="795"/>
      <c r="V20" s="796"/>
      <c r="W20" s="749" t="s">
        <v>147</v>
      </c>
      <c r="X20" s="301"/>
      <c r="Y20" s="301"/>
      <c r="Z20" s="749" t="s">
        <v>13</v>
      </c>
      <c r="AA20" s="752" t="s">
        <v>30</v>
      </c>
      <c r="AB20" s="752"/>
      <c r="AC20" s="752" t="s">
        <v>23</v>
      </c>
      <c r="AD20" s="752"/>
      <c r="AE20" s="752" t="s">
        <v>31</v>
      </c>
      <c r="AF20" s="752"/>
      <c r="AG20" s="296"/>
      <c r="AH20" s="296"/>
      <c r="AI20" s="752" t="s">
        <v>32</v>
      </c>
      <c r="AJ20" s="752" t="s">
        <v>30</v>
      </c>
      <c r="AK20" s="752"/>
      <c r="AL20" s="752" t="s">
        <v>23</v>
      </c>
      <c r="AM20" s="752"/>
      <c r="AN20" s="752" t="s">
        <v>31</v>
      </c>
      <c r="AO20" s="752"/>
      <c r="AP20" s="296"/>
      <c r="AQ20" s="296"/>
      <c r="AR20" s="752" t="s">
        <v>32</v>
      </c>
      <c r="AS20" s="749" t="s">
        <v>33</v>
      </c>
      <c r="AT20" s="749"/>
      <c r="AU20" s="749"/>
      <c r="AV20" s="749"/>
      <c r="AW20" s="749"/>
      <c r="AX20" s="759" t="s">
        <v>22</v>
      </c>
      <c r="AY20" s="74"/>
      <c r="AZ20" s="74"/>
      <c r="BA20" s="760" t="s">
        <v>14</v>
      </c>
      <c r="BB20" s="760" t="s">
        <v>18</v>
      </c>
      <c r="BC20" s="760" t="s">
        <v>19</v>
      </c>
      <c r="BD20" s="760" t="s">
        <v>20</v>
      </c>
      <c r="BE20" s="73"/>
      <c r="BF20" s="754" t="s">
        <v>0</v>
      </c>
      <c r="BG20" s="763" t="s">
        <v>42</v>
      </c>
      <c r="BH20" s="763" t="s">
        <v>43</v>
      </c>
      <c r="BI20" s="769" t="s">
        <v>36</v>
      </c>
      <c r="BJ20" s="769"/>
      <c r="BK20" s="761" t="s">
        <v>37</v>
      </c>
      <c r="BL20" s="761"/>
      <c r="BM20" s="762" t="s">
        <v>4</v>
      </c>
      <c r="BN20" s="762"/>
      <c r="BO20" s="762" t="s">
        <v>5</v>
      </c>
      <c r="BP20" s="762"/>
      <c r="BQ20" s="762" t="s">
        <v>6</v>
      </c>
      <c r="BR20" s="762"/>
      <c r="BS20" s="762" t="s">
        <v>7</v>
      </c>
      <c r="BT20" s="762"/>
      <c r="BU20" s="762" t="s">
        <v>8</v>
      </c>
      <c r="BV20" s="762"/>
      <c r="BW20" s="762" t="s">
        <v>9</v>
      </c>
      <c r="BX20" s="762"/>
      <c r="BY20" s="762" t="s">
        <v>21</v>
      </c>
      <c r="BZ20" s="762"/>
      <c r="CA20" s="762"/>
    </row>
    <row r="21" spans="1:79" ht="69.95" customHeight="1">
      <c r="A21" s="752"/>
      <c r="B21" s="756"/>
      <c r="C21" s="756"/>
      <c r="D21" s="752"/>
      <c r="E21" s="758"/>
      <c r="F21" s="758"/>
      <c r="G21" s="301" t="s">
        <v>16</v>
      </c>
      <c r="H21" s="301" t="s">
        <v>17</v>
      </c>
      <c r="I21" s="301" t="s">
        <v>32</v>
      </c>
      <c r="J21" s="301"/>
      <c r="K21" s="301" t="s">
        <v>16</v>
      </c>
      <c r="L21" s="301" t="s">
        <v>17</v>
      </c>
      <c r="M21" s="301" t="s">
        <v>32</v>
      </c>
      <c r="N21" s="301" t="s">
        <v>16</v>
      </c>
      <c r="O21" s="301" t="s">
        <v>17</v>
      </c>
      <c r="P21" s="301" t="s">
        <v>32</v>
      </c>
      <c r="Q21" s="301" t="s">
        <v>16</v>
      </c>
      <c r="R21" s="301" t="s">
        <v>17</v>
      </c>
      <c r="S21" s="301" t="s">
        <v>32</v>
      </c>
      <c r="T21" s="301" t="s">
        <v>16</v>
      </c>
      <c r="U21" s="301" t="s">
        <v>17</v>
      </c>
      <c r="V21" s="301" t="s">
        <v>32</v>
      </c>
      <c r="W21" s="749"/>
      <c r="X21" s="301"/>
      <c r="Y21" s="301"/>
      <c r="Z21" s="749"/>
      <c r="AA21" s="301" t="s">
        <v>16</v>
      </c>
      <c r="AB21" s="301" t="s">
        <v>17</v>
      </c>
      <c r="AC21" s="301" t="s">
        <v>16</v>
      </c>
      <c r="AD21" s="301" t="s">
        <v>17</v>
      </c>
      <c r="AE21" s="301" t="s">
        <v>16</v>
      </c>
      <c r="AF21" s="301" t="s">
        <v>17</v>
      </c>
      <c r="AG21" s="301"/>
      <c r="AH21" s="301"/>
      <c r="AI21" s="752"/>
      <c r="AJ21" s="301" t="s">
        <v>16</v>
      </c>
      <c r="AK21" s="301" t="s">
        <v>17</v>
      </c>
      <c r="AL21" s="301" t="s">
        <v>16</v>
      </c>
      <c r="AM21" s="301" t="s">
        <v>17</v>
      </c>
      <c r="AN21" s="301" t="s">
        <v>16</v>
      </c>
      <c r="AO21" s="301" t="s">
        <v>17</v>
      </c>
      <c r="AP21" s="301"/>
      <c r="AQ21" s="301"/>
      <c r="AR21" s="752"/>
      <c r="AS21" s="301" t="s">
        <v>16</v>
      </c>
      <c r="AT21" s="301" t="s">
        <v>17</v>
      </c>
      <c r="AU21" s="301"/>
      <c r="AV21" s="301"/>
      <c r="AW21" s="301" t="s">
        <v>32</v>
      </c>
      <c r="AX21" s="759"/>
      <c r="AY21" s="74"/>
      <c r="AZ21" s="74"/>
      <c r="BA21" s="760"/>
      <c r="BB21" s="760"/>
      <c r="BC21" s="760"/>
      <c r="BD21" s="760"/>
      <c r="BE21" s="73"/>
      <c r="BF21" s="754"/>
      <c r="BG21" s="764"/>
      <c r="BH21" s="764"/>
      <c r="BI21" s="254" t="s">
        <v>16</v>
      </c>
      <c r="BJ21" s="254" t="s">
        <v>17</v>
      </c>
      <c r="BK21" s="49" t="s">
        <v>16</v>
      </c>
      <c r="BL21" s="49" t="s">
        <v>17</v>
      </c>
      <c r="BM21" s="50" t="s">
        <v>16</v>
      </c>
      <c r="BN21" s="50" t="s">
        <v>17</v>
      </c>
      <c r="BO21" s="50" t="s">
        <v>16</v>
      </c>
      <c r="BP21" s="50" t="s">
        <v>17</v>
      </c>
      <c r="BQ21" s="50" t="s">
        <v>16</v>
      </c>
      <c r="BR21" s="50" t="s">
        <v>17</v>
      </c>
      <c r="BS21" s="50" t="s">
        <v>16</v>
      </c>
      <c r="BT21" s="50" t="s">
        <v>17</v>
      </c>
      <c r="BU21" s="50" t="s">
        <v>16</v>
      </c>
      <c r="BV21" s="50" t="s">
        <v>17</v>
      </c>
      <c r="BW21" s="50" t="s">
        <v>16</v>
      </c>
      <c r="BX21" s="50" t="s">
        <v>17</v>
      </c>
      <c r="BY21" s="50" t="s">
        <v>16</v>
      </c>
      <c r="BZ21" s="50" t="s">
        <v>17</v>
      </c>
      <c r="CA21" s="32" t="s">
        <v>32</v>
      </c>
    </row>
    <row r="22" spans="1:79" ht="69.95" customHeight="1">
      <c r="A22" s="311">
        <v>1</v>
      </c>
      <c r="B22" s="312" t="s">
        <v>48</v>
      </c>
      <c r="C22" s="313" t="s">
        <v>49</v>
      </c>
      <c r="D22" s="314">
        <v>200000</v>
      </c>
      <c r="E22" s="314">
        <v>123</v>
      </c>
      <c r="F22" s="314">
        <v>50</v>
      </c>
      <c r="G22" s="315">
        <v>24</v>
      </c>
      <c r="H22" s="315">
        <v>22</v>
      </c>
      <c r="I22" s="316">
        <f>SUM(G22:H22)</f>
        <v>46</v>
      </c>
      <c r="J22" s="316">
        <v>46</v>
      </c>
      <c r="K22" s="315">
        <v>5</v>
      </c>
      <c r="L22" s="315">
        <v>0</v>
      </c>
      <c r="M22" s="316">
        <f>SUM(K22:L22)</f>
        <v>5</v>
      </c>
      <c r="N22" s="315">
        <v>0</v>
      </c>
      <c r="O22" s="315">
        <v>0</v>
      </c>
      <c r="P22" s="316">
        <f>SUM(N22:O22)</f>
        <v>0</v>
      </c>
      <c r="Q22" s="315">
        <v>0</v>
      </c>
      <c r="R22" s="315">
        <v>0</v>
      </c>
      <c r="S22" s="316">
        <f t="shared" ref="S22:S30" si="28">SUM(Q22:R22)</f>
        <v>0</v>
      </c>
      <c r="T22" s="316"/>
      <c r="U22" s="316"/>
      <c r="V22" s="316"/>
      <c r="W22" s="317">
        <f>I22/F22</f>
        <v>0.92</v>
      </c>
      <c r="X22" s="320">
        <v>5</v>
      </c>
      <c r="Y22" s="317">
        <v>0.05</v>
      </c>
      <c r="Z22" s="318">
        <f>I22*4/(D22*0.0008)</f>
        <v>1.1499999999999999</v>
      </c>
      <c r="AA22" s="319">
        <v>0</v>
      </c>
      <c r="AB22" s="319">
        <v>0</v>
      </c>
      <c r="AC22" s="319">
        <v>0</v>
      </c>
      <c r="AD22" s="315">
        <v>0</v>
      </c>
      <c r="AE22" s="315">
        <v>11</v>
      </c>
      <c r="AF22" s="315">
        <v>20</v>
      </c>
      <c r="AG22" s="315">
        <f>AA22+AC22+AE22</f>
        <v>11</v>
      </c>
      <c r="AH22" s="315">
        <f>AB22+AD22+AF22</f>
        <v>20</v>
      </c>
      <c r="AI22" s="320">
        <f>AG22+AH22</f>
        <v>31</v>
      </c>
      <c r="AJ22" s="319"/>
      <c r="AK22" s="321"/>
      <c r="AL22" s="321"/>
      <c r="AM22" s="315"/>
      <c r="AN22" s="315">
        <v>7</v>
      </c>
      <c r="AO22" s="315">
        <v>23</v>
      </c>
      <c r="AP22" s="315">
        <f>AJ22+AL22+AN22</f>
        <v>7</v>
      </c>
      <c r="AQ22" s="315">
        <f>AK22+AM22+AO22</f>
        <v>23</v>
      </c>
      <c r="AR22" s="320">
        <f>AP22+AQ22</f>
        <v>30</v>
      </c>
      <c r="AS22" s="321">
        <f>G22+K22+N22+Q22+T22+AG22+AP22</f>
        <v>47</v>
      </c>
      <c r="AT22" s="321">
        <f>H22+L22+O22+R22+U22+AH22+AQ22</f>
        <v>65</v>
      </c>
      <c r="AU22" s="342">
        <v>47</v>
      </c>
      <c r="AV22" s="342">
        <v>65</v>
      </c>
      <c r="AW22" s="322">
        <f>SUM(AS22:AT22)</f>
        <v>112</v>
      </c>
      <c r="AX22" s="176">
        <f>I22/(I22+AI22)</f>
        <v>0.59740259740259738</v>
      </c>
      <c r="AY22" s="176">
        <v>0.6</v>
      </c>
      <c r="AZ22" s="176">
        <f>AW22/E22</f>
        <v>0.91056910569105687</v>
      </c>
      <c r="BA22" s="176">
        <f t="shared" ref="BA22:BA30" si="29">AW22*4/(D22*0.00177)</f>
        <v>1.2655367231638419</v>
      </c>
      <c r="BB22" s="52">
        <f t="shared" ref="BB22:BB30" si="30">(M22+P22+S22)/AW22</f>
        <v>4.4642857142857144E-2</v>
      </c>
      <c r="BC22" s="55">
        <f>I22*4/D22*100000</f>
        <v>92</v>
      </c>
      <c r="BD22" s="56">
        <f t="shared" ref="BD22:BD30" si="31">AW22*4/D22*100000</f>
        <v>223.99999999999997</v>
      </c>
      <c r="BE22" s="75"/>
      <c r="BF22" s="66">
        <v>1</v>
      </c>
      <c r="BG22" s="68" t="s">
        <v>48</v>
      </c>
      <c r="BH22" s="67" t="s">
        <v>49</v>
      </c>
      <c r="BI22">
        <v>0</v>
      </c>
      <c r="BJ22">
        <v>0</v>
      </c>
      <c r="BK22" s="255">
        <v>2</v>
      </c>
      <c r="BL22" s="255">
        <v>2</v>
      </c>
      <c r="BM22" s="51">
        <v>6</v>
      </c>
      <c r="BN22" s="51">
        <v>10</v>
      </c>
      <c r="BO22" s="51">
        <v>5</v>
      </c>
      <c r="BP22" s="51">
        <v>5</v>
      </c>
      <c r="BQ22" s="51">
        <v>5</v>
      </c>
      <c r="BR22" s="51">
        <v>1</v>
      </c>
      <c r="BS22" s="51">
        <v>1</v>
      </c>
      <c r="BT22" s="51">
        <v>0</v>
      </c>
      <c r="BU22" s="51">
        <v>2</v>
      </c>
      <c r="BV22" s="51">
        <v>0</v>
      </c>
      <c r="BW22" s="51">
        <v>3</v>
      </c>
      <c r="BX22" s="51">
        <v>4</v>
      </c>
      <c r="BY22" s="34">
        <f>BW22+BU22+BS22+BQ22+BO22+BM22+BK22+BI22</f>
        <v>24</v>
      </c>
      <c r="BZ22" s="34">
        <f>BX22+BV22+BT22+BR22+BP22+BN22+BL22+BJ22</f>
        <v>22</v>
      </c>
      <c r="CA22" s="54">
        <f>BZ22+BY22</f>
        <v>46</v>
      </c>
    </row>
    <row r="23" spans="1:79" ht="69.95" customHeight="1">
      <c r="A23" s="311">
        <v>2</v>
      </c>
      <c r="B23" s="312" t="s">
        <v>50</v>
      </c>
      <c r="C23" s="313" t="s">
        <v>51</v>
      </c>
      <c r="D23" s="323">
        <v>300000</v>
      </c>
      <c r="E23" s="314">
        <v>140</v>
      </c>
      <c r="F23" s="323">
        <v>60</v>
      </c>
      <c r="G23" s="324">
        <v>16</v>
      </c>
      <c r="H23" s="324">
        <v>17</v>
      </c>
      <c r="I23" s="316">
        <f t="shared" ref="I23:I30" si="32">SUM(G23:H23)</f>
        <v>33</v>
      </c>
      <c r="J23" s="316">
        <v>33</v>
      </c>
      <c r="K23" s="324">
        <v>5</v>
      </c>
      <c r="L23" s="324">
        <v>5</v>
      </c>
      <c r="M23" s="316">
        <f t="shared" ref="M23:M30" si="33">SUM(K23:L23)</f>
        <v>10</v>
      </c>
      <c r="N23" s="324">
        <v>0</v>
      </c>
      <c r="O23" s="324">
        <v>0</v>
      </c>
      <c r="P23" s="316">
        <f t="shared" ref="P23:P30" si="34">SUM(N23:O23)</f>
        <v>0</v>
      </c>
      <c r="Q23" s="324">
        <v>2</v>
      </c>
      <c r="R23" s="324">
        <v>1</v>
      </c>
      <c r="S23" s="316">
        <f t="shared" si="28"/>
        <v>3</v>
      </c>
      <c r="T23" s="316"/>
      <c r="U23" s="316"/>
      <c r="V23" s="316"/>
      <c r="W23" s="317">
        <f t="shared" ref="W23:W30" si="35">I23/F23</f>
        <v>0.55000000000000004</v>
      </c>
      <c r="X23" s="320">
        <v>13</v>
      </c>
      <c r="Y23" s="317"/>
      <c r="Z23" s="317">
        <f t="shared" ref="Z23:Z29" si="36">I23*4/(D23*0.0008)</f>
        <v>0.55000000000000004</v>
      </c>
      <c r="AA23" s="320"/>
      <c r="AB23" s="320"/>
      <c r="AC23" s="320"/>
      <c r="AD23" s="324"/>
      <c r="AE23" s="324">
        <v>31</v>
      </c>
      <c r="AF23" s="324">
        <v>47</v>
      </c>
      <c r="AG23" s="315">
        <f t="shared" ref="AG23:AG30" si="37">AA23+AC23+AE23</f>
        <v>31</v>
      </c>
      <c r="AH23" s="315">
        <f t="shared" ref="AH23:AH30" si="38">AB23+AD23+AF23</f>
        <v>47</v>
      </c>
      <c r="AI23" s="320">
        <f t="shared" ref="AI23:AI30" si="39">AG23+AH23</f>
        <v>78</v>
      </c>
      <c r="AJ23" s="320"/>
      <c r="AK23" s="316"/>
      <c r="AL23" s="316"/>
      <c r="AM23" s="324"/>
      <c r="AN23" s="324">
        <v>15</v>
      </c>
      <c r="AO23" s="324">
        <v>30</v>
      </c>
      <c r="AP23" s="315">
        <f t="shared" ref="AP23:AP30" si="40">AJ23+AL23+AN23</f>
        <v>15</v>
      </c>
      <c r="AQ23" s="315">
        <f t="shared" ref="AQ23:AQ30" si="41">AK23+AM23+AO23</f>
        <v>30</v>
      </c>
      <c r="AR23" s="320">
        <f t="shared" ref="AR23:AR30" si="42">AP23+AQ23</f>
        <v>45</v>
      </c>
      <c r="AS23" s="321">
        <f t="shared" ref="AS23:AS30" si="43">AN23+AL23+AJ23+AE23+AC23+AA23+T23+Q23+N23+K23+G23</f>
        <v>69</v>
      </c>
      <c r="AT23" s="321">
        <f t="shared" ref="AT23:AT30" si="44">AO23+AM23+AK23+AF23+AD23+AB23+U23+R23+O23+L23+H23</f>
        <v>100</v>
      </c>
      <c r="AU23" s="342">
        <v>69</v>
      </c>
      <c r="AV23" s="342">
        <v>100</v>
      </c>
      <c r="AW23" s="322">
        <f t="shared" ref="AW23:AW30" si="45">SUM(AS23:AT23)</f>
        <v>169</v>
      </c>
      <c r="AX23" s="176">
        <f t="shared" ref="AX23:AX30" si="46">I23/(I23+AI23)</f>
        <v>0.29729729729729731</v>
      </c>
      <c r="AY23" s="176">
        <v>0.3</v>
      </c>
      <c r="AZ23" s="176">
        <f t="shared" ref="AZ23:AZ30" si="47">AW23/E23</f>
        <v>1.2071428571428571</v>
      </c>
      <c r="BA23" s="175">
        <f t="shared" si="29"/>
        <v>1.2730696798493408</v>
      </c>
      <c r="BB23" s="59">
        <f t="shared" si="30"/>
        <v>7.6923076923076927E-2</v>
      </c>
      <c r="BC23" s="60">
        <f t="shared" ref="BC23:BC29" si="48">I23*4/D23*100000</f>
        <v>44</v>
      </c>
      <c r="BD23" s="61">
        <f t="shared" si="31"/>
        <v>225.33333333333334</v>
      </c>
      <c r="BE23" s="76"/>
      <c r="BF23" s="66">
        <v>2</v>
      </c>
      <c r="BG23" s="68" t="s">
        <v>50</v>
      </c>
      <c r="BH23" s="67" t="s">
        <v>51</v>
      </c>
      <c r="BI23" s="255"/>
      <c r="BJ23" s="255"/>
      <c r="BK23" s="58">
        <v>1</v>
      </c>
      <c r="BL23" s="58">
        <v>1</v>
      </c>
      <c r="BM23" s="58">
        <v>7</v>
      </c>
      <c r="BN23" s="58">
        <v>8</v>
      </c>
      <c r="BO23" s="58">
        <v>2</v>
      </c>
      <c r="BP23" s="58">
        <v>2</v>
      </c>
      <c r="BQ23" s="58">
        <v>4</v>
      </c>
      <c r="BR23" s="58">
        <v>4</v>
      </c>
      <c r="BS23" s="58">
        <v>1</v>
      </c>
      <c r="BT23" s="58">
        <v>1</v>
      </c>
      <c r="BU23" s="58">
        <v>0</v>
      </c>
      <c r="BV23" s="58">
        <v>0</v>
      </c>
      <c r="BW23" s="58">
        <v>1</v>
      </c>
      <c r="BX23" s="58">
        <v>1</v>
      </c>
      <c r="BY23" s="34">
        <f t="shared" ref="BY23:BY29" si="49">BW23+BU23+BS23+BQ23+BO23+BM23+BK23+BI23</f>
        <v>16</v>
      </c>
      <c r="BZ23" s="34">
        <f t="shared" ref="BZ23:BZ30" si="50">BX23+BV23+BT23+BR23+BP23+BN23+BL23+BJ23</f>
        <v>17</v>
      </c>
      <c r="CA23" s="54">
        <f t="shared" ref="CA23:CA30" si="51">BZ23+BY23</f>
        <v>33</v>
      </c>
    </row>
    <row r="24" spans="1:79" ht="69.95" customHeight="1">
      <c r="A24" s="311">
        <v>3</v>
      </c>
      <c r="B24" s="312" t="s">
        <v>52</v>
      </c>
      <c r="C24" s="313" t="s">
        <v>53</v>
      </c>
      <c r="D24" s="323">
        <v>390000</v>
      </c>
      <c r="E24" s="314">
        <v>140</v>
      </c>
      <c r="F24" s="323">
        <v>60</v>
      </c>
      <c r="G24" s="315">
        <v>15</v>
      </c>
      <c r="H24" s="315">
        <v>20</v>
      </c>
      <c r="I24" s="316">
        <f t="shared" si="32"/>
        <v>35</v>
      </c>
      <c r="J24" s="316">
        <v>35</v>
      </c>
      <c r="K24" s="315">
        <v>2</v>
      </c>
      <c r="L24" s="315">
        <v>0</v>
      </c>
      <c r="M24" s="316">
        <f t="shared" si="33"/>
        <v>2</v>
      </c>
      <c r="N24" s="315">
        <v>0</v>
      </c>
      <c r="O24" s="315">
        <v>0</v>
      </c>
      <c r="P24" s="316">
        <f t="shared" si="34"/>
        <v>0</v>
      </c>
      <c r="Q24" s="315">
        <v>1</v>
      </c>
      <c r="R24" s="315">
        <v>0</v>
      </c>
      <c r="S24" s="316">
        <f t="shared" si="28"/>
        <v>1</v>
      </c>
      <c r="T24" s="316"/>
      <c r="U24" s="316"/>
      <c r="V24" s="316"/>
      <c r="W24" s="317">
        <f t="shared" si="35"/>
        <v>0.58333333333333337</v>
      </c>
      <c r="X24" s="320">
        <v>3</v>
      </c>
      <c r="Y24" s="317"/>
      <c r="Z24" s="318">
        <f t="shared" si="36"/>
        <v>0.44871794871794873</v>
      </c>
      <c r="AA24" s="319"/>
      <c r="AB24" s="319"/>
      <c r="AC24" s="319"/>
      <c r="AD24" s="315"/>
      <c r="AE24" s="315">
        <v>18</v>
      </c>
      <c r="AF24" s="315">
        <v>25</v>
      </c>
      <c r="AG24" s="315">
        <f t="shared" si="37"/>
        <v>18</v>
      </c>
      <c r="AH24" s="315">
        <f t="shared" si="38"/>
        <v>25</v>
      </c>
      <c r="AI24" s="320">
        <f t="shared" si="39"/>
        <v>43</v>
      </c>
      <c r="AJ24" s="319"/>
      <c r="AK24" s="321"/>
      <c r="AL24" s="321"/>
      <c r="AM24" s="315"/>
      <c r="AN24" s="315">
        <v>33</v>
      </c>
      <c r="AO24" s="315">
        <v>48</v>
      </c>
      <c r="AP24" s="315">
        <f t="shared" si="40"/>
        <v>33</v>
      </c>
      <c r="AQ24" s="315">
        <f t="shared" si="41"/>
        <v>48</v>
      </c>
      <c r="AR24" s="320">
        <f t="shared" si="42"/>
        <v>81</v>
      </c>
      <c r="AS24" s="321">
        <f t="shared" si="43"/>
        <v>69</v>
      </c>
      <c r="AT24" s="321">
        <f t="shared" si="44"/>
        <v>93</v>
      </c>
      <c r="AU24" s="342">
        <v>69</v>
      </c>
      <c r="AV24" s="342">
        <v>93</v>
      </c>
      <c r="AW24" s="322">
        <f t="shared" si="45"/>
        <v>162</v>
      </c>
      <c r="AX24" s="176">
        <f t="shared" si="46"/>
        <v>0.44871794871794873</v>
      </c>
      <c r="AY24" s="176">
        <v>0.45</v>
      </c>
      <c r="AZ24" s="176">
        <f t="shared" si="47"/>
        <v>1.1571428571428573</v>
      </c>
      <c r="BA24" s="176">
        <f t="shared" si="29"/>
        <v>0.93872229465449797</v>
      </c>
      <c r="BB24" s="52">
        <f t="shared" si="30"/>
        <v>1.8518518518518517E-2</v>
      </c>
      <c r="BC24" s="55">
        <f t="shared" si="48"/>
        <v>35.897435897435898</v>
      </c>
      <c r="BD24" s="56">
        <f t="shared" si="31"/>
        <v>166.15384615384616</v>
      </c>
      <c r="BE24" s="75"/>
      <c r="BF24" s="66">
        <v>3</v>
      </c>
      <c r="BG24" s="68" t="s">
        <v>52</v>
      </c>
      <c r="BH24" s="67" t="s">
        <v>53</v>
      </c>
      <c r="BI24" s="255"/>
      <c r="BJ24" s="255"/>
      <c r="BK24" s="51">
        <v>0</v>
      </c>
      <c r="BL24" s="51">
        <v>3</v>
      </c>
      <c r="BM24" s="51">
        <v>5</v>
      </c>
      <c r="BN24" s="51">
        <v>6</v>
      </c>
      <c r="BO24" s="51">
        <v>2</v>
      </c>
      <c r="BP24" s="51">
        <v>3</v>
      </c>
      <c r="BQ24" s="51">
        <v>2</v>
      </c>
      <c r="BR24" s="51">
        <v>4</v>
      </c>
      <c r="BS24" s="51">
        <v>1</v>
      </c>
      <c r="BT24" s="51">
        <v>1</v>
      </c>
      <c r="BU24" s="51">
        <v>2</v>
      </c>
      <c r="BV24" s="51">
        <v>2</v>
      </c>
      <c r="BW24" s="51">
        <v>3</v>
      </c>
      <c r="BX24" s="51">
        <v>1</v>
      </c>
      <c r="BY24" s="53">
        <f t="shared" si="49"/>
        <v>15</v>
      </c>
      <c r="BZ24" s="53">
        <f t="shared" si="50"/>
        <v>20</v>
      </c>
      <c r="CA24" s="57">
        <f t="shared" si="51"/>
        <v>35</v>
      </c>
    </row>
    <row r="25" spans="1:79" ht="69.95" customHeight="1">
      <c r="A25" s="311">
        <v>4</v>
      </c>
      <c r="B25" s="312" t="s">
        <v>54</v>
      </c>
      <c r="C25" s="313" t="s">
        <v>55</v>
      </c>
      <c r="D25" s="323">
        <v>150000</v>
      </c>
      <c r="E25" s="314">
        <f>(F25*2)+F25*0.25</f>
        <v>112.5</v>
      </c>
      <c r="F25" s="323">
        <v>50</v>
      </c>
      <c r="G25" s="324">
        <v>15</v>
      </c>
      <c r="H25" s="324">
        <v>14</v>
      </c>
      <c r="I25" s="316">
        <f>SUM(G25:H25)</f>
        <v>29</v>
      </c>
      <c r="J25" s="316">
        <v>29</v>
      </c>
      <c r="K25" s="324">
        <v>0</v>
      </c>
      <c r="L25" s="324">
        <v>0</v>
      </c>
      <c r="M25" s="316">
        <f t="shared" si="33"/>
        <v>0</v>
      </c>
      <c r="N25" s="324">
        <v>0</v>
      </c>
      <c r="O25" s="324">
        <v>0</v>
      </c>
      <c r="P25" s="316">
        <f t="shared" si="34"/>
        <v>0</v>
      </c>
      <c r="Q25" s="324">
        <v>0</v>
      </c>
      <c r="R25" s="324">
        <v>0</v>
      </c>
      <c r="S25" s="316">
        <f t="shared" si="28"/>
        <v>0</v>
      </c>
      <c r="T25" s="316"/>
      <c r="U25" s="316"/>
      <c r="V25" s="316"/>
      <c r="W25" s="317">
        <f t="shared" si="35"/>
        <v>0.57999999999999996</v>
      </c>
      <c r="X25" s="320">
        <v>0</v>
      </c>
      <c r="Y25" s="317"/>
      <c r="Z25" s="317">
        <f t="shared" si="36"/>
        <v>0.96666666666666667</v>
      </c>
      <c r="AA25" s="320"/>
      <c r="AB25" s="320"/>
      <c r="AC25" s="320"/>
      <c r="AD25" s="324"/>
      <c r="AE25" s="324">
        <v>2</v>
      </c>
      <c r="AF25" s="324">
        <v>7</v>
      </c>
      <c r="AG25" s="315">
        <f t="shared" si="37"/>
        <v>2</v>
      </c>
      <c r="AH25" s="315">
        <f t="shared" si="38"/>
        <v>7</v>
      </c>
      <c r="AI25" s="320">
        <f t="shared" si="39"/>
        <v>9</v>
      </c>
      <c r="AJ25" s="320"/>
      <c r="AK25" s="316"/>
      <c r="AL25" s="316"/>
      <c r="AM25" s="324"/>
      <c r="AN25" s="324">
        <v>9</v>
      </c>
      <c r="AO25" s="324">
        <v>16</v>
      </c>
      <c r="AP25" s="315">
        <v>9</v>
      </c>
      <c r="AQ25" s="315">
        <v>16</v>
      </c>
      <c r="AR25" s="320">
        <f t="shared" si="42"/>
        <v>25</v>
      </c>
      <c r="AS25" s="321">
        <f t="shared" si="43"/>
        <v>26</v>
      </c>
      <c r="AT25" s="321">
        <f t="shared" si="44"/>
        <v>37</v>
      </c>
      <c r="AU25" s="342">
        <v>26</v>
      </c>
      <c r="AV25" s="342">
        <v>37</v>
      </c>
      <c r="AW25" s="322">
        <f t="shared" si="45"/>
        <v>63</v>
      </c>
      <c r="AX25" s="176">
        <f t="shared" si="46"/>
        <v>0.76315789473684215</v>
      </c>
      <c r="AY25" s="176">
        <v>0.76</v>
      </c>
      <c r="AZ25" s="176">
        <f t="shared" si="47"/>
        <v>0.56000000000000005</v>
      </c>
      <c r="BA25" s="175">
        <f t="shared" si="29"/>
        <v>0.94915254237288138</v>
      </c>
      <c r="BB25" s="59">
        <f t="shared" si="30"/>
        <v>0</v>
      </c>
      <c r="BC25" s="60">
        <f t="shared" si="48"/>
        <v>77.333333333333329</v>
      </c>
      <c r="BD25" s="61">
        <f t="shared" si="31"/>
        <v>168</v>
      </c>
      <c r="BE25" s="76"/>
      <c r="BF25" s="66">
        <v>4</v>
      </c>
      <c r="BG25" s="68" t="s">
        <v>54</v>
      </c>
      <c r="BH25" s="67" t="s">
        <v>55</v>
      </c>
      <c r="BI25" s="255"/>
      <c r="BJ25" s="255"/>
      <c r="BK25" s="58">
        <v>0</v>
      </c>
      <c r="BL25" s="58">
        <v>0</v>
      </c>
      <c r="BM25" s="58">
        <v>7</v>
      </c>
      <c r="BN25" s="58">
        <v>8</v>
      </c>
      <c r="BO25" s="58">
        <v>3</v>
      </c>
      <c r="BP25" s="58">
        <v>1</v>
      </c>
      <c r="BQ25" s="58">
        <v>2</v>
      </c>
      <c r="BR25" s="58">
        <v>1</v>
      </c>
      <c r="BS25" s="58">
        <v>1</v>
      </c>
      <c r="BT25" s="58">
        <v>2</v>
      </c>
      <c r="BU25" s="58">
        <v>2</v>
      </c>
      <c r="BV25" s="58">
        <v>1</v>
      </c>
      <c r="BW25" s="58">
        <v>0</v>
      </c>
      <c r="BX25" s="58">
        <v>1</v>
      </c>
      <c r="BY25" s="34">
        <f t="shared" si="49"/>
        <v>15</v>
      </c>
      <c r="BZ25" s="34">
        <f t="shared" si="50"/>
        <v>14</v>
      </c>
      <c r="CA25" s="54">
        <f t="shared" si="51"/>
        <v>29</v>
      </c>
    </row>
    <row r="26" spans="1:79" ht="69.95" customHeight="1">
      <c r="A26" s="311">
        <v>5</v>
      </c>
      <c r="B26" s="312" t="s">
        <v>56</v>
      </c>
      <c r="C26" s="313" t="s">
        <v>57</v>
      </c>
      <c r="D26" s="323">
        <v>150000</v>
      </c>
      <c r="E26" s="314">
        <f>(F26*2)+F26*0.25</f>
        <v>112.5</v>
      </c>
      <c r="F26" s="323">
        <v>50</v>
      </c>
      <c r="G26" s="315">
        <v>27</v>
      </c>
      <c r="H26" s="315">
        <v>22</v>
      </c>
      <c r="I26" s="316">
        <f t="shared" si="32"/>
        <v>49</v>
      </c>
      <c r="J26" s="316">
        <v>49</v>
      </c>
      <c r="K26" s="315">
        <v>2</v>
      </c>
      <c r="L26" s="315">
        <v>5</v>
      </c>
      <c r="M26" s="316">
        <f t="shared" si="33"/>
        <v>7</v>
      </c>
      <c r="N26" s="315">
        <v>0</v>
      </c>
      <c r="O26" s="315">
        <v>0</v>
      </c>
      <c r="P26" s="316">
        <f t="shared" si="34"/>
        <v>0</v>
      </c>
      <c r="Q26" s="315">
        <v>0</v>
      </c>
      <c r="R26" s="315">
        <v>1</v>
      </c>
      <c r="S26" s="316">
        <f t="shared" si="28"/>
        <v>1</v>
      </c>
      <c r="T26" s="316"/>
      <c r="U26" s="316"/>
      <c r="V26" s="316"/>
      <c r="W26" s="317">
        <f t="shared" si="35"/>
        <v>0.98</v>
      </c>
      <c r="X26" s="320">
        <v>8</v>
      </c>
      <c r="Y26" s="317"/>
      <c r="Z26" s="318">
        <f t="shared" si="36"/>
        <v>1.6333333333333333</v>
      </c>
      <c r="AA26" s="319"/>
      <c r="AB26" s="319"/>
      <c r="AC26" s="319"/>
      <c r="AD26" s="315"/>
      <c r="AE26" s="315">
        <v>5</v>
      </c>
      <c r="AF26" s="315">
        <v>9</v>
      </c>
      <c r="AG26" s="315">
        <f t="shared" si="37"/>
        <v>5</v>
      </c>
      <c r="AH26" s="315">
        <f t="shared" si="38"/>
        <v>9</v>
      </c>
      <c r="AI26" s="320">
        <f t="shared" si="39"/>
        <v>14</v>
      </c>
      <c r="AJ26" s="319"/>
      <c r="AK26" s="321"/>
      <c r="AL26" s="321"/>
      <c r="AM26" s="315"/>
      <c r="AN26" s="315">
        <v>17</v>
      </c>
      <c r="AO26" s="315">
        <v>24</v>
      </c>
      <c r="AP26" s="315">
        <f t="shared" si="40"/>
        <v>17</v>
      </c>
      <c r="AQ26" s="315">
        <f t="shared" si="41"/>
        <v>24</v>
      </c>
      <c r="AR26" s="320">
        <f t="shared" si="42"/>
        <v>41</v>
      </c>
      <c r="AS26" s="321">
        <f t="shared" si="43"/>
        <v>51</v>
      </c>
      <c r="AT26" s="321">
        <f t="shared" si="44"/>
        <v>61</v>
      </c>
      <c r="AU26" s="342">
        <v>51</v>
      </c>
      <c r="AV26" s="342">
        <v>61</v>
      </c>
      <c r="AW26" s="322">
        <f t="shared" si="45"/>
        <v>112</v>
      </c>
      <c r="AX26" s="176">
        <f t="shared" si="46"/>
        <v>0.77777777777777779</v>
      </c>
      <c r="AY26" s="176">
        <v>0.78</v>
      </c>
      <c r="AZ26" s="176">
        <f t="shared" si="47"/>
        <v>0.99555555555555553</v>
      </c>
      <c r="BA26" s="176">
        <f t="shared" si="29"/>
        <v>1.6873822975517891</v>
      </c>
      <c r="BB26" s="52">
        <f t="shared" si="30"/>
        <v>7.1428571428571425E-2</v>
      </c>
      <c r="BC26" s="55">
        <f t="shared" si="48"/>
        <v>130.66666666666666</v>
      </c>
      <c r="BD26" s="56">
        <f t="shared" si="31"/>
        <v>298.66666666666663</v>
      </c>
      <c r="BE26" s="75"/>
      <c r="BF26" s="66">
        <v>5</v>
      </c>
      <c r="BG26" s="68" t="s">
        <v>56</v>
      </c>
      <c r="BH26" s="67" t="s">
        <v>57</v>
      </c>
      <c r="BI26" s="255"/>
      <c r="BJ26" s="255"/>
      <c r="BK26" s="51">
        <v>0</v>
      </c>
      <c r="BL26" s="51">
        <v>2</v>
      </c>
      <c r="BM26" s="51">
        <v>11</v>
      </c>
      <c r="BN26" s="51">
        <v>10</v>
      </c>
      <c r="BO26" s="51">
        <v>6</v>
      </c>
      <c r="BP26" s="51">
        <v>1</v>
      </c>
      <c r="BQ26" s="51">
        <v>6</v>
      </c>
      <c r="BR26" s="51">
        <v>7</v>
      </c>
      <c r="BS26" s="51">
        <v>1</v>
      </c>
      <c r="BT26" s="51">
        <v>1</v>
      </c>
      <c r="BU26" s="51">
        <v>2</v>
      </c>
      <c r="BV26" s="51">
        <v>1</v>
      </c>
      <c r="BW26" s="51">
        <v>1</v>
      </c>
      <c r="BX26" s="51">
        <v>0</v>
      </c>
      <c r="BY26" s="53">
        <f t="shared" si="49"/>
        <v>27</v>
      </c>
      <c r="BZ26" s="53">
        <f t="shared" si="50"/>
        <v>22</v>
      </c>
      <c r="CA26" s="57">
        <f t="shared" si="51"/>
        <v>49</v>
      </c>
    </row>
    <row r="27" spans="1:79" ht="69.95" customHeight="1">
      <c r="A27" s="311">
        <v>6</v>
      </c>
      <c r="B27" s="312" t="s">
        <v>58</v>
      </c>
      <c r="C27" s="313" t="s">
        <v>57</v>
      </c>
      <c r="D27" s="323">
        <v>70000</v>
      </c>
      <c r="E27" s="314">
        <f>(F27*2)+F27*0.25</f>
        <v>45</v>
      </c>
      <c r="F27" s="323">
        <v>20</v>
      </c>
      <c r="G27" s="324">
        <v>4</v>
      </c>
      <c r="H27" s="324">
        <v>1</v>
      </c>
      <c r="I27" s="316">
        <f t="shared" si="32"/>
        <v>5</v>
      </c>
      <c r="J27" s="316">
        <v>5</v>
      </c>
      <c r="K27" s="324">
        <v>1</v>
      </c>
      <c r="L27" s="324">
        <v>1</v>
      </c>
      <c r="M27" s="316">
        <f t="shared" si="33"/>
        <v>2</v>
      </c>
      <c r="N27" s="324">
        <v>0</v>
      </c>
      <c r="O27" s="324">
        <v>0</v>
      </c>
      <c r="P27" s="316">
        <f t="shared" si="34"/>
        <v>0</v>
      </c>
      <c r="Q27" s="324">
        <v>0</v>
      </c>
      <c r="R27" s="324">
        <v>0</v>
      </c>
      <c r="S27" s="316">
        <f t="shared" si="28"/>
        <v>0</v>
      </c>
      <c r="T27" s="316"/>
      <c r="U27" s="316"/>
      <c r="V27" s="316"/>
      <c r="W27" s="317">
        <f t="shared" si="35"/>
        <v>0.25</v>
      </c>
      <c r="X27" s="320">
        <v>2</v>
      </c>
      <c r="Y27" s="317"/>
      <c r="Z27" s="317">
        <f t="shared" si="36"/>
        <v>0.35714285714285715</v>
      </c>
      <c r="AA27" s="320"/>
      <c r="AB27" s="320"/>
      <c r="AC27" s="320"/>
      <c r="AD27" s="324"/>
      <c r="AE27" s="324">
        <v>0</v>
      </c>
      <c r="AF27" s="324">
        <v>0</v>
      </c>
      <c r="AG27" s="315">
        <f t="shared" si="37"/>
        <v>0</v>
      </c>
      <c r="AH27" s="315">
        <f t="shared" si="38"/>
        <v>0</v>
      </c>
      <c r="AI27" s="320">
        <f t="shared" si="39"/>
        <v>0</v>
      </c>
      <c r="AJ27" s="320"/>
      <c r="AK27" s="316"/>
      <c r="AL27" s="316"/>
      <c r="AM27" s="324"/>
      <c r="AN27" s="324">
        <v>2</v>
      </c>
      <c r="AO27" s="324">
        <v>1</v>
      </c>
      <c r="AP27" s="315">
        <f t="shared" si="40"/>
        <v>2</v>
      </c>
      <c r="AQ27" s="315">
        <f t="shared" si="41"/>
        <v>1</v>
      </c>
      <c r="AR27" s="320">
        <f t="shared" si="42"/>
        <v>3</v>
      </c>
      <c r="AS27" s="321">
        <f t="shared" si="43"/>
        <v>7</v>
      </c>
      <c r="AT27" s="321">
        <f t="shared" si="44"/>
        <v>3</v>
      </c>
      <c r="AU27" s="342">
        <v>7</v>
      </c>
      <c r="AV27" s="342">
        <v>3</v>
      </c>
      <c r="AW27" s="322">
        <f t="shared" si="45"/>
        <v>10</v>
      </c>
      <c r="AX27" s="176">
        <f t="shared" si="46"/>
        <v>1</v>
      </c>
      <c r="AY27" s="176">
        <v>1</v>
      </c>
      <c r="AZ27" s="176">
        <f t="shared" si="47"/>
        <v>0.22222222222222221</v>
      </c>
      <c r="BA27" s="175">
        <f t="shared" si="29"/>
        <v>0.32284100080710249</v>
      </c>
      <c r="BB27" s="59">
        <f t="shared" si="30"/>
        <v>0.2</v>
      </c>
      <c r="BC27" s="60">
        <f t="shared" si="48"/>
        <v>28.571428571428573</v>
      </c>
      <c r="BD27" s="61">
        <f t="shared" si="31"/>
        <v>57.142857142857146</v>
      </c>
      <c r="BE27" s="76"/>
      <c r="BF27" s="66">
        <v>6</v>
      </c>
      <c r="BG27" s="68" t="s">
        <v>58</v>
      </c>
      <c r="BH27" s="67" t="s">
        <v>57</v>
      </c>
      <c r="BI27" s="255"/>
      <c r="BJ27" s="255"/>
      <c r="BK27" s="58">
        <v>0</v>
      </c>
      <c r="BL27" s="58">
        <v>0</v>
      </c>
      <c r="BM27" s="58">
        <v>0</v>
      </c>
      <c r="BN27" s="58">
        <v>1</v>
      </c>
      <c r="BO27" s="58">
        <v>0</v>
      </c>
      <c r="BP27" s="58">
        <v>0</v>
      </c>
      <c r="BQ27" s="58">
        <v>4</v>
      </c>
      <c r="BR27" s="58">
        <v>0</v>
      </c>
      <c r="BS27" s="58">
        <v>0</v>
      </c>
      <c r="BT27" s="58">
        <v>0</v>
      </c>
      <c r="BU27" s="58">
        <v>0</v>
      </c>
      <c r="BV27" s="58">
        <v>0</v>
      </c>
      <c r="BW27" s="58">
        <v>0</v>
      </c>
      <c r="BX27" s="58">
        <v>0</v>
      </c>
      <c r="BY27" s="34">
        <f t="shared" si="49"/>
        <v>4</v>
      </c>
      <c r="BZ27" s="34">
        <f t="shared" si="50"/>
        <v>1</v>
      </c>
      <c r="CA27" s="54">
        <f t="shared" si="51"/>
        <v>5</v>
      </c>
    </row>
    <row r="28" spans="1:79" ht="69.95" customHeight="1">
      <c r="A28" s="311">
        <v>7</v>
      </c>
      <c r="B28" s="312" t="s">
        <v>59</v>
      </c>
      <c r="C28" s="313" t="s">
        <v>57</v>
      </c>
      <c r="D28" s="323">
        <v>50000</v>
      </c>
      <c r="E28" s="314">
        <f>(F28*2)+F28*0.25</f>
        <v>56.25</v>
      </c>
      <c r="F28" s="323">
        <v>25</v>
      </c>
      <c r="G28" s="315">
        <v>3</v>
      </c>
      <c r="H28" s="315">
        <v>4</v>
      </c>
      <c r="I28" s="316">
        <f t="shared" si="32"/>
        <v>7</v>
      </c>
      <c r="J28" s="316">
        <v>7</v>
      </c>
      <c r="K28" s="315">
        <v>0</v>
      </c>
      <c r="L28" s="315">
        <v>0</v>
      </c>
      <c r="M28" s="316">
        <f t="shared" si="33"/>
        <v>0</v>
      </c>
      <c r="N28" s="315">
        <v>0</v>
      </c>
      <c r="O28" s="315">
        <v>0</v>
      </c>
      <c r="P28" s="316">
        <f t="shared" si="34"/>
        <v>0</v>
      </c>
      <c r="Q28" s="315">
        <v>0</v>
      </c>
      <c r="R28" s="315">
        <v>0</v>
      </c>
      <c r="S28" s="316">
        <f t="shared" si="28"/>
        <v>0</v>
      </c>
      <c r="T28" s="316"/>
      <c r="U28" s="316"/>
      <c r="V28" s="316"/>
      <c r="W28" s="317">
        <f t="shared" si="35"/>
        <v>0.28000000000000003</v>
      </c>
      <c r="X28" s="320">
        <v>0</v>
      </c>
      <c r="Y28" s="317"/>
      <c r="Z28" s="318">
        <f t="shared" si="36"/>
        <v>0.7</v>
      </c>
      <c r="AA28" s="319"/>
      <c r="AB28" s="319"/>
      <c r="AC28" s="319"/>
      <c r="AD28" s="315"/>
      <c r="AE28" s="315">
        <v>0</v>
      </c>
      <c r="AF28" s="315">
        <v>2</v>
      </c>
      <c r="AG28" s="315">
        <f t="shared" si="37"/>
        <v>0</v>
      </c>
      <c r="AH28" s="315">
        <f t="shared" si="38"/>
        <v>2</v>
      </c>
      <c r="AI28" s="320">
        <f t="shared" si="39"/>
        <v>2</v>
      </c>
      <c r="AJ28" s="319"/>
      <c r="AK28" s="321"/>
      <c r="AL28" s="321"/>
      <c r="AM28" s="315"/>
      <c r="AN28" s="315">
        <v>3</v>
      </c>
      <c r="AO28" s="315">
        <v>5</v>
      </c>
      <c r="AP28" s="315">
        <f t="shared" si="40"/>
        <v>3</v>
      </c>
      <c r="AQ28" s="315">
        <f t="shared" si="41"/>
        <v>5</v>
      </c>
      <c r="AR28" s="320">
        <f t="shared" si="42"/>
        <v>8</v>
      </c>
      <c r="AS28" s="321">
        <f t="shared" si="43"/>
        <v>6</v>
      </c>
      <c r="AT28" s="321">
        <f t="shared" si="44"/>
        <v>11</v>
      </c>
      <c r="AU28" s="342">
        <v>6</v>
      </c>
      <c r="AV28" s="342">
        <v>11</v>
      </c>
      <c r="AW28" s="322">
        <f t="shared" si="45"/>
        <v>17</v>
      </c>
      <c r="AX28" s="176">
        <f t="shared" si="46"/>
        <v>0.77777777777777779</v>
      </c>
      <c r="AY28" s="176">
        <v>0.78</v>
      </c>
      <c r="AZ28" s="176">
        <f t="shared" si="47"/>
        <v>0.30222222222222223</v>
      </c>
      <c r="BA28" s="176">
        <f t="shared" si="29"/>
        <v>0.76836158192090398</v>
      </c>
      <c r="BB28" s="52">
        <f t="shared" si="30"/>
        <v>0</v>
      </c>
      <c r="BC28" s="55">
        <f t="shared" si="48"/>
        <v>55.999999999999993</v>
      </c>
      <c r="BD28" s="56">
        <f t="shared" si="31"/>
        <v>136</v>
      </c>
      <c r="BE28" s="75"/>
      <c r="BF28" s="66">
        <v>7</v>
      </c>
      <c r="BG28" s="68" t="s">
        <v>59</v>
      </c>
      <c r="BH28" s="67" t="s">
        <v>57</v>
      </c>
      <c r="BI28" s="255"/>
      <c r="BJ28" s="255"/>
      <c r="BK28" s="51">
        <v>0</v>
      </c>
      <c r="BL28" s="51">
        <v>0</v>
      </c>
      <c r="BM28" s="51">
        <v>1</v>
      </c>
      <c r="BN28" s="51">
        <v>1</v>
      </c>
      <c r="BO28" s="51">
        <v>1</v>
      </c>
      <c r="BP28" s="51">
        <v>1</v>
      </c>
      <c r="BQ28" s="51">
        <v>0</v>
      </c>
      <c r="BR28" s="51">
        <v>1</v>
      </c>
      <c r="BS28" s="51">
        <v>0</v>
      </c>
      <c r="BT28" s="51">
        <v>0</v>
      </c>
      <c r="BU28" s="51">
        <v>0</v>
      </c>
      <c r="BV28" s="51">
        <v>0</v>
      </c>
      <c r="BW28" s="51">
        <v>1</v>
      </c>
      <c r="BX28" s="51">
        <v>1</v>
      </c>
      <c r="BY28" s="53">
        <f t="shared" si="49"/>
        <v>3</v>
      </c>
      <c r="BZ28" s="53">
        <f t="shared" si="50"/>
        <v>4</v>
      </c>
      <c r="CA28" s="57">
        <f t="shared" si="51"/>
        <v>7</v>
      </c>
    </row>
    <row r="29" spans="1:79" ht="69.95" customHeight="1">
      <c r="A29" s="311">
        <v>8</v>
      </c>
      <c r="B29" s="312" t="s">
        <v>60</v>
      </c>
      <c r="C29" s="313" t="s">
        <v>57</v>
      </c>
      <c r="D29" s="323">
        <v>100000</v>
      </c>
      <c r="E29" s="314">
        <f>(F29*2)+F29*0.25</f>
        <v>112.5</v>
      </c>
      <c r="F29" s="323">
        <v>50</v>
      </c>
      <c r="G29" s="324">
        <v>13</v>
      </c>
      <c r="H29" s="324">
        <v>9</v>
      </c>
      <c r="I29" s="316">
        <f t="shared" si="32"/>
        <v>22</v>
      </c>
      <c r="J29" s="316">
        <v>22</v>
      </c>
      <c r="K29" s="324">
        <v>1</v>
      </c>
      <c r="L29" s="324">
        <v>0</v>
      </c>
      <c r="M29" s="316">
        <f t="shared" si="33"/>
        <v>1</v>
      </c>
      <c r="N29" s="324">
        <v>0</v>
      </c>
      <c r="O29" s="324">
        <v>0</v>
      </c>
      <c r="P29" s="316">
        <f t="shared" si="34"/>
        <v>0</v>
      </c>
      <c r="Q29" s="324">
        <v>0</v>
      </c>
      <c r="R29" s="324">
        <v>0</v>
      </c>
      <c r="S29" s="316">
        <f t="shared" si="28"/>
        <v>0</v>
      </c>
      <c r="T29" s="316"/>
      <c r="U29" s="316"/>
      <c r="V29" s="316"/>
      <c r="W29" s="317">
        <f t="shared" si="35"/>
        <v>0.44</v>
      </c>
      <c r="X29" s="320">
        <v>1</v>
      </c>
      <c r="Y29" s="317"/>
      <c r="Z29" s="317">
        <f t="shared" si="36"/>
        <v>1.1000000000000001</v>
      </c>
      <c r="AA29" s="320"/>
      <c r="AB29" s="320"/>
      <c r="AC29" s="320"/>
      <c r="AD29" s="324"/>
      <c r="AE29" s="324">
        <v>4</v>
      </c>
      <c r="AF29" s="324">
        <v>4</v>
      </c>
      <c r="AG29" s="315">
        <f t="shared" si="37"/>
        <v>4</v>
      </c>
      <c r="AH29" s="315">
        <f t="shared" si="38"/>
        <v>4</v>
      </c>
      <c r="AI29" s="320">
        <f t="shared" si="39"/>
        <v>8</v>
      </c>
      <c r="AJ29" s="320"/>
      <c r="AK29" s="316"/>
      <c r="AL29" s="316"/>
      <c r="AM29" s="324"/>
      <c r="AN29" s="324">
        <v>13</v>
      </c>
      <c r="AO29" s="324">
        <v>7</v>
      </c>
      <c r="AP29" s="315">
        <f t="shared" si="40"/>
        <v>13</v>
      </c>
      <c r="AQ29" s="315">
        <f t="shared" si="41"/>
        <v>7</v>
      </c>
      <c r="AR29" s="320">
        <f t="shared" si="42"/>
        <v>20</v>
      </c>
      <c r="AS29" s="321">
        <f t="shared" si="43"/>
        <v>31</v>
      </c>
      <c r="AT29" s="321">
        <f t="shared" si="44"/>
        <v>20</v>
      </c>
      <c r="AU29" s="342">
        <v>31</v>
      </c>
      <c r="AV29" s="342">
        <v>20</v>
      </c>
      <c r="AW29" s="322">
        <f t="shared" si="45"/>
        <v>51</v>
      </c>
      <c r="AX29" s="176">
        <f t="shared" si="46"/>
        <v>0.73333333333333328</v>
      </c>
      <c r="AY29" s="176">
        <v>0.73</v>
      </c>
      <c r="AZ29" s="176">
        <f t="shared" si="47"/>
        <v>0.45333333333333331</v>
      </c>
      <c r="BA29" s="175">
        <f t="shared" si="29"/>
        <v>1.152542372881356</v>
      </c>
      <c r="BB29" s="59">
        <f t="shared" si="30"/>
        <v>1.9607843137254902E-2</v>
      </c>
      <c r="BC29" s="60">
        <f t="shared" si="48"/>
        <v>88</v>
      </c>
      <c r="BD29" s="61">
        <f t="shared" si="31"/>
        <v>204.00000000000003</v>
      </c>
      <c r="BE29" s="76"/>
      <c r="BF29" s="66">
        <v>8</v>
      </c>
      <c r="BG29" s="68" t="s">
        <v>60</v>
      </c>
      <c r="BH29" s="67" t="s">
        <v>57</v>
      </c>
      <c r="BI29" s="255"/>
      <c r="BJ29" s="255"/>
      <c r="BK29" s="58">
        <v>0</v>
      </c>
      <c r="BL29" s="58">
        <v>0</v>
      </c>
      <c r="BM29" s="58">
        <v>3</v>
      </c>
      <c r="BN29" s="58">
        <v>4</v>
      </c>
      <c r="BO29" s="58">
        <v>4</v>
      </c>
      <c r="BP29" s="58">
        <v>1</v>
      </c>
      <c r="BQ29" s="58">
        <v>3</v>
      </c>
      <c r="BR29" s="58">
        <v>2</v>
      </c>
      <c r="BS29" s="58">
        <v>2</v>
      </c>
      <c r="BT29" s="58">
        <v>2</v>
      </c>
      <c r="BU29" s="58">
        <v>1</v>
      </c>
      <c r="BV29" s="58"/>
      <c r="BW29" s="58"/>
      <c r="BX29" s="58"/>
      <c r="BY29" s="34">
        <f t="shared" si="49"/>
        <v>13</v>
      </c>
      <c r="BZ29" s="34">
        <f t="shared" si="50"/>
        <v>9</v>
      </c>
      <c r="CA29" s="54">
        <f t="shared" si="51"/>
        <v>22</v>
      </c>
    </row>
    <row r="30" spans="1:79" ht="69.95" customHeight="1">
      <c r="A30" s="765" t="s">
        <v>102</v>
      </c>
      <c r="B30" s="766"/>
      <c r="C30" s="325" t="s">
        <v>103</v>
      </c>
      <c r="D30" s="326">
        <f>D22+D23+D24+D25+D26+D27+D28+D29</f>
        <v>1410000</v>
      </c>
      <c r="E30" s="314">
        <f>SUM(E22:E29)</f>
        <v>841.75</v>
      </c>
      <c r="F30" s="326">
        <f>SUM(F22:F29)</f>
        <v>365</v>
      </c>
      <c r="G30" s="327">
        <f>SUM(G22:G29)</f>
        <v>117</v>
      </c>
      <c r="H30" s="327">
        <f>SUM(H22:H29)</f>
        <v>109</v>
      </c>
      <c r="I30" s="316">
        <f t="shared" si="32"/>
        <v>226</v>
      </c>
      <c r="J30" s="316">
        <v>226</v>
      </c>
      <c r="K30" s="327">
        <f>SUM(K22:K29)</f>
        <v>16</v>
      </c>
      <c r="L30" s="327">
        <f>SUM(L22:L29)</f>
        <v>11</v>
      </c>
      <c r="M30" s="316">
        <f t="shared" si="33"/>
        <v>27</v>
      </c>
      <c r="N30" s="327">
        <f>SUM(N22:N29)</f>
        <v>0</v>
      </c>
      <c r="O30" s="327">
        <f>SUM(O22:O29)</f>
        <v>0</v>
      </c>
      <c r="P30" s="316">
        <f t="shared" si="34"/>
        <v>0</v>
      </c>
      <c r="Q30" s="327">
        <f>SUM(Q22:Q29)</f>
        <v>3</v>
      </c>
      <c r="R30" s="327">
        <f>SUM(R22:R29)</f>
        <v>2</v>
      </c>
      <c r="S30" s="316">
        <f t="shared" si="28"/>
        <v>5</v>
      </c>
      <c r="T30" s="316"/>
      <c r="U30" s="316"/>
      <c r="V30" s="316"/>
      <c r="W30" s="317">
        <f t="shared" si="35"/>
        <v>0.61917808219178083</v>
      </c>
      <c r="X30" s="320">
        <v>32</v>
      </c>
      <c r="Y30" s="317"/>
      <c r="Z30" s="328">
        <f>I30*4/(D30*0.0008)</f>
        <v>0.8014184397163121</v>
      </c>
      <c r="AA30" s="329">
        <f t="shared" ref="AA30:AF30" si="52">SUM(AA22:AA29)</f>
        <v>0</v>
      </c>
      <c r="AB30" s="327">
        <f t="shared" si="52"/>
        <v>0</v>
      </c>
      <c r="AC30" s="327">
        <f t="shared" si="52"/>
        <v>0</v>
      </c>
      <c r="AD30" s="327">
        <f t="shared" si="52"/>
        <v>0</v>
      </c>
      <c r="AE30" s="327">
        <f t="shared" si="52"/>
        <v>71</v>
      </c>
      <c r="AF30" s="327">
        <f t="shared" si="52"/>
        <v>114</v>
      </c>
      <c r="AG30" s="315">
        <f t="shared" si="37"/>
        <v>71</v>
      </c>
      <c r="AH30" s="315">
        <f t="shared" si="38"/>
        <v>114</v>
      </c>
      <c r="AI30" s="320">
        <f t="shared" si="39"/>
        <v>185</v>
      </c>
      <c r="AJ30" s="327">
        <f t="shared" ref="AJ30:AO30" si="53">SUM(AJ22:AJ29)</f>
        <v>0</v>
      </c>
      <c r="AK30" s="327">
        <f t="shared" si="53"/>
        <v>0</v>
      </c>
      <c r="AL30" s="327">
        <f t="shared" si="53"/>
        <v>0</v>
      </c>
      <c r="AM30" s="327">
        <f t="shared" si="53"/>
        <v>0</v>
      </c>
      <c r="AN30" s="327">
        <f t="shared" si="53"/>
        <v>99</v>
      </c>
      <c r="AO30" s="327">
        <f t="shared" si="53"/>
        <v>154</v>
      </c>
      <c r="AP30" s="315">
        <f t="shared" si="40"/>
        <v>99</v>
      </c>
      <c r="AQ30" s="315">
        <f t="shared" si="41"/>
        <v>154</v>
      </c>
      <c r="AR30" s="320">
        <f t="shared" si="42"/>
        <v>253</v>
      </c>
      <c r="AS30" s="321">
        <f t="shared" si="43"/>
        <v>306</v>
      </c>
      <c r="AT30" s="321">
        <f t="shared" si="44"/>
        <v>390</v>
      </c>
      <c r="AU30" s="321">
        <v>306</v>
      </c>
      <c r="AV30" s="321">
        <v>390</v>
      </c>
      <c r="AW30" s="316">
        <f t="shared" si="45"/>
        <v>696</v>
      </c>
      <c r="AX30" s="176">
        <f t="shared" si="46"/>
        <v>0.54987834549878345</v>
      </c>
      <c r="AY30" s="176">
        <v>0.55000000000000004</v>
      </c>
      <c r="AZ30" s="176">
        <f t="shared" si="47"/>
        <v>0.82684882684882688</v>
      </c>
      <c r="BA30" s="602">
        <f t="shared" si="29"/>
        <v>1.1155186921504987</v>
      </c>
      <c r="BB30" s="63">
        <f t="shared" si="30"/>
        <v>4.5977011494252873E-2</v>
      </c>
      <c r="BC30" s="64">
        <f>I30*4/D30*100000</f>
        <v>64.113475177304963</v>
      </c>
      <c r="BD30" s="65">
        <f t="shared" si="31"/>
        <v>197.44680851063831</v>
      </c>
      <c r="BE30" s="77"/>
      <c r="BF30" s="767" t="s">
        <v>102</v>
      </c>
      <c r="BG30" s="768"/>
      <c r="BH30" s="69" t="s">
        <v>103</v>
      </c>
      <c r="BI30" s="256">
        <f t="shared" ref="BI30:BV30" si="54">SUM(BI22:BI29)</f>
        <v>0</v>
      </c>
      <c r="BJ30" s="256">
        <f t="shared" si="54"/>
        <v>0</v>
      </c>
      <c r="BK30" s="20">
        <f t="shared" si="54"/>
        <v>3</v>
      </c>
      <c r="BL30" s="20">
        <f t="shared" si="54"/>
        <v>8</v>
      </c>
      <c r="BM30" s="20">
        <f t="shared" si="54"/>
        <v>40</v>
      </c>
      <c r="BN30" s="20">
        <f t="shared" si="54"/>
        <v>48</v>
      </c>
      <c r="BO30" s="20">
        <f t="shared" si="54"/>
        <v>23</v>
      </c>
      <c r="BP30" s="20">
        <f t="shared" si="54"/>
        <v>14</v>
      </c>
      <c r="BQ30" s="20">
        <f t="shared" si="54"/>
        <v>26</v>
      </c>
      <c r="BR30" s="20">
        <f t="shared" si="54"/>
        <v>20</v>
      </c>
      <c r="BS30" s="20">
        <f t="shared" si="54"/>
        <v>7</v>
      </c>
      <c r="BT30" s="20">
        <f t="shared" si="54"/>
        <v>7</v>
      </c>
      <c r="BU30" s="20">
        <f t="shared" si="54"/>
        <v>9</v>
      </c>
      <c r="BV30" s="20">
        <f t="shared" si="54"/>
        <v>4</v>
      </c>
      <c r="BW30" s="20">
        <f>SUM(BW22:BW29)</f>
        <v>9</v>
      </c>
      <c r="BX30" s="20">
        <f>SUM(BX22:BX29)</f>
        <v>8</v>
      </c>
      <c r="BY30" s="62">
        <f>BW30+BU30+BS30+BQ30+BO30+BM30+BK30+BI30</f>
        <v>117</v>
      </c>
      <c r="BZ30" s="62">
        <f t="shared" si="50"/>
        <v>109</v>
      </c>
      <c r="CA30" s="62">
        <f t="shared" si="51"/>
        <v>226</v>
      </c>
    </row>
    <row r="31" spans="1:79" ht="18">
      <c r="A31" s="70"/>
      <c r="B31" s="70"/>
      <c r="C31" s="70"/>
      <c r="D31" s="70"/>
      <c r="E31" s="70"/>
      <c r="F31" s="70"/>
      <c r="BI31" s="257"/>
      <c r="BJ31" s="257"/>
    </row>
    <row r="32" spans="1:79" ht="18">
      <c r="A32" s="70"/>
      <c r="B32" s="70"/>
      <c r="C32" s="70"/>
      <c r="D32" s="70"/>
      <c r="E32" s="70"/>
      <c r="F32" s="70"/>
      <c r="BI32" s="257"/>
      <c r="BJ32" s="257"/>
    </row>
    <row r="33" spans="1:79" ht="36.75">
      <c r="A33" s="770" t="s">
        <v>40</v>
      </c>
      <c r="B33" s="771"/>
      <c r="C33" s="458"/>
      <c r="D33" s="459"/>
      <c r="E33" s="459"/>
      <c r="F33" s="459"/>
      <c r="G33" s="459"/>
      <c r="H33" s="459"/>
      <c r="I33" s="459"/>
      <c r="J33" s="459"/>
      <c r="K33" s="459"/>
      <c r="L33" s="459"/>
      <c r="M33" s="459"/>
      <c r="N33" s="459"/>
      <c r="O33" s="459"/>
      <c r="P33" s="459"/>
      <c r="Q33" s="459"/>
      <c r="R33" s="459"/>
      <c r="S33" s="459"/>
      <c r="T33" s="459"/>
      <c r="U33" s="459"/>
      <c r="V33" s="459"/>
      <c r="W33" s="459"/>
      <c r="X33" s="459"/>
      <c r="Y33" s="459"/>
      <c r="Z33" s="459"/>
      <c r="AA33" s="459"/>
      <c r="AB33" s="459"/>
      <c r="AC33" s="459"/>
      <c r="AD33" s="459"/>
      <c r="AE33" s="459"/>
      <c r="AF33" s="459"/>
      <c r="AG33" s="459"/>
      <c r="AH33" s="459"/>
      <c r="AI33" s="459"/>
      <c r="AJ33" s="459"/>
      <c r="AK33" s="459"/>
      <c r="AL33" s="459"/>
      <c r="AM33" s="459"/>
      <c r="AN33" s="459"/>
      <c r="AO33" s="459"/>
      <c r="AP33" s="459"/>
      <c r="AQ33" s="459"/>
      <c r="AR33" s="459"/>
      <c r="AS33" s="459"/>
      <c r="AT33" s="459"/>
      <c r="AU33" s="459"/>
      <c r="AV33" s="459"/>
      <c r="AW33" s="459"/>
      <c r="AX33" s="459"/>
      <c r="AY33" s="459"/>
      <c r="AZ33" s="459"/>
      <c r="BA33" s="459"/>
      <c r="BB33" s="459"/>
      <c r="BC33" s="459"/>
      <c r="BD33" s="459"/>
      <c r="BE33" s="459"/>
      <c r="BF33" s="772" t="s">
        <v>40</v>
      </c>
      <c r="BG33" s="773"/>
      <c r="BH33" s="458"/>
      <c r="BI33" s="460"/>
      <c r="BJ33" s="460"/>
      <c r="BK33" s="459"/>
      <c r="BL33" s="459"/>
      <c r="BM33" s="459"/>
      <c r="BN33" s="459"/>
      <c r="BO33" s="459"/>
      <c r="BP33" s="459"/>
      <c r="BQ33" s="459"/>
      <c r="BR33" s="459"/>
      <c r="BS33" s="459"/>
      <c r="BT33" s="459"/>
      <c r="BU33" s="459"/>
      <c r="BV33" s="459"/>
      <c r="BW33" s="459"/>
      <c r="BX33" s="459"/>
      <c r="BY33" s="459"/>
      <c r="BZ33" s="459"/>
      <c r="CA33" s="459"/>
    </row>
    <row r="34" spans="1:79" ht="30">
      <c r="A34" s="774" t="s">
        <v>105</v>
      </c>
      <c r="B34" s="774"/>
      <c r="C34" s="461"/>
      <c r="D34" s="462"/>
      <c r="E34" s="462"/>
      <c r="F34" s="462"/>
      <c r="G34" s="775" t="s">
        <v>34</v>
      </c>
      <c r="H34" s="775"/>
      <c r="I34" s="775"/>
      <c r="J34" s="775"/>
      <c r="K34" s="775"/>
      <c r="L34" s="775"/>
      <c r="M34" s="775"/>
      <c r="N34" s="775"/>
      <c r="O34" s="775"/>
      <c r="P34" s="775"/>
      <c r="Q34" s="775"/>
      <c r="R34" s="775"/>
      <c r="S34" s="775"/>
      <c r="T34" s="463"/>
      <c r="U34" s="463"/>
      <c r="V34" s="463"/>
      <c r="W34" s="463"/>
      <c r="X34" s="463"/>
      <c r="Y34" s="463"/>
      <c r="Z34" s="464"/>
      <c r="AA34" s="775" t="s">
        <v>28</v>
      </c>
      <c r="AB34" s="775"/>
      <c r="AC34" s="775"/>
      <c r="AD34" s="775"/>
      <c r="AE34" s="775"/>
      <c r="AF34" s="775"/>
      <c r="AG34" s="775"/>
      <c r="AH34" s="775"/>
      <c r="AI34" s="775"/>
      <c r="AJ34" s="775" t="s">
        <v>35</v>
      </c>
      <c r="AK34" s="775"/>
      <c r="AL34" s="775"/>
      <c r="AM34" s="775"/>
      <c r="AN34" s="775"/>
      <c r="AO34" s="775"/>
      <c r="AP34" s="775"/>
      <c r="AQ34" s="775"/>
      <c r="AR34" s="775"/>
      <c r="AS34" s="465"/>
      <c r="AT34" s="466"/>
      <c r="AU34" s="466"/>
      <c r="AV34" s="466"/>
      <c r="AW34" s="466"/>
      <c r="AX34" s="466"/>
      <c r="AY34" s="466"/>
      <c r="AZ34" s="466"/>
      <c r="BA34" s="466"/>
      <c r="BB34" s="466"/>
      <c r="BC34" s="466"/>
      <c r="BD34" s="467"/>
      <c r="BE34" s="466"/>
      <c r="BF34" s="776" t="s">
        <v>105</v>
      </c>
      <c r="BG34" s="777"/>
      <c r="BH34" s="468"/>
      <c r="BI34" s="469"/>
      <c r="BJ34" s="469"/>
      <c r="BK34" s="470"/>
      <c r="BL34" s="470"/>
      <c r="BM34" s="470"/>
      <c r="BN34" s="470"/>
      <c r="BO34" s="470"/>
      <c r="BP34" s="470"/>
      <c r="BQ34" s="470"/>
      <c r="BR34" s="470"/>
      <c r="BS34" s="470"/>
      <c r="BT34" s="470"/>
      <c r="BU34" s="470"/>
      <c r="BV34" s="470"/>
      <c r="BW34" s="470"/>
      <c r="BX34" s="470"/>
      <c r="BY34" s="470"/>
      <c r="BZ34" s="470"/>
      <c r="CA34" s="470"/>
    </row>
    <row r="35" spans="1:79" ht="30">
      <c r="A35" s="778" t="s">
        <v>2</v>
      </c>
      <c r="B35" s="778"/>
      <c r="C35" s="471"/>
      <c r="D35" s="472"/>
      <c r="E35" s="472"/>
      <c r="F35" s="472"/>
      <c r="G35" s="775" t="s">
        <v>10</v>
      </c>
      <c r="H35" s="775"/>
      <c r="I35" s="775"/>
      <c r="J35" s="456"/>
      <c r="K35" s="775" t="s">
        <v>29</v>
      </c>
      <c r="L35" s="775"/>
      <c r="M35" s="775"/>
      <c r="N35" s="775"/>
      <c r="O35" s="775"/>
      <c r="P35" s="775"/>
      <c r="Q35" s="775"/>
      <c r="R35" s="775"/>
      <c r="S35" s="775"/>
      <c r="T35" s="473"/>
      <c r="U35" s="473"/>
      <c r="V35" s="473"/>
      <c r="W35" s="473"/>
      <c r="X35" s="473"/>
      <c r="Y35" s="473"/>
      <c r="Z35" s="474"/>
      <c r="AA35" s="775" t="s">
        <v>12</v>
      </c>
      <c r="AB35" s="775"/>
      <c r="AC35" s="775"/>
      <c r="AD35" s="775"/>
      <c r="AE35" s="775"/>
      <c r="AF35" s="775"/>
      <c r="AG35" s="775"/>
      <c r="AH35" s="775"/>
      <c r="AI35" s="775"/>
      <c r="AJ35" s="775"/>
      <c r="AK35" s="775"/>
      <c r="AL35" s="775"/>
      <c r="AM35" s="775"/>
      <c r="AN35" s="775"/>
      <c r="AO35" s="775"/>
      <c r="AP35" s="775"/>
      <c r="AQ35" s="775"/>
      <c r="AR35" s="775"/>
      <c r="AS35" s="471"/>
      <c r="AT35" s="475"/>
      <c r="AU35" s="475"/>
      <c r="AV35" s="475"/>
      <c r="AW35" s="475"/>
      <c r="AX35" s="476"/>
      <c r="AY35" s="476"/>
      <c r="AZ35" s="476"/>
      <c r="BA35" s="476"/>
      <c r="BB35" s="476"/>
      <c r="BC35" s="476"/>
      <c r="BD35" s="477"/>
      <c r="BE35" s="476"/>
      <c r="BF35" s="779" t="s">
        <v>3</v>
      </c>
      <c r="BG35" s="780"/>
      <c r="BH35" s="478"/>
      <c r="BI35" s="469"/>
      <c r="BJ35" s="469"/>
      <c r="BK35" s="470"/>
      <c r="BL35" s="470"/>
      <c r="BM35" s="470"/>
      <c r="BN35" s="470"/>
      <c r="BO35" s="470"/>
      <c r="BP35" s="470"/>
      <c r="BQ35" s="470"/>
      <c r="BR35" s="470"/>
      <c r="BS35" s="470"/>
      <c r="BT35" s="470"/>
      <c r="BU35" s="470"/>
      <c r="BV35" s="470"/>
      <c r="BW35" s="470"/>
      <c r="BX35" s="470"/>
      <c r="BY35" s="470"/>
      <c r="BZ35" s="470"/>
      <c r="CA35" s="470"/>
    </row>
    <row r="36" spans="1:79" ht="30">
      <c r="A36" s="778" t="s">
        <v>0</v>
      </c>
      <c r="B36" s="781" t="s">
        <v>42</v>
      </c>
      <c r="C36" s="781" t="s">
        <v>43</v>
      </c>
      <c r="D36" s="778" t="s">
        <v>44</v>
      </c>
      <c r="E36" s="457"/>
      <c r="F36" s="457"/>
      <c r="G36" s="775"/>
      <c r="H36" s="775"/>
      <c r="I36" s="775"/>
      <c r="J36" s="456"/>
      <c r="K36" s="775" t="s">
        <v>11</v>
      </c>
      <c r="L36" s="775"/>
      <c r="M36" s="775"/>
      <c r="N36" s="775" t="s">
        <v>38</v>
      </c>
      <c r="O36" s="775"/>
      <c r="P36" s="775"/>
      <c r="Q36" s="775" t="s">
        <v>39</v>
      </c>
      <c r="R36" s="775"/>
      <c r="S36" s="775"/>
      <c r="T36" s="802" t="s">
        <v>47</v>
      </c>
      <c r="U36" s="803"/>
      <c r="V36" s="804"/>
      <c r="W36" s="453"/>
      <c r="X36" s="453"/>
      <c r="Y36" s="453"/>
      <c r="Z36" s="775" t="s">
        <v>13</v>
      </c>
      <c r="AA36" s="778" t="s">
        <v>30</v>
      </c>
      <c r="AB36" s="778"/>
      <c r="AC36" s="778" t="s">
        <v>23</v>
      </c>
      <c r="AD36" s="778"/>
      <c r="AE36" s="778" t="s">
        <v>31</v>
      </c>
      <c r="AF36" s="778"/>
      <c r="AG36" s="779" t="s">
        <v>1</v>
      </c>
      <c r="AH36" s="780"/>
      <c r="AI36" s="778" t="s">
        <v>32</v>
      </c>
      <c r="AJ36" s="778" t="s">
        <v>30</v>
      </c>
      <c r="AK36" s="778"/>
      <c r="AL36" s="778" t="s">
        <v>23</v>
      </c>
      <c r="AM36" s="778"/>
      <c r="AN36" s="778" t="s">
        <v>31</v>
      </c>
      <c r="AO36" s="778"/>
      <c r="AP36" s="779" t="s">
        <v>1</v>
      </c>
      <c r="AQ36" s="780"/>
      <c r="AR36" s="778" t="s">
        <v>32</v>
      </c>
      <c r="AS36" s="775" t="s">
        <v>33</v>
      </c>
      <c r="AT36" s="775"/>
      <c r="AU36" s="775"/>
      <c r="AV36" s="775"/>
      <c r="AW36" s="775"/>
      <c r="AX36" s="783" t="s">
        <v>22</v>
      </c>
      <c r="AY36" s="455"/>
      <c r="AZ36" s="775" t="s">
        <v>164</v>
      </c>
      <c r="BA36" s="775" t="s">
        <v>14</v>
      </c>
      <c r="BB36" s="775" t="s">
        <v>18</v>
      </c>
      <c r="BC36" s="775" t="s">
        <v>19</v>
      </c>
      <c r="BD36" s="775" t="s">
        <v>20</v>
      </c>
      <c r="BE36" s="453"/>
      <c r="BF36" s="780" t="s">
        <v>0</v>
      </c>
      <c r="BG36" s="781" t="s">
        <v>42</v>
      </c>
      <c r="BH36" s="781" t="s">
        <v>43</v>
      </c>
      <c r="BI36" s="784" t="s">
        <v>36</v>
      </c>
      <c r="BJ36" s="784"/>
      <c r="BK36" s="785" t="s">
        <v>141</v>
      </c>
      <c r="BL36" s="785"/>
      <c r="BM36" s="778" t="s">
        <v>4</v>
      </c>
      <c r="BN36" s="778"/>
      <c r="BO36" s="778" t="s">
        <v>5</v>
      </c>
      <c r="BP36" s="778"/>
      <c r="BQ36" s="778" t="s">
        <v>6</v>
      </c>
      <c r="BR36" s="778"/>
      <c r="BS36" s="778" t="s">
        <v>7</v>
      </c>
      <c r="BT36" s="778"/>
      <c r="BU36" s="778" t="s">
        <v>8</v>
      </c>
      <c r="BV36" s="778"/>
      <c r="BW36" s="778" t="s">
        <v>9</v>
      </c>
      <c r="BX36" s="778"/>
      <c r="BY36" s="778" t="s">
        <v>21</v>
      </c>
      <c r="BZ36" s="778"/>
      <c r="CA36" s="778"/>
    </row>
    <row r="37" spans="1:79" ht="30">
      <c r="A37" s="778"/>
      <c r="B37" s="782"/>
      <c r="C37" s="782"/>
      <c r="D37" s="778"/>
      <c r="E37" s="457"/>
      <c r="F37" s="457"/>
      <c r="G37" s="456" t="s">
        <v>16</v>
      </c>
      <c r="H37" s="456" t="s">
        <v>17</v>
      </c>
      <c r="I37" s="456" t="s">
        <v>32</v>
      </c>
      <c r="J37" s="456"/>
      <c r="K37" s="456" t="s">
        <v>16</v>
      </c>
      <c r="L37" s="456" t="s">
        <v>17</v>
      </c>
      <c r="M37" s="456" t="s">
        <v>32</v>
      </c>
      <c r="N37" s="456" t="s">
        <v>16</v>
      </c>
      <c r="O37" s="456" t="s">
        <v>17</v>
      </c>
      <c r="P37" s="456" t="s">
        <v>32</v>
      </c>
      <c r="Q37" s="456" t="s">
        <v>16</v>
      </c>
      <c r="R37" s="456" t="s">
        <v>17</v>
      </c>
      <c r="S37" s="456" t="s">
        <v>32</v>
      </c>
      <c r="T37" s="456" t="s">
        <v>16</v>
      </c>
      <c r="U37" s="456" t="s">
        <v>17</v>
      </c>
      <c r="V37" s="456" t="s">
        <v>32</v>
      </c>
      <c r="W37" s="456"/>
      <c r="X37" s="456"/>
      <c r="Y37" s="456"/>
      <c r="Z37" s="775"/>
      <c r="AA37" s="456" t="s">
        <v>16</v>
      </c>
      <c r="AB37" s="456" t="s">
        <v>17</v>
      </c>
      <c r="AC37" s="456" t="s">
        <v>16</v>
      </c>
      <c r="AD37" s="456" t="s">
        <v>17</v>
      </c>
      <c r="AE37" s="456" t="s">
        <v>16</v>
      </c>
      <c r="AF37" s="456" t="s">
        <v>17</v>
      </c>
      <c r="AG37" s="456" t="s">
        <v>16</v>
      </c>
      <c r="AH37" s="456" t="s">
        <v>17</v>
      </c>
      <c r="AI37" s="778"/>
      <c r="AJ37" s="456" t="s">
        <v>16</v>
      </c>
      <c r="AK37" s="456" t="s">
        <v>17</v>
      </c>
      <c r="AL37" s="456" t="s">
        <v>16</v>
      </c>
      <c r="AM37" s="456" t="s">
        <v>17</v>
      </c>
      <c r="AN37" s="456" t="s">
        <v>16</v>
      </c>
      <c r="AO37" s="456" t="s">
        <v>17</v>
      </c>
      <c r="AP37" s="456" t="s">
        <v>16</v>
      </c>
      <c r="AQ37" s="456" t="s">
        <v>17</v>
      </c>
      <c r="AR37" s="778"/>
      <c r="AS37" s="456" t="s">
        <v>16</v>
      </c>
      <c r="AT37" s="456" t="s">
        <v>17</v>
      </c>
      <c r="AU37" s="456"/>
      <c r="AV37" s="456"/>
      <c r="AW37" s="456" t="s">
        <v>32</v>
      </c>
      <c r="AX37" s="783"/>
      <c r="AY37" s="455"/>
      <c r="AZ37" s="775"/>
      <c r="BA37" s="775"/>
      <c r="BB37" s="775"/>
      <c r="BC37" s="775"/>
      <c r="BD37" s="775"/>
      <c r="BE37" s="453"/>
      <c r="BF37" s="780"/>
      <c r="BG37" s="782"/>
      <c r="BH37" s="782"/>
      <c r="BI37" s="479" t="s">
        <v>16</v>
      </c>
      <c r="BJ37" s="479" t="s">
        <v>17</v>
      </c>
      <c r="BK37" s="456" t="s">
        <v>16</v>
      </c>
      <c r="BL37" s="456" t="s">
        <v>17</v>
      </c>
      <c r="BM37" s="456" t="s">
        <v>16</v>
      </c>
      <c r="BN37" s="456" t="s">
        <v>17</v>
      </c>
      <c r="BO37" s="456" t="s">
        <v>16</v>
      </c>
      <c r="BP37" s="456" t="s">
        <v>17</v>
      </c>
      <c r="BQ37" s="456" t="s">
        <v>16</v>
      </c>
      <c r="BR37" s="456" t="s">
        <v>17</v>
      </c>
      <c r="BS37" s="456" t="s">
        <v>16</v>
      </c>
      <c r="BT37" s="456" t="s">
        <v>17</v>
      </c>
      <c r="BU37" s="456" t="s">
        <v>16</v>
      </c>
      <c r="BV37" s="456" t="s">
        <v>17</v>
      </c>
      <c r="BW37" s="456" t="s">
        <v>16</v>
      </c>
      <c r="BX37" s="456" t="s">
        <v>17</v>
      </c>
      <c r="BY37" s="456" t="s">
        <v>16</v>
      </c>
      <c r="BZ37" s="456" t="s">
        <v>17</v>
      </c>
      <c r="CA37" s="454" t="s">
        <v>32</v>
      </c>
    </row>
    <row r="38" spans="1:79" ht="60" customHeight="1">
      <c r="A38" s="480">
        <v>1</v>
      </c>
      <c r="B38" s="481" t="s">
        <v>48</v>
      </c>
      <c r="C38" s="482" t="s">
        <v>49</v>
      </c>
      <c r="D38" s="483">
        <v>200000</v>
      </c>
      <c r="E38" s="483">
        <v>123</v>
      </c>
      <c r="F38" s="483">
        <v>50</v>
      </c>
      <c r="G38" s="484">
        <v>15</v>
      </c>
      <c r="H38" s="484">
        <v>21</v>
      </c>
      <c r="I38" s="485">
        <f>SUM(G38:H38)</f>
        <v>36</v>
      </c>
      <c r="J38" s="485">
        <v>36</v>
      </c>
      <c r="K38" s="484">
        <v>2</v>
      </c>
      <c r="L38" s="484">
        <v>0</v>
      </c>
      <c r="M38" s="485">
        <f>SUM(K38:L38)</f>
        <v>2</v>
      </c>
      <c r="N38" s="484">
        <v>0</v>
      </c>
      <c r="O38" s="484">
        <v>0</v>
      </c>
      <c r="P38" s="485">
        <f>SUM(N38:O38)</f>
        <v>0</v>
      </c>
      <c r="Q38" s="484">
        <v>0</v>
      </c>
      <c r="R38" s="484">
        <v>0</v>
      </c>
      <c r="S38" s="485">
        <f t="shared" ref="S38:S46" si="55">SUM(Q38:R38)</f>
        <v>0</v>
      </c>
      <c r="T38" s="485"/>
      <c r="U38" s="485"/>
      <c r="V38" s="485"/>
      <c r="W38" s="486">
        <f>I38/F38</f>
        <v>0.72</v>
      </c>
      <c r="X38" s="489">
        <f>M38+P38+S38</f>
        <v>2</v>
      </c>
      <c r="Y38" s="489">
        <v>2</v>
      </c>
      <c r="Z38" s="487">
        <f>I38*4/(D38*0.0008)</f>
        <v>0.9</v>
      </c>
      <c r="AA38" s="488">
        <v>0</v>
      </c>
      <c r="AB38" s="488">
        <v>0</v>
      </c>
      <c r="AC38" s="488">
        <v>0</v>
      </c>
      <c r="AD38" s="484">
        <v>0</v>
      </c>
      <c r="AE38" s="484">
        <v>0</v>
      </c>
      <c r="AF38" s="484">
        <v>0</v>
      </c>
      <c r="AG38" s="484">
        <v>8</v>
      </c>
      <c r="AH38" s="484">
        <v>15</v>
      </c>
      <c r="AI38" s="489">
        <f>AG38+AH38</f>
        <v>23</v>
      </c>
      <c r="AJ38" s="488"/>
      <c r="AK38" s="490"/>
      <c r="AL38" s="490"/>
      <c r="AM38" s="484"/>
      <c r="AN38" s="484"/>
      <c r="AO38" s="484"/>
      <c r="AP38" s="484">
        <v>9</v>
      </c>
      <c r="AQ38" s="484">
        <v>15</v>
      </c>
      <c r="AR38" s="489">
        <f>AP38+AQ38</f>
        <v>24</v>
      </c>
      <c r="AS38" s="490">
        <f>G38+K38+N38+Q38+T38+AG38+AP38</f>
        <v>34</v>
      </c>
      <c r="AT38" s="490">
        <f>H38+L38+O38+R38+U38+AH38+AQ38</f>
        <v>51</v>
      </c>
      <c r="AU38" s="491">
        <v>34</v>
      </c>
      <c r="AV38" s="491">
        <v>51</v>
      </c>
      <c r="AW38" s="492">
        <f>SUM(AS38:AT38)</f>
        <v>85</v>
      </c>
      <c r="AX38" s="487">
        <f>I38/(I38+AI38)</f>
        <v>0.61016949152542377</v>
      </c>
      <c r="AY38" s="487">
        <v>0.61</v>
      </c>
      <c r="AZ38" s="487">
        <f>AW38/E38</f>
        <v>0.69105691056910568</v>
      </c>
      <c r="BA38" s="487">
        <f t="shared" ref="BA38:BA46" si="56">AW38*4/(D38*0.00177)</f>
        <v>0.96045197740112997</v>
      </c>
      <c r="BB38" s="487">
        <f t="shared" ref="BB38:BB46" si="57">(M38+P38+S38)/AW38</f>
        <v>2.3529411764705882E-2</v>
      </c>
      <c r="BC38" s="493">
        <f>I38*4/D38*100000</f>
        <v>72</v>
      </c>
      <c r="BD38" s="494">
        <f t="shared" ref="BD38:BD46" si="58">AW38*4/D38*100000</f>
        <v>170</v>
      </c>
      <c r="BE38" s="495"/>
      <c r="BF38" s="480">
        <v>1</v>
      </c>
      <c r="BG38" s="481" t="s">
        <v>48</v>
      </c>
      <c r="BH38" s="482" t="s">
        <v>49</v>
      </c>
      <c r="BI38" s="496"/>
      <c r="BJ38" s="496"/>
      <c r="BK38" s="484">
        <v>0</v>
      </c>
      <c r="BL38" s="484">
        <v>2</v>
      </c>
      <c r="BM38" s="484">
        <v>5</v>
      </c>
      <c r="BN38" s="484">
        <v>7</v>
      </c>
      <c r="BO38" s="484">
        <v>6</v>
      </c>
      <c r="BP38" s="484">
        <v>5</v>
      </c>
      <c r="BQ38" s="484">
        <v>2</v>
      </c>
      <c r="BR38" s="484">
        <v>3</v>
      </c>
      <c r="BS38" s="484">
        <v>1</v>
      </c>
      <c r="BT38" s="484">
        <v>2</v>
      </c>
      <c r="BU38" s="484">
        <v>0</v>
      </c>
      <c r="BV38" s="484">
        <v>1</v>
      </c>
      <c r="BW38" s="484">
        <v>1</v>
      </c>
      <c r="BX38" s="484">
        <v>1</v>
      </c>
      <c r="BY38" s="490">
        <f>BW38+BU38+BS38+BQ38+BO38+BM38+BK38+BI38</f>
        <v>15</v>
      </c>
      <c r="BZ38" s="490">
        <f>BX38+BV38+BT38+BR38+BP38+BN38+BL38+BJ38</f>
        <v>21</v>
      </c>
      <c r="CA38" s="491">
        <f>BZ38+BY38</f>
        <v>36</v>
      </c>
    </row>
    <row r="39" spans="1:79" ht="60">
      <c r="A39" s="480">
        <v>2</v>
      </c>
      <c r="B39" s="481" t="s">
        <v>50</v>
      </c>
      <c r="C39" s="482" t="s">
        <v>51</v>
      </c>
      <c r="D39" s="497">
        <v>300000</v>
      </c>
      <c r="E39" s="483">
        <v>140</v>
      </c>
      <c r="F39" s="497">
        <v>60</v>
      </c>
      <c r="G39" s="498">
        <v>9</v>
      </c>
      <c r="H39" s="498">
        <v>13</v>
      </c>
      <c r="I39" s="485">
        <f t="shared" ref="I39:I46" si="59">SUM(G39:H39)</f>
        <v>22</v>
      </c>
      <c r="J39" s="485">
        <v>22</v>
      </c>
      <c r="K39" s="498">
        <v>1</v>
      </c>
      <c r="L39" s="498">
        <v>2</v>
      </c>
      <c r="M39" s="485">
        <f t="shared" ref="M39:M46" si="60">SUM(K39:L39)</f>
        <v>3</v>
      </c>
      <c r="N39" s="498">
        <v>0</v>
      </c>
      <c r="O39" s="498">
        <v>0</v>
      </c>
      <c r="P39" s="485">
        <f t="shared" ref="P39:P46" si="61">SUM(N39:O39)</f>
        <v>0</v>
      </c>
      <c r="Q39" s="498">
        <v>5</v>
      </c>
      <c r="R39" s="498">
        <v>6</v>
      </c>
      <c r="S39" s="485">
        <f t="shared" si="55"/>
        <v>11</v>
      </c>
      <c r="T39" s="485"/>
      <c r="U39" s="485"/>
      <c r="V39" s="485"/>
      <c r="W39" s="486">
        <f t="shared" ref="W39:W46" si="62">I39/F39</f>
        <v>0.36666666666666664</v>
      </c>
      <c r="X39" s="489">
        <f t="shared" ref="X39:X46" si="63">M39+P39+S39</f>
        <v>14</v>
      </c>
      <c r="Y39" s="489">
        <v>14</v>
      </c>
      <c r="Z39" s="486">
        <f t="shared" ref="Z39:Z45" si="64">I39*4/(D39*0.0008)</f>
        <v>0.36666666666666664</v>
      </c>
      <c r="AA39" s="489"/>
      <c r="AB39" s="489"/>
      <c r="AC39" s="489"/>
      <c r="AD39" s="498"/>
      <c r="AE39" s="498"/>
      <c r="AF39" s="498"/>
      <c r="AG39" s="484">
        <v>29</v>
      </c>
      <c r="AH39" s="484">
        <v>42</v>
      </c>
      <c r="AI39" s="489">
        <f t="shared" ref="AI39:AI46" si="65">AG39+AH39</f>
        <v>71</v>
      </c>
      <c r="AJ39" s="489"/>
      <c r="AK39" s="485"/>
      <c r="AL39" s="485"/>
      <c r="AM39" s="498"/>
      <c r="AN39" s="498"/>
      <c r="AO39" s="498"/>
      <c r="AP39" s="484">
        <v>8</v>
      </c>
      <c r="AQ39" s="484">
        <v>27</v>
      </c>
      <c r="AR39" s="489">
        <f t="shared" ref="AR39:AR46" si="66">AP39+AQ39</f>
        <v>35</v>
      </c>
      <c r="AS39" s="490">
        <f t="shared" ref="AS39:AS46" si="67">G39+K39+N39+Q39+T39+AG39+AP39</f>
        <v>52</v>
      </c>
      <c r="AT39" s="490">
        <f t="shared" ref="AT39:AT46" si="68">H39+L39+O39+R39+U39+AH39+AQ39</f>
        <v>90</v>
      </c>
      <c r="AU39" s="491">
        <v>52</v>
      </c>
      <c r="AV39" s="491">
        <v>90</v>
      </c>
      <c r="AW39" s="492">
        <f t="shared" ref="AW39:AW46" si="69">SUM(AS39:AT39)</f>
        <v>142</v>
      </c>
      <c r="AX39" s="487">
        <f t="shared" ref="AX39:AX46" si="70">I39/(I39+AI39)</f>
        <v>0.23655913978494625</v>
      </c>
      <c r="AY39" s="487">
        <v>0.24</v>
      </c>
      <c r="AZ39" s="487">
        <f t="shared" ref="AZ39:AZ46" si="71">AW39/E39</f>
        <v>1.0142857142857142</v>
      </c>
      <c r="BA39" s="486">
        <f t="shared" si="56"/>
        <v>1.0696798493408664</v>
      </c>
      <c r="BB39" s="486">
        <f t="shared" si="57"/>
        <v>9.8591549295774641E-2</v>
      </c>
      <c r="BC39" s="499">
        <f t="shared" ref="BC39:BC45" si="72">I39*4/D39*100000</f>
        <v>29.333333333333332</v>
      </c>
      <c r="BD39" s="500">
        <f t="shared" si="58"/>
        <v>189.33333333333331</v>
      </c>
      <c r="BE39" s="501"/>
      <c r="BF39" s="480">
        <v>2</v>
      </c>
      <c r="BG39" s="481" t="s">
        <v>50</v>
      </c>
      <c r="BH39" s="482" t="s">
        <v>51</v>
      </c>
      <c r="BI39" s="496"/>
      <c r="BJ39" s="496"/>
      <c r="BK39" s="498">
        <v>0</v>
      </c>
      <c r="BL39" s="498">
        <v>0</v>
      </c>
      <c r="BM39" s="498">
        <v>3</v>
      </c>
      <c r="BN39" s="498">
        <v>10</v>
      </c>
      <c r="BO39" s="498">
        <v>2</v>
      </c>
      <c r="BP39" s="498">
        <v>2</v>
      </c>
      <c r="BQ39" s="498">
        <v>2</v>
      </c>
      <c r="BR39" s="498">
        <v>0</v>
      </c>
      <c r="BS39" s="498">
        <v>1</v>
      </c>
      <c r="BT39" s="498">
        <v>1</v>
      </c>
      <c r="BU39" s="498">
        <v>1</v>
      </c>
      <c r="BV39" s="498">
        <v>0</v>
      </c>
      <c r="BW39" s="498">
        <v>0</v>
      </c>
      <c r="BX39" s="498">
        <v>0</v>
      </c>
      <c r="BY39" s="485">
        <f t="shared" ref="BY39:BY45" si="73">BW39+BU39+BS39+BQ39+BO39+BM39+BK39+BI39</f>
        <v>9</v>
      </c>
      <c r="BZ39" s="485">
        <f t="shared" ref="BZ39:BZ46" si="74">BX39+BV39+BT39+BR39+BP39+BN39+BL39+BJ39</f>
        <v>13</v>
      </c>
      <c r="CA39" s="492">
        <f t="shared" ref="CA39:CA46" si="75">BZ39+BY39</f>
        <v>22</v>
      </c>
    </row>
    <row r="40" spans="1:79" ht="54.75" customHeight="1">
      <c r="A40" s="480">
        <v>3</v>
      </c>
      <c r="B40" s="481" t="s">
        <v>52</v>
      </c>
      <c r="C40" s="482" t="s">
        <v>53</v>
      </c>
      <c r="D40" s="497">
        <v>390000</v>
      </c>
      <c r="E40" s="483">
        <v>140</v>
      </c>
      <c r="F40" s="497">
        <v>60</v>
      </c>
      <c r="G40" s="498">
        <v>12</v>
      </c>
      <c r="H40" s="498">
        <v>20</v>
      </c>
      <c r="I40" s="485">
        <f t="shared" si="59"/>
        <v>32</v>
      </c>
      <c r="J40" s="485">
        <v>32</v>
      </c>
      <c r="K40" s="498">
        <v>1</v>
      </c>
      <c r="L40" s="498">
        <v>0</v>
      </c>
      <c r="M40" s="485">
        <f t="shared" si="60"/>
        <v>1</v>
      </c>
      <c r="N40" s="498">
        <v>0</v>
      </c>
      <c r="O40" s="498">
        <v>0</v>
      </c>
      <c r="P40" s="485">
        <f t="shared" si="61"/>
        <v>0</v>
      </c>
      <c r="Q40" s="498">
        <v>1</v>
      </c>
      <c r="R40" s="498">
        <v>0</v>
      </c>
      <c r="S40" s="485">
        <f t="shared" si="55"/>
        <v>1</v>
      </c>
      <c r="T40" s="485"/>
      <c r="U40" s="485"/>
      <c r="V40" s="485"/>
      <c r="W40" s="486">
        <f t="shared" si="62"/>
        <v>0.53333333333333333</v>
      </c>
      <c r="X40" s="489">
        <f t="shared" si="63"/>
        <v>2</v>
      </c>
      <c r="Y40" s="489">
        <v>2</v>
      </c>
      <c r="Z40" s="487">
        <f t="shared" si="64"/>
        <v>0.41025641025641024</v>
      </c>
      <c r="AA40" s="488"/>
      <c r="AB40" s="488"/>
      <c r="AC40" s="488"/>
      <c r="AD40" s="484"/>
      <c r="AE40" s="484"/>
      <c r="AF40" s="484"/>
      <c r="AG40" s="484">
        <v>15</v>
      </c>
      <c r="AH40" s="484">
        <v>19</v>
      </c>
      <c r="AI40" s="489">
        <f t="shared" si="65"/>
        <v>34</v>
      </c>
      <c r="AJ40" s="488"/>
      <c r="AK40" s="490"/>
      <c r="AL40" s="490"/>
      <c r="AM40" s="484"/>
      <c r="AN40" s="484"/>
      <c r="AO40" s="484"/>
      <c r="AP40" s="484">
        <v>20</v>
      </c>
      <c r="AQ40" s="484">
        <v>39</v>
      </c>
      <c r="AR40" s="489">
        <f t="shared" si="66"/>
        <v>59</v>
      </c>
      <c r="AS40" s="490">
        <f t="shared" si="67"/>
        <v>49</v>
      </c>
      <c r="AT40" s="490">
        <f t="shared" si="68"/>
        <v>78</v>
      </c>
      <c r="AU40" s="491">
        <v>49</v>
      </c>
      <c r="AV40" s="491">
        <v>78</v>
      </c>
      <c r="AW40" s="492">
        <f t="shared" si="69"/>
        <v>127</v>
      </c>
      <c r="AX40" s="487">
        <f t="shared" si="70"/>
        <v>0.48484848484848486</v>
      </c>
      <c r="AY40" s="487">
        <v>0.48</v>
      </c>
      <c r="AZ40" s="487">
        <f t="shared" si="71"/>
        <v>0.90714285714285714</v>
      </c>
      <c r="BA40" s="487">
        <f t="shared" si="56"/>
        <v>0.73591192235260028</v>
      </c>
      <c r="BB40" s="487">
        <f t="shared" si="57"/>
        <v>1.5748031496062992E-2</v>
      </c>
      <c r="BC40" s="493">
        <f t="shared" si="72"/>
        <v>32.820512820512818</v>
      </c>
      <c r="BD40" s="494">
        <f t="shared" si="58"/>
        <v>130.25641025641025</v>
      </c>
      <c r="BE40" s="495"/>
      <c r="BF40" s="480">
        <v>3</v>
      </c>
      <c r="BG40" s="481" t="s">
        <v>52</v>
      </c>
      <c r="BH40" s="482" t="s">
        <v>53</v>
      </c>
      <c r="BI40" s="496"/>
      <c r="BJ40" s="496"/>
      <c r="BK40" s="498">
        <v>0</v>
      </c>
      <c r="BL40" s="498">
        <v>2</v>
      </c>
      <c r="BM40" s="498">
        <v>4</v>
      </c>
      <c r="BN40" s="498">
        <v>9</v>
      </c>
      <c r="BO40" s="498">
        <v>3</v>
      </c>
      <c r="BP40" s="498">
        <v>5</v>
      </c>
      <c r="BQ40" s="498">
        <v>2</v>
      </c>
      <c r="BR40" s="498">
        <v>1</v>
      </c>
      <c r="BS40" s="498">
        <v>3</v>
      </c>
      <c r="BT40" s="498">
        <v>2</v>
      </c>
      <c r="BU40" s="498">
        <v>0</v>
      </c>
      <c r="BV40" s="498">
        <v>1</v>
      </c>
      <c r="BW40" s="498">
        <v>0</v>
      </c>
      <c r="BX40" s="498">
        <v>0</v>
      </c>
      <c r="BY40" s="490">
        <f t="shared" si="73"/>
        <v>12</v>
      </c>
      <c r="BZ40" s="490">
        <f t="shared" si="74"/>
        <v>20</v>
      </c>
      <c r="CA40" s="491">
        <f t="shared" si="75"/>
        <v>32</v>
      </c>
    </row>
    <row r="41" spans="1:79" ht="61.5" customHeight="1">
      <c r="A41" s="480">
        <v>4</v>
      </c>
      <c r="B41" s="481" t="s">
        <v>54</v>
      </c>
      <c r="C41" s="482" t="s">
        <v>55</v>
      </c>
      <c r="D41" s="497">
        <v>150000</v>
      </c>
      <c r="E41" s="483">
        <f>(F41*2)+F41*0.25</f>
        <v>112.5</v>
      </c>
      <c r="F41" s="497">
        <v>50</v>
      </c>
      <c r="G41" s="498">
        <v>5</v>
      </c>
      <c r="H41" s="498">
        <v>3</v>
      </c>
      <c r="I41" s="485">
        <f t="shared" si="59"/>
        <v>8</v>
      </c>
      <c r="J41" s="485">
        <v>8</v>
      </c>
      <c r="K41" s="498">
        <v>1</v>
      </c>
      <c r="L41" s="498">
        <v>0</v>
      </c>
      <c r="M41" s="485">
        <f t="shared" si="60"/>
        <v>1</v>
      </c>
      <c r="N41" s="498">
        <v>0</v>
      </c>
      <c r="O41" s="498">
        <v>0</v>
      </c>
      <c r="P41" s="485">
        <f t="shared" si="61"/>
        <v>0</v>
      </c>
      <c r="Q41" s="498">
        <v>0</v>
      </c>
      <c r="R41" s="498">
        <v>1</v>
      </c>
      <c r="S41" s="485">
        <f t="shared" si="55"/>
        <v>1</v>
      </c>
      <c r="T41" s="485"/>
      <c r="U41" s="485"/>
      <c r="V41" s="485"/>
      <c r="W41" s="486">
        <f t="shared" si="62"/>
        <v>0.16</v>
      </c>
      <c r="X41" s="489">
        <f t="shared" si="63"/>
        <v>2</v>
      </c>
      <c r="Y41" s="489">
        <v>2</v>
      </c>
      <c r="Z41" s="486">
        <f t="shared" si="64"/>
        <v>0.26666666666666666</v>
      </c>
      <c r="AA41" s="489"/>
      <c r="AB41" s="489"/>
      <c r="AC41" s="489"/>
      <c r="AD41" s="498"/>
      <c r="AE41" s="498"/>
      <c r="AF41" s="498"/>
      <c r="AG41" s="484">
        <v>4</v>
      </c>
      <c r="AH41" s="484">
        <v>7</v>
      </c>
      <c r="AI41" s="489">
        <f t="shared" si="65"/>
        <v>11</v>
      </c>
      <c r="AJ41" s="489"/>
      <c r="AK41" s="485"/>
      <c r="AL41" s="485"/>
      <c r="AM41" s="498"/>
      <c r="AN41" s="498"/>
      <c r="AO41" s="498"/>
      <c r="AP41" s="484">
        <v>6</v>
      </c>
      <c r="AQ41" s="484">
        <v>7</v>
      </c>
      <c r="AR41" s="489">
        <f t="shared" si="66"/>
        <v>13</v>
      </c>
      <c r="AS41" s="490">
        <f t="shared" si="67"/>
        <v>16</v>
      </c>
      <c r="AT41" s="490">
        <f t="shared" si="68"/>
        <v>18</v>
      </c>
      <c r="AU41" s="491">
        <v>16</v>
      </c>
      <c r="AV41" s="491">
        <v>18</v>
      </c>
      <c r="AW41" s="492">
        <f t="shared" si="69"/>
        <v>34</v>
      </c>
      <c r="AX41" s="487">
        <f t="shared" si="70"/>
        <v>0.42105263157894735</v>
      </c>
      <c r="AY41" s="487">
        <v>0.42</v>
      </c>
      <c r="AZ41" s="487">
        <f t="shared" si="71"/>
        <v>0.30222222222222223</v>
      </c>
      <c r="BA41" s="486">
        <f t="shared" si="56"/>
        <v>0.51224105461393599</v>
      </c>
      <c r="BB41" s="486">
        <f t="shared" si="57"/>
        <v>5.8823529411764705E-2</v>
      </c>
      <c r="BC41" s="499">
        <f t="shared" si="72"/>
        <v>21.333333333333332</v>
      </c>
      <c r="BD41" s="500">
        <f t="shared" si="58"/>
        <v>90.666666666666657</v>
      </c>
      <c r="BE41" s="501"/>
      <c r="BF41" s="480">
        <v>4</v>
      </c>
      <c r="BG41" s="481" t="s">
        <v>54</v>
      </c>
      <c r="BH41" s="482" t="s">
        <v>55</v>
      </c>
      <c r="BI41" s="496"/>
      <c r="BJ41" s="496"/>
      <c r="BK41" s="498">
        <v>0</v>
      </c>
      <c r="BL41" s="498">
        <v>0</v>
      </c>
      <c r="BM41" s="498">
        <v>1</v>
      </c>
      <c r="BN41" s="498">
        <v>0</v>
      </c>
      <c r="BO41" s="498">
        <v>1</v>
      </c>
      <c r="BP41" s="498">
        <v>1</v>
      </c>
      <c r="BQ41" s="498">
        <v>3</v>
      </c>
      <c r="BR41" s="498">
        <v>0</v>
      </c>
      <c r="BS41" s="498">
        <v>0</v>
      </c>
      <c r="BT41" s="498">
        <v>0</v>
      </c>
      <c r="BU41" s="498">
        <v>0</v>
      </c>
      <c r="BV41" s="498">
        <v>1</v>
      </c>
      <c r="BW41" s="498">
        <v>0</v>
      </c>
      <c r="BX41" s="498">
        <v>1</v>
      </c>
      <c r="BY41" s="485">
        <f t="shared" si="73"/>
        <v>5</v>
      </c>
      <c r="BZ41" s="485">
        <f t="shared" si="74"/>
        <v>3</v>
      </c>
      <c r="CA41" s="492">
        <f t="shared" si="75"/>
        <v>8</v>
      </c>
    </row>
    <row r="42" spans="1:79" ht="54.75" customHeight="1">
      <c r="A42" s="480">
        <v>5</v>
      </c>
      <c r="B42" s="481" t="s">
        <v>56</v>
      </c>
      <c r="C42" s="482" t="s">
        <v>57</v>
      </c>
      <c r="D42" s="497">
        <v>150000</v>
      </c>
      <c r="E42" s="483">
        <f>(F42*2)+F42*0.25</f>
        <v>112.5</v>
      </c>
      <c r="F42" s="497">
        <v>50</v>
      </c>
      <c r="G42" s="484">
        <v>15</v>
      </c>
      <c r="H42" s="484">
        <v>14</v>
      </c>
      <c r="I42" s="485">
        <f t="shared" si="59"/>
        <v>29</v>
      </c>
      <c r="J42" s="485">
        <v>29</v>
      </c>
      <c r="K42" s="484">
        <v>0</v>
      </c>
      <c r="L42" s="484">
        <v>2</v>
      </c>
      <c r="M42" s="485">
        <f t="shared" si="60"/>
        <v>2</v>
      </c>
      <c r="N42" s="484">
        <v>0</v>
      </c>
      <c r="O42" s="484">
        <v>0</v>
      </c>
      <c r="P42" s="485">
        <f t="shared" si="61"/>
        <v>0</v>
      </c>
      <c r="Q42" s="484">
        <v>2</v>
      </c>
      <c r="R42" s="484">
        <v>1</v>
      </c>
      <c r="S42" s="485">
        <f t="shared" si="55"/>
        <v>3</v>
      </c>
      <c r="T42" s="485"/>
      <c r="U42" s="485"/>
      <c r="V42" s="485"/>
      <c r="W42" s="486">
        <f t="shared" si="62"/>
        <v>0.57999999999999996</v>
      </c>
      <c r="X42" s="489">
        <f t="shared" si="63"/>
        <v>5</v>
      </c>
      <c r="Y42" s="489">
        <v>5</v>
      </c>
      <c r="Z42" s="487">
        <f t="shared" si="64"/>
        <v>0.96666666666666667</v>
      </c>
      <c r="AA42" s="488"/>
      <c r="AB42" s="488"/>
      <c r="AC42" s="488"/>
      <c r="AD42" s="484"/>
      <c r="AE42" s="484"/>
      <c r="AF42" s="484"/>
      <c r="AG42" s="484">
        <v>4</v>
      </c>
      <c r="AH42" s="484">
        <v>10</v>
      </c>
      <c r="AI42" s="489">
        <f t="shared" si="65"/>
        <v>14</v>
      </c>
      <c r="AJ42" s="488"/>
      <c r="AK42" s="490"/>
      <c r="AL42" s="490"/>
      <c r="AM42" s="484"/>
      <c r="AN42" s="484"/>
      <c r="AO42" s="484"/>
      <c r="AP42" s="484">
        <v>7</v>
      </c>
      <c r="AQ42" s="484">
        <v>8</v>
      </c>
      <c r="AR42" s="489">
        <f t="shared" si="66"/>
        <v>15</v>
      </c>
      <c r="AS42" s="490">
        <f t="shared" si="67"/>
        <v>28</v>
      </c>
      <c r="AT42" s="490">
        <f t="shared" si="68"/>
        <v>35</v>
      </c>
      <c r="AU42" s="491">
        <v>28</v>
      </c>
      <c r="AV42" s="491">
        <v>35</v>
      </c>
      <c r="AW42" s="492">
        <f t="shared" si="69"/>
        <v>63</v>
      </c>
      <c r="AX42" s="487">
        <f t="shared" si="70"/>
        <v>0.67441860465116277</v>
      </c>
      <c r="AY42" s="487">
        <v>0.67</v>
      </c>
      <c r="AZ42" s="487">
        <f t="shared" si="71"/>
        <v>0.56000000000000005</v>
      </c>
      <c r="BA42" s="487">
        <f t="shared" si="56"/>
        <v>0.94915254237288138</v>
      </c>
      <c r="BB42" s="487">
        <f t="shared" si="57"/>
        <v>7.9365079365079361E-2</v>
      </c>
      <c r="BC42" s="493">
        <f t="shared" si="72"/>
        <v>77.333333333333329</v>
      </c>
      <c r="BD42" s="494">
        <f t="shared" si="58"/>
        <v>168</v>
      </c>
      <c r="BE42" s="495"/>
      <c r="BF42" s="480">
        <v>5</v>
      </c>
      <c r="BG42" s="481" t="s">
        <v>56</v>
      </c>
      <c r="BH42" s="482" t="s">
        <v>57</v>
      </c>
      <c r="BI42" s="496"/>
      <c r="BJ42" s="496"/>
      <c r="BK42" s="484">
        <v>1</v>
      </c>
      <c r="BL42" s="484">
        <v>2</v>
      </c>
      <c r="BM42" s="484">
        <v>7</v>
      </c>
      <c r="BN42" s="484">
        <v>6</v>
      </c>
      <c r="BO42" s="484">
        <v>3</v>
      </c>
      <c r="BP42" s="484">
        <v>2</v>
      </c>
      <c r="BQ42" s="484">
        <v>3</v>
      </c>
      <c r="BR42" s="484">
        <v>4</v>
      </c>
      <c r="BS42" s="484">
        <v>0</v>
      </c>
      <c r="BT42" s="484">
        <v>0</v>
      </c>
      <c r="BU42" s="484">
        <v>0</v>
      </c>
      <c r="BV42" s="484">
        <v>0</v>
      </c>
      <c r="BW42" s="484">
        <v>1</v>
      </c>
      <c r="BX42" s="484">
        <v>0</v>
      </c>
      <c r="BY42" s="490">
        <f t="shared" si="73"/>
        <v>15</v>
      </c>
      <c r="BZ42" s="490">
        <f t="shared" si="74"/>
        <v>14</v>
      </c>
      <c r="CA42" s="491">
        <f t="shared" si="75"/>
        <v>29</v>
      </c>
    </row>
    <row r="43" spans="1:79" ht="60">
      <c r="A43" s="480">
        <v>6</v>
      </c>
      <c r="B43" s="481" t="s">
        <v>58</v>
      </c>
      <c r="C43" s="482" t="s">
        <v>57</v>
      </c>
      <c r="D43" s="497">
        <v>70000</v>
      </c>
      <c r="E43" s="483">
        <f>(F43*2)+F43*0.25</f>
        <v>45</v>
      </c>
      <c r="F43" s="497">
        <v>20</v>
      </c>
      <c r="G43" s="498">
        <v>1</v>
      </c>
      <c r="H43" s="498">
        <v>1</v>
      </c>
      <c r="I43" s="485">
        <f t="shared" si="59"/>
        <v>2</v>
      </c>
      <c r="J43" s="485">
        <v>2</v>
      </c>
      <c r="K43" s="498">
        <v>1</v>
      </c>
      <c r="L43" s="498">
        <v>0</v>
      </c>
      <c r="M43" s="485">
        <f t="shared" si="60"/>
        <v>1</v>
      </c>
      <c r="N43" s="498">
        <v>0</v>
      </c>
      <c r="O43" s="498">
        <v>0</v>
      </c>
      <c r="P43" s="485">
        <f t="shared" si="61"/>
        <v>0</v>
      </c>
      <c r="Q43" s="498">
        <v>0</v>
      </c>
      <c r="R43" s="498">
        <v>0</v>
      </c>
      <c r="S43" s="485">
        <f t="shared" si="55"/>
        <v>0</v>
      </c>
      <c r="T43" s="485"/>
      <c r="U43" s="485"/>
      <c r="V43" s="485"/>
      <c r="W43" s="486">
        <f t="shared" si="62"/>
        <v>0.1</v>
      </c>
      <c r="X43" s="489">
        <f t="shared" si="63"/>
        <v>1</v>
      </c>
      <c r="Y43" s="489">
        <v>1</v>
      </c>
      <c r="Z43" s="486">
        <f t="shared" si="64"/>
        <v>0.14285714285714285</v>
      </c>
      <c r="AA43" s="489"/>
      <c r="AB43" s="489"/>
      <c r="AC43" s="489"/>
      <c r="AD43" s="498"/>
      <c r="AE43" s="498"/>
      <c r="AF43" s="498"/>
      <c r="AG43" s="484">
        <v>1</v>
      </c>
      <c r="AH43" s="484">
        <v>2</v>
      </c>
      <c r="AI43" s="489">
        <f t="shared" si="65"/>
        <v>3</v>
      </c>
      <c r="AJ43" s="489"/>
      <c r="AK43" s="485"/>
      <c r="AL43" s="485"/>
      <c r="AM43" s="498"/>
      <c r="AN43" s="498"/>
      <c r="AO43" s="498"/>
      <c r="AP43" s="484">
        <f>AJ43+AL43+AN43</f>
        <v>0</v>
      </c>
      <c r="AQ43" s="484">
        <v>2</v>
      </c>
      <c r="AR43" s="489">
        <f t="shared" si="66"/>
        <v>2</v>
      </c>
      <c r="AS43" s="490">
        <f t="shared" si="67"/>
        <v>3</v>
      </c>
      <c r="AT43" s="490">
        <f t="shared" si="68"/>
        <v>5</v>
      </c>
      <c r="AU43" s="491">
        <v>3</v>
      </c>
      <c r="AV43" s="491">
        <v>5</v>
      </c>
      <c r="AW43" s="492">
        <f t="shared" si="69"/>
        <v>8</v>
      </c>
      <c r="AX43" s="487">
        <f t="shared" si="70"/>
        <v>0.4</v>
      </c>
      <c r="AY43" s="487">
        <v>0.4</v>
      </c>
      <c r="AZ43" s="487">
        <f t="shared" si="71"/>
        <v>0.17777777777777778</v>
      </c>
      <c r="BA43" s="486">
        <f t="shared" si="56"/>
        <v>0.25827280064568198</v>
      </c>
      <c r="BB43" s="486">
        <f t="shared" si="57"/>
        <v>0.125</v>
      </c>
      <c r="BC43" s="499">
        <f t="shared" si="72"/>
        <v>11.428571428571429</v>
      </c>
      <c r="BD43" s="500">
        <f t="shared" si="58"/>
        <v>45.714285714285715</v>
      </c>
      <c r="BE43" s="501"/>
      <c r="BF43" s="480">
        <v>6</v>
      </c>
      <c r="BG43" s="481" t="s">
        <v>58</v>
      </c>
      <c r="BH43" s="482" t="s">
        <v>57</v>
      </c>
      <c r="BI43" s="496"/>
      <c r="BJ43" s="496"/>
      <c r="BK43" s="498">
        <v>0</v>
      </c>
      <c r="BL43" s="498">
        <v>0</v>
      </c>
      <c r="BM43" s="498">
        <v>0</v>
      </c>
      <c r="BN43" s="498">
        <v>0</v>
      </c>
      <c r="BO43" s="498">
        <v>0</v>
      </c>
      <c r="BP43" s="498">
        <v>0</v>
      </c>
      <c r="BQ43" s="498">
        <v>0</v>
      </c>
      <c r="BR43" s="498">
        <v>1</v>
      </c>
      <c r="BS43" s="498">
        <v>1</v>
      </c>
      <c r="BT43" s="498">
        <v>0</v>
      </c>
      <c r="BU43" s="498">
        <v>0</v>
      </c>
      <c r="BV43" s="498">
        <v>0</v>
      </c>
      <c r="BW43" s="498">
        <v>0</v>
      </c>
      <c r="BX43" s="498">
        <v>0</v>
      </c>
      <c r="BY43" s="485">
        <f t="shared" si="73"/>
        <v>1</v>
      </c>
      <c r="BZ43" s="485">
        <f t="shared" si="74"/>
        <v>1</v>
      </c>
      <c r="CA43" s="492">
        <f t="shared" si="75"/>
        <v>2</v>
      </c>
    </row>
    <row r="44" spans="1:79" ht="60">
      <c r="A44" s="480">
        <v>7</v>
      </c>
      <c r="B44" s="481" t="s">
        <v>59</v>
      </c>
      <c r="C44" s="482" t="s">
        <v>57</v>
      </c>
      <c r="D44" s="497">
        <v>50000</v>
      </c>
      <c r="E44" s="483">
        <f>(F44*2)+F44*0.25</f>
        <v>56.25</v>
      </c>
      <c r="F44" s="497">
        <v>25</v>
      </c>
      <c r="G44" s="498">
        <v>6</v>
      </c>
      <c r="H44" s="498">
        <v>5</v>
      </c>
      <c r="I44" s="485">
        <f t="shared" si="59"/>
        <v>11</v>
      </c>
      <c r="J44" s="485">
        <v>11</v>
      </c>
      <c r="K44" s="498">
        <v>0</v>
      </c>
      <c r="L44" s="498">
        <v>0</v>
      </c>
      <c r="M44" s="485">
        <f t="shared" si="60"/>
        <v>0</v>
      </c>
      <c r="N44" s="498">
        <v>0</v>
      </c>
      <c r="O44" s="498">
        <v>0</v>
      </c>
      <c r="P44" s="485">
        <f t="shared" si="61"/>
        <v>0</v>
      </c>
      <c r="Q44" s="498">
        <v>0</v>
      </c>
      <c r="R44" s="498">
        <v>0</v>
      </c>
      <c r="S44" s="485">
        <f t="shared" si="55"/>
        <v>0</v>
      </c>
      <c r="T44" s="485"/>
      <c r="U44" s="485"/>
      <c r="V44" s="485"/>
      <c r="W44" s="486">
        <f t="shared" si="62"/>
        <v>0.44</v>
      </c>
      <c r="X44" s="489">
        <f t="shared" si="63"/>
        <v>0</v>
      </c>
      <c r="Y44" s="489">
        <v>0</v>
      </c>
      <c r="Z44" s="487">
        <f t="shared" si="64"/>
        <v>1.1000000000000001</v>
      </c>
      <c r="AA44" s="488"/>
      <c r="AB44" s="488"/>
      <c r="AC44" s="488"/>
      <c r="AD44" s="484"/>
      <c r="AE44" s="484"/>
      <c r="AF44" s="484"/>
      <c r="AG44" s="484">
        <f>AA44+AC44+AE44</f>
        <v>0</v>
      </c>
      <c r="AH44" s="484">
        <f>AB44+AD44+AF44</f>
        <v>0</v>
      </c>
      <c r="AI44" s="489">
        <f t="shared" si="65"/>
        <v>0</v>
      </c>
      <c r="AJ44" s="488"/>
      <c r="AK44" s="490"/>
      <c r="AL44" s="490"/>
      <c r="AM44" s="484"/>
      <c r="AN44" s="484"/>
      <c r="AO44" s="484"/>
      <c r="AP44" s="484">
        <v>3</v>
      </c>
      <c r="AQ44" s="484">
        <v>4</v>
      </c>
      <c r="AR44" s="489">
        <f t="shared" si="66"/>
        <v>7</v>
      </c>
      <c r="AS44" s="490">
        <f t="shared" si="67"/>
        <v>9</v>
      </c>
      <c r="AT44" s="490">
        <f t="shared" si="68"/>
        <v>9</v>
      </c>
      <c r="AU44" s="491">
        <v>9</v>
      </c>
      <c r="AV44" s="491">
        <v>9</v>
      </c>
      <c r="AW44" s="492">
        <f t="shared" si="69"/>
        <v>18</v>
      </c>
      <c r="AX44" s="487">
        <f t="shared" si="70"/>
        <v>1</v>
      </c>
      <c r="AY44" s="487">
        <v>1</v>
      </c>
      <c r="AZ44" s="487">
        <f t="shared" si="71"/>
        <v>0.32</v>
      </c>
      <c r="BA44" s="487">
        <f t="shared" si="56"/>
        <v>0.81355932203389836</v>
      </c>
      <c r="BB44" s="487">
        <f t="shared" si="57"/>
        <v>0</v>
      </c>
      <c r="BC44" s="493">
        <f t="shared" si="72"/>
        <v>88</v>
      </c>
      <c r="BD44" s="494">
        <f t="shared" si="58"/>
        <v>144</v>
      </c>
      <c r="BE44" s="495"/>
      <c r="BF44" s="480">
        <v>7</v>
      </c>
      <c r="BG44" s="481" t="s">
        <v>59</v>
      </c>
      <c r="BH44" s="482" t="s">
        <v>57</v>
      </c>
      <c r="BI44" s="496"/>
      <c r="BJ44" s="496"/>
      <c r="BK44" s="498">
        <v>0</v>
      </c>
      <c r="BL44" s="498">
        <v>1</v>
      </c>
      <c r="BM44" s="498">
        <v>3</v>
      </c>
      <c r="BN44" s="498">
        <v>2</v>
      </c>
      <c r="BO44" s="498">
        <v>1</v>
      </c>
      <c r="BP44" s="498">
        <v>1</v>
      </c>
      <c r="BQ44" s="498">
        <v>0</v>
      </c>
      <c r="BR44" s="498">
        <v>0</v>
      </c>
      <c r="BS44" s="498">
        <v>0</v>
      </c>
      <c r="BT44" s="498">
        <v>0</v>
      </c>
      <c r="BU44" s="498">
        <v>2</v>
      </c>
      <c r="BV44" s="498">
        <v>1</v>
      </c>
      <c r="BW44" s="498">
        <v>0</v>
      </c>
      <c r="BX44" s="498">
        <v>0</v>
      </c>
      <c r="BY44" s="490">
        <f t="shared" si="73"/>
        <v>6</v>
      </c>
      <c r="BZ44" s="490">
        <f t="shared" si="74"/>
        <v>5</v>
      </c>
      <c r="CA44" s="491">
        <f t="shared" si="75"/>
        <v>11</v>
      </c>
    </row>
    <row r="45" spans="1:79" ht="60">
      <c r="A45" s="480">
        <v>8</v>
      </c>
      <c r="B45" s="481" t="s">
        <v>60</v>
      </c>
      <c r="C45" s="482" t="s">
        <v>57</v>
      </c>
      <c r="D45" s="497">
        <v>100000</v>
      </c>
      <c r="E45" s="483">
        <f>(F45*2)+F45*0.25</f>
        <v>112.5</v>
      </c>
      <c r="F45" s="497">
        <v>50</v>
      </c>
      <c r="G45" s="498">
        <v>10</v>
      </c>
      <c r="H45" s="498">
        <v>10</v>
      </c>
      <c r="I45" s="485">
        <f t="shared" si="59"/>
        <v>20</v>
      </c>
      <c r="J45" s="485">
        <v>20</v>
      </c>
      <c r="K45" s="498">
        <v>0</v>
      </c>
      <c r="L45" s="498">
        <v>2</v>
      </c>
      <c r="M45" s="485">
        <f t="shared" si="60"/>
        <v>2</v>
      </c>
      <c r="N45" s="498">
        <v>0</v>
      </c>
      <c r="O45" s="498">
        <v>0</v>
      </c>
      <c r="P45" s="485">
        <v>0</v>
      </c>
      <c r="Q45" s="498">
        <v>1</v>
      </c>
      <c r="R45" s="498">
        <v>0</v>
      </c>
      <c r="S45" s="485">
        <f t="shared" si="55"/>
        <v>1</v>
      </c>
      <c r="T45" s="485"/>
      <c r="U45" s="485"/>
      <c r="V45" s="485"/>
      <c r="W45" s="486">
        <f t="shared" si="62"/>
        <v>0.4</v>
      </c>
      <c r="X45" s="489">
        <f t="shared" si="63"/>
        <v>3</v>
      </c>
      <c r="Y45" s="489">
        <v>3</v>
      </c>
      <c r="Z45" s="486">
        <f t="shared" si="64"/>
        <v>1</v>
      </c>
      <c r="AA45" s="489"/>
      <c r="AB45" s="489"/>
      <c r="AC45" s="489"/>
      <c r="AD45" s="498"/>
      <c r="AE45" s="498"/>
      <c r="AF45" s="498"/>
      <c r="AG45" s="484">
        <v>2</v>
      </c>
      <c r="AH45" s="484">
        <v>3</v>
      </c>
      <c r="AI45" s="489">
        <f t="shared" si="65"/>
        <v>5</v>
      </c>
      <c r="AJ45" s="489"/>
      <c r="AK45" s="485"/>
      <c r="AL45" s="485"/>
      <c r="AM45" s="498"/>
      <c r="AN45" s="498"/>
      <c r="AO45" s="498"/>
      <c r="AP45" s="484">
        <v>5</v>
      </c>
      <c r="AQ45" s="484">
        <v>7</v>
      </c>
      <c r="AR45" s="489">
        <f t="shared" si="66"/>
        <v>12</v>
      </c>
      <c r="AS45" s="490">
        <f t="shared" si="67"/>
        <v>18</v>
      </c>
      <c r="AT45" s="490">
        <f t="shared" si="68"/>
        <v>22</v>
      </c>
      <c r="AU45" s="491">
        <v>18</v>
      </c>
      <c r="AV45" s="491">
        <v>22</v>
      </c>
      <c r="AW45" s="492">
        <f t="shared" si="69"/>
        <v>40</v>
      </c>
      <c r="AX45" s="487">
        <f t="shared" si="70"/>
        <v>0.8</v>
      </c>
      <c r="AY45" s="487">
        <v>0.8</v>
      </c>
      <c r="AZ45" s="487">
        <f t="shared" si="71"/>
        <v>0.35555555555555557</v>
      </c>
      <c r="BA45" s="486">
        <f t="shared" si="56"/>
        <v>0.903954802259887</v>
      </c>
      <c r="BB45" s="486">
        <f t="shared" si="57"/>
        <v>7.4999999999999997E-2</v>
      </c>
      <c r="BC45" s="499">
        <f t="shared" si="72"/>
        <v>80</v>
      </c>
      <c r="BD45" s="500">
        <f t="shared" si="58"/>
        <v>160</v>
      </c>
      <c r="BE45" s="501"/>
      <c r="BF45" s="480">
        <v>8</v>
      </c>
      <c r="BG45" s="481" t="s">
        <v>60</v>
      </c>
      <c r="BH45" s="482" t="s">
        <v>57</v>
      </c>
      <c r="BI45" s="496"/>
      <c r="BJ45" s="496"/>
      <c r="BK45" s="498">
        <v>0</v>
      </c>
      <c r="BL45" s="498">
        <v>1</v>
      </c>
      <c r="BM45" s="498">
        <v>1</v>
      </c>
      <c r="BN45" s="498">
        <v>8</v>
      </c>
      <c r="BO45" s="498">
        <v>4</v>
      </c>
      <c r="BP45" s="498">
        <v>0</v>
      </c>
      <c r="BQ45" s="498">
        <v>1</v>
      </c>
      <c r="BR45" s="498">
        <v>1</v>
      </c>
      <c r="BS45" s="498">
        <v>2</v>
      </c>
      <c r="BT45" s="498">
        <v>0</v>
      </c>
      <c r="BU45" s="498">
        <v>2</v>
      </c>
      <c r="BV45" s="498">
        <v>0</v>
      </c>
      <c r="BW45" s="498">
        <v>0</v>
      </c>
      <c r="BX45" s="498">
        <v>0</v>
      </c>
      <c r="BY45" s="485">
        <f t="shared" si="73"/>
        <v>10</v>
      </c>
      <c r="BZ45" s="485">
        <f t="shared" si="74"/>
        <v>10</v>
      </c>
      <c r="CA45" s="492">
        <f t="shared" si="75"/>
        <v>20</v>
      </c>
    </row>
    <row r="46" spans="1:79" ht="88.5" customHeight="1">
      <c r="A46" s="786" t="s">
        <v>102</v>
      </c>
      <c r="B46" s="787"/>
      <c r="C46" s="502" t="s">
        <v>103</v>
      </c>
      <c r="D46" s="503">
        <f>D38+D39+D40+D41+D42+D43+D44+D45</f>
        <v>1410000</v>
      </c>
      <c r="E46" s="483">
        <f>SUM(E38:E45)</f>
        <v>841.75</v>
      </c>
      <c r="F46" s="503">
        <f>SUM(F38:F45)</f>
        <v>365</v>
      </c>
      <c r="G46" s="504">
        <f>SUM(G38:G45)</f>
        <v>73</v>
      </c>
      <c r="H46" s="504">
        <f>SUM(H38:H45)</f>
        <v>87</v>
      </c>
      <c r="I46" s="485">
        <f t="shared" si="59"/>
        <v>160</v>
      </c>
      <c r="J46" s="485">
        <v>160</v>
      </c>
      <c r="K46" s="504">
        <f>SUM(K38:K45)</f>
        <v>6</v>
      </c>
      <c r="L46" s="504">
        <f>SUM(L38:L45)</f>
        <v>6</v>
      </c>
      <c r="M46" s="485">
        <f t="shared" si="60"/>
        <v>12</v>
      </c>
      <c r="N46" s="504">
        <f>SUM(N38:N45)</f>
        <v>0</v>
      </c>
      <c r="O46" s="504">
        <f>SUM(O38:O45)</f>
        <v>0</v>
      </c>
      <c r="P46" s="485">
        <f t="shared" si="61"/>
        <v>0</v>
      </c>
      <c r="Q46" s="504">
        <f>SUM(Q38:Q45)</f>
        <v>9</v>
      </c>
      <c r="R46" s="504">
        <f>SUM(R38:R45)</f>
        <v>8</v>
      </c>
      <c r="S46" s="485">
        <f t="shared" si="55"/>
        <v>17</v>
      </c>
      <c r="T46" s="485"/>
      <c r="U46" s="485"/>
      <c r="V46" s="485"/>
      <c r="W46" s="486">
        <f t="shared" si="62"/>
        <v>0.43835616438356162</v>
      </c>
      <c r="X46" s="489">
        <f t="shared" si="63"/>
        <v>29</v>
      </c>
      <c r="Y46" s="489">
        <v>29</v>
      </c>
      <c r="Z46" s="505">
        <f>I46*4/(D46*0.0008)</f>
        <v>0.56737588652482274</v>
      </c>
      <c r="AA46" s="506">
        <f t="shared" ref="AA46:AF46" si="76">SUM(AA38:AA45)</f>
        <v>0</v>
      </c>
      <c r="AB46" s="504">
        <f t="shared" si="76"/>
        <v>0</v>
      </c>
      <c r="AC46" s="504">
        <f t="shared" si="76"/>
        <v>0</v>
      </c>
      <c r="AD46" s="504">
        <f t="shared" si="76"/>
        <v>0</v>
      </c>
      <c r="AE46" s="504">
        <f t="shared" si="76"/>
        <v>0</v>
      </c>
      <c r="AF46" s="504">
        <f t="shared" si="76"/>
        <v>0</v>
      </c>
      <c r="AG46" s="484">
        <f>SUM(AG38:AG45)</f>
        <v>63</v>
      </c>
      <c r="AH46" s="484">
        <f>SUM(AH38:AH45)</f>
        <v>98</v>
      </c>
      <c r="AI46" s="489">
        <f t="shared" si="65"/>
        <v>161</v>
      </c>
      <c r="AJ46" s="504">
        <f t="shared" ref="AJ46:AO46" si="77">SUM(AJ38:AJ45)</f>
        <v>0</v>
      </c>
      <c r="AK46" s="504">
        <f t="shared" si="77"/>
        <v>0</v>
      </c>
      <c r="AL46" s="504">
        <f t="shared" si="77"/>
        <v>0</v>
      </c>
      <c r="AM46" s="504">
        <f t="shared" si="77"/>
        <v>0</v>
      </c>
      <c r="AN46" s="504">
        <f t="shared" si="77"/>
        <v>0</v>
      </c>
      <c r="AO46" s="504">
        <f t="shared" si="77"/>
        <v>0</v>
      </c>
      <c r="AP46" s="484">
        <f>SUM(AP38:AP45)</f>
        <v>58</v>
      </c>
      <c r="AQ46" s="484">
        <f>SUM(AQ38:AQ45)</f>
        <v>109</v>
      </c>
      <c r="AR46" s="489">
        <f t="shared" si="66"/>
        <v>167</v>
      </c>
      <c r="AS46" s="490">
        <f t="shared" si="67"/>
        <v>209</v>
      </c>
      <c r="AT46" s="490">
        <f t="shared" si="68"/>
        <v>308</v>
      </c>
      <c r="AU46" s="490">
        <v>209</v>
      </c>
      <c r="AV46" s="490">
        <v>308</v>
      </c>
      <c r="AW46" s="485">
        <f t="shared" si="69"/>
        <v>517</v>
      </c>
      <c r="AX46" s="487">
        <f t="shared" si="70"/>
        <v>0.49844236760124611</v>
      </c>
      <c r="AY46" s="487">
        <v>0.5</v>
      </c>
      <c r="AZ46" s="487">
        <f t="shared" si="71"/>
        <v>0.6141966141966142</v>
      </c>
      <c r="BA46" s="505">
        <f t="shared" si="56"/>
        <v>0.8286252354048963</v>
      </c>
      <c r="BB46" s="486">
        <f t="shared" si="57"/>
        <v>5.6092843326885883E-2</v>
      </c>
      <c r="BC46" s="499">
        <f>I46*4/D46*100000</f>
        <v>45.390070921985817</v>
      </c>
      <c r="BD46" s="500">
        <f t="shared" si="58"/>
        <v>146.66666666666666</v>
      </c>
      <c r="BE46" s="507"/>
      <c r="BF46" s="786" t="s">
        <v>102</v>
      </c>
      <c r="BG46" s="787"/>
      <c r="BH46" s="502" t="s">
        <v>103</v>
      </c>
      <c r="BI46" s="508">
        <f t="shared" ref="BI46:BX46" si="78">SUM(BI38:BI45)</f>
        <v>0</v>
      </c>
      <c r="BJ46" s="508">
        <f t="shared" si="78"/>
        <v>0</v>
      </c>
      <c r="BK46" s="504">
        <f t="shared" si="78"/>
        <v>1</v>
      </c>
      <c r="BL46" s="504">
        <f t="shared" si="78"/>
        <v>8</v>
      </c>
      <c r="BM46" s="504">
        <f t="shared" si="78"/>
        <v>24</v>
      </c>
      <c r="BN46" s="504">
        <f t="shared" si="78"/>
        <v>42</v>
      </c>
      <c r="BO46" s="504">
        <f t="shared" si="78"/>
        <v>20</v>
      </c>
      <c r="BP46" s="504">
        <f t="shared" si="78"/>
        <v>16</v>
      </c>
      <c r="BQ46" s="504">
        <f t="shared" si="78"/>
        <v>13</v>
      </c>
      <c r="BR46" s="504">
        <f t="shared" si="78"/>
        <v>10</v>
      </c>
      <c r="BS46" s="504">
        <f t="shared" si="78"/>
        <v>8</v>
      </c>
      <c r="BT46" s="504">
        <f t="shared" si="78"/>
        <v>5</v>
      </c>
      <c r="BU46" s="504">
        <f t="shared" si="78"/>
        <v>5</v>
      </c>
      <c r="BV46" s="504">
        <f t="shared" si="78"/>
        <v>4</v>
      </c>
      <c r="BW46" s="504">
        <f t="shared" si="78"/>
        <v>2</v>
      </c>
      <c r="BX46" s="504">
        <f t="shared" si="78"/>
        <v>2</v>
      </c>
      <c r="BY46" s="485">
        <f>BW46+BU46+BS46+BQ46+BO46+BM46+BK46+BI46</f>
        <v>73</v>
      </c>
      <c r="BZ46" s="485">
        <f t="shared" si="74"/>
        <v>87</v>
      </c>
      <c r="CA46" s="485">
        <f t="shared" si="75"/>
        <v>160</v>
      </c>
    </row>
    <row r="47" spans="1:79" ht="18">
      <c r="A47" s="70"/>
      <c r="B47" s="70"/>
      <c r="C47" s="70"/>
      <c r="D47" s="70"/>
      <c r="E47" s="70"/>
      <c r="F47" s="70"/>
      <c r="BI47" s="257"/>
      <c r="BJ47" s="257"/>
    </row>
    <row r="48" spans="1:79" ht="18">
      <c r="A48" s="70"/>
      <c r="B48" s="70"/>
      <c r="C48" s="70"/>
      <c r="D48" s="70"/>
      <c r="E48" s="70"/>
      <c r="F48" s="70"/>
      <c r="BI48" s="257"/>
      <c r="BJ48" s="257"/>
    </row>
    <row r="49" spans="1:79" ht="80.099999999999994" customHeight="1">
      <c r="A49" s="732" t="s">
        <v>40</v>
      </c>
      <c r="B49" s="733"/>
      <c r="C49" s="297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  <c r="AA49" s="298"/>
      <c r="AB49" s="298"/>
      <c r="AC49" s="298"/>
      <c r="AD49" s="298"/>
      <c r="AE49" s="298"/>
      <c r="AF49" s="298"/>
      <c r="AG49" s="298"/>
      <c r="AH49" s="298"/>
      <c r="AI49" s="298"/>
      <c r="AJ49" s="298"/>
      <c r="AK49" s="298"/>
      <c r="AL49" s="298"/>
      <c r="AM49" s="298"/>
      <c r="AN49" s="298"/>
      <c r="AO49" s="298"/>
      <c r="AP49" s="298"/>
      <c r="AQ49" s="298"/>
      <c r="AR49" s="298"/>
      <c r="AS49" s="298"/>
      <c r="AT49" s="298"/>
      <c r="AU49" s="298"/>
      <c r="AV49" s="298"/>
      <c r="AW49" s="298"/>
      <c r="AX49" s="298"/>
      <c r="AY49" s="298"/>
      <c r="AZ49" s="298"/>
      <c r="BA49" s="298"/>
      <c r="BB49" s="298"/>
      <c r="BC49" s="298"/>
      <c r="BD49" s="298"/>
      <c r="BE49" s="298"/>
      <c r="BF49" s="788" t="s">
        <v>40</v>
      </c>
      <c r="BG49" s="789"/>
      <c r="BH49" s="297"/>
      <c r="BI49" s="577"/>
      <c r="BJ49" s="577"/>
      <c r="BK49" s="298"/>
      <c r="BL49" s="298"/>
      <c r="BM49" s="298"/>
      <c r="BN49" s="298"/>
      <c r="BO49" s="298"/>
      <c r="BP49" s="298"/>
      <c r="BQ49" s="298"/>
      <c r="BR49" s="298"/>
      <c r="BS49" s="298"/>
      <c r="BT49" s="298"/>
      <c r="BU49" s="298"/>
      <c r="BV49" s="298"/>
      <c r="BW49" s="298"/>
      <c r="BX49" s="298"/>
      <c r="BY49" s="298"/>
      <c r="BZ49" s="298"/>
      <c r="CA49" s="298"/>
    </row>
    <row r="50" spans="1:79" ht="80.099999999999994" customHeight="1">
      <c r="A50" s="748" t="s">
        <v>104</v>
      </c>
      <c r="B50" s="748"/>
      <c r="C50" s="299"/>
      <c r="D50" s="300"/>
      <c r="E50" s="300"/>
      <c r="F50" s="300"/>
      <c r="G50" s="749" t="s">
        <v>34</v>
      </c>
      <c r="H50" s="749"/>
      <c r="I50" s="749"/>
      <c r="J50" s="749"/>
      <c r="K50" s="749"/>
      <c r="L50" s="749"/>
      <c r="M50" s="749"/>
      <c r="N50" s="749"/>
      <c r="O50" s="749"/>
      <c r="P50" s="749"/>
      <c r="Q50" s="749"/>
      <c r="R50" s="749"/>
      <c r="S50" s="749"/>
      <c r="T50" s="302"/>
      <c r="U50" s="302"/>
      <c r="V50" s="302"/>
      <c r="W50" s="302"/>
      <c r="X50" s="302"/>
      <c r="Y50" s="302"/>
      <c r="Z50" s="303"/>
      <c r="AA50" s="749" t="s">
        <v>28</v>
      </c>
      <c r="AB50" s="749"/>
      <c r="AC50" s="749"/>
      <c r="AD50" s="749"/>
      <c r="AE50" s="749"/>
      <c r="AF50" s="749"/>
      <c r="AG50" s="749"/>
      <c r="AH50" s="749"/>
      <c r="AI50" s="749"/>
      <c r="AJ50" s="749" t="s">
        <v>35</v>
      </c>
      <c r="AK50" s="749"/>
      <c r="AL50" s="749"/>
      <c r="AM50" s="749"/>
      <c r="AN50" s="749"/>
      <c r="AO50" s="749"/>
      <c r="AP50" s="749"/>
      <c r="AQ50" s="749"/>
      <c r="AR50" s="749"/>
      <c r="AS50" s="304"/>
      <c r="AT50" s="305"/>
      <c r="AU50" s="305"/>
      <c r="AV50" s="305"/>
      <c r="AW50" s="305"/>
      <c r="AX50" s="305"/>
      <c r="AY50" s="305"/>
      <c r="AZ50" s="305"/>
      <c r="BA50" s="305"/>
      <c r="BB50" s="305"/>
      <c r="BC50" s="305"/>
      <c r="BD50" s="578"/>
      <c r="BE50" s="305"/>
      <c r="BF50" s="790" t="s">
        <v>104</v>
      </c>
      <c r="BG50" s="791"/>
      <c r="BH50" s="579"/>
      <c r="BI50" s="580"/>
      <c r="BJ50" s="580"/>
      <c r="BK50" s="581"/>
      <c r="BL50" s="581"/>
      <c r="BM50" s="581"/>
      <c r="BN50" s="581"/>
      <c r="BO50" s="581"/>
      <c r="BP50" s="581"/>
      <c r="BQ50" s="581"/>
      <c r="BR50" s="581"/>
      <c r="BS50" s="581"/>
      <c r="BT50" s="581"/>
      <c r="BU50" s="581"/>
      <c r="BV50" s="581"/>
      <c r="BW50" s="581"/>
      <c r="BX50" s="581"/>
      <c r="BY50" s="581"/>
      <c r="BZ50" s="581"/>
      <c r="CA50" s="581"/>
    </row>
    <row r="51" spans="1:79" ht="80.099999999999994" customHeight="1">
      <c r="A51" s="752" t="s">
        <v>2</v>
      </c>
      <c r="B51" s="752"/>
      <c r="C51" s="306"/>
      <c r="D51" s="307"/>
      <c r="E51" s="307"/>
      <c r="F51" s="307"/>
      <c r="G51" s="749" t="s">
        <v>10</v>
      </c>
      <c r="H51" s="749"/>
      <c r="I51" s="749"/>
      <c r="J51" s="301"/>
      <c r="K51" s="749" t="s">
        <v>29</v>
      </c>
      <c r="L51" s="749"/>
      <c r="M51" s="749"/>
      <c r="N51" s="749"/>
      <c r="O51" s="749"/>
      <c r="P51" s="749"/>
      <c r="Q51" s="749"/>
      <c r="R51" s="749"/>
      <c r="S51" s="749"/>
      <c r="T51" s="308"/>
      <c r="U51" s="308"/>
      <c r="V51" s="308"/>
      <c r="W51" s="308"/>
      <c r="X51" s="308"/>
      <c r="Y51" s="308"/>
      <c r="Z51" s="309"/>
      <c r="AA51" s="749" t="s">
        <v>12</v>
      </c>
      <c r="AB51" s="749"/>
      <c r="AC51" s="749"/>
      <c r="AD51" s="749"/>
      <c r="AE51" s="749"/>
      <c r="AF51" s="749"/>
      <c r="AG51" s="749"/>
      <c r="AH51" s="749"/>
      <c r="AI51" s="749"/>
      <c r="AJ51" s="749"/>
      <c r="AK51" s="749"/>
      <c r="AL51" s="749"/>
      <c r="AM51" s="749"/>
      <c r="AN51" s="749"/>
      <c r="AO51" s="749"/>
      <c r="AP51" s="749"/>
      <c r="AQ51" s="749"/>
      <c r="AR51" s="749"/>
      <c r="AS51" s="306"/>
      <c r="AT51" s="310"/>
      <c r="AU51" s="310"/>
      <c r="AV51" s="310"/>
      <c r="AW51" s="310"/>
      <c r="AX51" s="582"/>
      <c r="AY51" s="582"/>
      <c r="AZ51" s="582"/>
      <c r="BA51" s="582"/>
      <c r="BB51" s="582"/>
      <c r="BC51" s="582"/>
      <c r="BD51" s="583"/>
      <c r="BE51" s="582"/>
      <c r="BF51" s="792" t="s">
        <v>3</v>
      </c>
      <c r="BG51" s="793"/>
      <c r="BH51" s="584"/>
      <c r="BI51" s="580"/>
      <c r="BJ51" s="580"/>
      <c r="BK51" s="581"/>
      <c r="BL51" s="581"/>
      <c r="BM51" s="581"/>
      <c r="BN51" s="581"/>
      <c r="BO51" s="581"/>
      <c r="BP51" s="581"/>
      <c r="BQ51" s="581"/>
      <c r="BR51" s="581"/>
      <c r="BS51" s="581"/>
      <c r="BT51" s="581"/>
      <c r="BU51" s="581"/>
      <c r="BV51" s="581"/>
      <c r="BW51" s="581"/>
      <c r="BX51" s="581"/>
      <c r="BY51" s="581"/>
      <c r="BZ51" s="581"/>
      <c r="CA51" s="581"/>
    </row>
    <row r="52" spans="1:79" ht="80.099999999999994" customHeight="1">
      <c r="A52" s="752" t="s">
        <v>0</v>
      </c>
      <c r="B52" s="755" t="s">
        <v>42</v>
      </c>
      <c r="C52" s="755" t="s">
        <v>43</v>
      </c>
      <c r="D52" s="752" t="s">
        <v>44</v>
      </c>
      <c r="E52" s="296"/>
      <c r="F52" s="296"/>
      <c r="G52" s="749"/>
      <c r="H52" s="749"/>
      <c r="I52" s="749"/>
      <c r="J52" s="301"/>
      <c r="K52" s="749" t="s">
        <v>11</v>
      </c>
      <c r="L52" s="749"/>
      <c r="M52" s="749"/>
      <c r="N52" s="749" t="s">
        <v>38</v>
      </c>
      <c r="O52" s="749"/>
      <c r="P52" s="749"/>
      <c r="Q52" s="749" t="s">
        <v>39</v>
      </c>
      <c r="R52" s="749"/>
      <c r="S52" s="749"/>
      <c r="T52" s="794" t="s">
        <v>47</v>
      </c>
      <c r="U52" s="795"/>
      <c r="V52" s="796"/>
      <c r="W52" s="573"/>
      <c r="X52" s="573"/>
      <c r="Y52" s="573"/>
      <c r="Z52" s="749" t="s">
        <v>13</v>
      </c>
      <c r="AA52" s="752" t="s">
        <v>30</v>
      </c>
      <c r="AB52" s="752"/>
      <c r="AC52" s="752" t="s">
        <v>23</v>
      </c>
      <c r="AD52" s="752"/>
      <c r="AE52" s="752" t="s">
        <v>31</v>
      </c>
      <c r="AF52" s="752"/>
      <c r="AG52" s="296" t="s">
        <v>32</v>
      </c>
      <c r="AH52" s="296" t="s">
        <v>32</v>
      </c>
      <c r="AI52" s="752" t="s">
        <v>32</v>
      </c>
      <c r="AJ52" s="752" t="s">
        <v>30</v>
      </c>
      <c r="AK52" s="752"/>
      <c r="AL52" s="752" t="s">
        <v>23</v>
      </c>
      <c r="AM52" s="752"/>
      <c r="AN52" s="752" t="s">
        <v>31</v>
      </c>
      <c r="AO52" s="752"/>
      <c r="AP52" s="296" t="s">
        <v>32</v>
      </c>
      <c r="AQ52" s="296" t="s">
        <v>32</v>
      </c>
      <c r="AR52" s="752" t="s">
        <v>32</v>
      </c>
      <c r="AS52" s="749" t="s">
        <v>33</v>
      </c>
      <c r="AT52" s="749"/>
      <c r="AU52" s="749"/>
      <c r="AV52" s="749"/>
      <c r="AW52" s="749"/>
      <c r="AX52" s="797" t="s">
        <v>22</v>
      </c>
      <c r="AY52" s="575"/>
      <c r="AZ52" s="798" t="s">
        <v>132</v>
      </c>
      <c r="BA52" s="749" t="s">
        <v>14</v>
      </c>
      <c r="BB52" s="749" t="s">
        <v>18</v>
      </c>
      <c r="BC52" s="749" t="s">
        <v>19</v>
      </c>
      <c r="BD52" s="749" t="s">
        <v>20</v>
      </c>
      <c r="BE52" s="573"/>
      <c r="BF52" s="793" t="s">
        <v>0</v>
      </c>
      <c r="BG52" s="755" t="s">
        <v>42</v>
      </c>
      <c r="BH52" s="755" t="s">
        <v>43</v>
      </c>
      <c r="BI52" s="800" t="s">
        <v>36</v>
      </c>
      <c r="BJ52" s="800"/>
      <c r="BK52" s="801" t="s">
        <v>37</v>
      </c>
      <c r="BL52" s="801"/>
      <c r="BM52" s="752" t="s">
        <v>4</v>
      </c>
      <c r="BN52" s="752"/>
      <c r="BO52" s="752" t="s">
        <v>5</v>
      </c>
      <c r="BP52" s="752"/>
      <c r="BQ52" s="752" t="s">
        <v>6</v>
      </c>
      <c r="BR52" s="752"/>
      <c r="BS52" s="752" t="s">
        <v>7</v>
      </c>
      <c r="BT52" s="752"/>
      <c r="BU52" s="752" t="s">
        <v>8</v>
      </c>
      <c r="BV52" s="752"/>
      <c r="BW52" s="752" t="s">
        <v>9</v>
      </c>
      <c r="BX52" s="752"/>
      <c r="BY52" s="752" t="s">
        <v>21</v>
      </c>
      <c r="BZ52" s="752"/>
      <c r="CA52" s="752"/>
    </row>
    <row r="53" spans="1:79" ht="80.099999999999994" customHeight="1">
      <c r="A53" s="752"/>
      <c r="B53" s="756"/>
      <c r="C53" s="756"/>
      <c r="D53" s="752"/>
      <c r="E53" s="296" t="s">
        <v>154</v>
      </c>
      <c r="F53" s="296" t="s">
        <v>177</v>
      </c>
      <c r="G53" s="301" t="s">
        <v>16</v>
      </c>
      <c r="H53" s="301" t="s">
        <v>17</v>
      </c>
      <c r="I53" s="301" t="s">
        <v>32</v>
      </c>
      <c r="J53" s="301"/>
      <c r="K53" s="301" t="s">
        <v>16</v>
      </c>
      <c r="L53" s="301" t="s">
        <v>17</v>
      </c>
      <c r="M53" s="301" t="s">
        <v>32</v>
      </c>
      <c r="N53" s="301" t="s">
        <v>16</v>
      </c>
      <c r="O53" s="301" t="s">
        <v>17</v>
      </c>
      <c r="P53" s="301" t="s">
        <v>32</v>
      </c>
      <c r="Q53" s="301" t="s">
        <v>16</v>
      </c>
      <c r="R53" s="301" t="s">
        <v>17</v>
      </c>
      <c r="S53" s="301" t="s">
        <v>32</v>
      </c>
      <c r="T53" s="301" t="s">
        <v>16</v>
      </c>
      <c r="U53" s="301" t="s">
        <v>17</v>
      </c>
      <c r="V53" s="301" t="s">
        <v>32</v>
      </c>
      <c r="W53" s="301"/>
      <c r="X53" s="301"/>
      <c r="Y53" s="301"/>
      <c r="Z53" s="749"/>
      <c r="AA53" s="301" t="s">
        <v>16</v>
      </c>
      <c r="AB53" s="301" t="s">
        <v>17</v>
      </c>
      <c r="AC53" s="301" t="s">
        <v>16</v>
      </c>
      <c r="AD53" s="301" t="s">
        <v>17</v>
      </c>
      <c r="AE53" s="301" t="s">
        <v>16</v>
      </c>
      <c r="AF53" s="301" t="s">
        <v>17</v>
      </c>
      <c r="AG53" s="301" t="s">
        <v>16</v>
      </c>
      <c r="AH53" s="301" t="s">
        <v>17</v>
      </c>
      <c r="AI53" s="752"/>
      <c r="AJ53" s="301" t="s">
        <v>16</v>
      </c>
      <c r="AK53" s="301" t="s">
        <v>17</v>
      </c>
      <c r="AL53" s="301" t="s">
        <v>16</v>
      </c>
      <c r="AM53" s="301" t="s">
        <v>17</v>
      </c>
      <c r="AN53" s="301" t="s">
        <v>16</v>
      </c>
      <c r="AO53" s="301" t="s">
        <v>17</v>
      </c>
      <c r="AP53" s="301" t="s">
        <v>16</v>
      </c>
      <c r="AQ53" s="301" t="s">
        <v>17</v>
      </c>
      <c r="AR53" s="752"/>
      <c r="AS53" s="301" t="s">
        <v>16</v>
      </c>
      <c r="AT53" s="301" t="s">
        <v>17</v>
      </c>
      <c r="AU53" s="301"/>
      <c r="AV53" s="301"/>
      <c r="AW53" s="301" t="s">
        <v>32</v>
      </c>
      <c r="AX53" s="797"/>
      <c r="AY53" s="576"/>
      <c r="AZ53" s="799"/>
      <c r="BA53" s="749"/>
      <c r="BB53" s="749"/>
      <c r="BC53" s="749"/>
      <c r="BD53" s="749"/>
      <c r="BE53" s="573"/>
      <c r="BF53" s="793"/>
      <c r="BG53" s="756"/>
      <c r="BH53" s="756"/>
      <c r="BI53" s="585" t="s">
        <v>16</v>
      </c>
      <c r="BJ53" s="585" t="s">
        <v>17</v>
      </c>
      <c r="BK53" s="301" t="s">
        <v>16</v>
      </c>
      <c r="BL53" s="301" t="s">
        <v>17</v>
      </c>
      <c r="BM53" s="301" t="s">
        <v>16</v>
      </c>
      <c r="BN53" s="301" t="s">
        <v>17</v>
      </c>
      <c r="BO53" s="301" t="s">
        <v>16</v>
      </c>
      <c r="BP53" s="301" t="s">
        <v>17</v>
      </c>
      <c r="BQ53" s="301" t="s">
        <v>16</v>
      </c>
      <c r="BR53" s="301" t="s">
        <v>17</v>
      </c>
      <c r="BS53" s="301" t="s">
        <v>16</v>
      </c>
      <c r="BT53" s="301" t="s">
        <v>17</v>
      </c>
      <c r="BU53" s="301" t="s">
        <v>16</v>
      </c>
      <c r="BV53" s="301" t="s">
        <v>17</v>
      </c>
      <c r="BW53" s="301" t="s">
        <v>16</v>
      </c>
      <c r="BX53" s="301" t="s">
        <v>17</v>
      </c>
      <c r="BY53" s="301" t="s">
        <v>16</v>
      </c>
      <c r="BZ53" s="301" t="s">
        <v>17</v>
      </c>
      <c r="CA53" s="574" t="s">
        <v>32</v>
      </c>
    </row>
    <row r="54" spans="1:79" ht="80.099999999999994" customHeight="1">
      <c r="A54" s="311">
        <v>1</v>
      </c>
      <c r="B54" s="312" t="s">
        <v>48</v>
      </c>
      <c r="C54" s="313" t="s">
        <v>49</v>
      </c>
      <c r="D54" s="314">
        <v>200000</v>
      </c>
      <c r="E54" s="314">
        <v>123</v>
      </c>
      <c r="F54" s="314">
        <v>50</v>
      </c>
      <c r="G54" s="315">
        <v>26</v>
      </c>
      <c r="H54" s="315">
        <v>23</v>
      </c>
      <c r="I54" s="316">
        <f>SUM(G54:H54)</f>
        <v>49</v>
      </c>
      <c r="J54" s="316"/>
      <c r="K54" s="315">
        <v>2</v>
      </c>
      <c r="L54" s="315">
        <v>4</v>
      </c>
      <c r="M54" s="316">
        <f>SUM(K54:L54)</f>
        <v>6</v>
      </c>
      <c r="N54" s="315">
        <v>0</v>
      </c>
      <c r="O54" s="315">
        <v>0</v>
      </c>
      <c r="P54" s="316">
        <f>SUM(N54:O54)</f>
        <v>0</v>
      </c>
      <c r="Q54" s="315">
        <v>0</v>
      </c>
      <c r="R54" s="315">
        <v>0</v>
      </c>
      <c r="S54" s="316">
        <f t="shared" ref="S54:S62" si="79">SUM(Q54:R54)</f>
        <v>0</v>
      </c>
      <c r="T54" s="316"/>
      <c r="U54" s="316"/>
      <c r="V54" s="316"/>
      <c r="W54" s="317">
        <f>I54/F54</f>
        <v>0.98</v>
      </c>
      <c r="X54" s="317"/>
      <c r="Y54" s="317"/>
      <c r="Z54" s="318">
        <f>I54*4/(D54*0.0008)</f>
        <v>1.2250000000000001</v>
      </c>
      <c r="AA54" s="319">
        <v>0</v>
      </c>
      <c r="AB54" s="319">
        <v>0</v>
      </c>
      <c r="AC54" s="319">
        <v>0</v>
      </c>
      <c r="AD54" s="315">
        <v>0</v>
      </c>
      <c r="AE54" s="315">
        <v>0</v>
      </c>
      <c r="AF54" s="315">
        <v>0</v>
      </c>
      <c r="AG54" s="315">
        <v>6</v>
      </c>
      <c r="AH54" s="315">
        <v>10</v>
      </c>
      <c r="AI54" s="320">
        <f>AG54+AH54</f>
        <v>16</v>
      </c>
      <c r="AJ54" s="319"/>
      <c r="AK54" s="321"/>
      <c r="AL54" s="321"/>
      <c r="AM54" s="315"/>
      <c r="AN54" s="315"/>
      <c r="AO54" s="315"/>
      <c r="AP54" s="315">
        <v>7</v>
      </c>
      <c r="AQ54" s="315">
        <v>14</v>
      </c>
      <c r="AR54" s="320">
        <f>AP54+AQ54</f>
        <v>21</v>
      </c>
      <c r="AS54" s="321">
        <f>AP54+AG54+Q54+N54+K54+G54</f>
        <v>41</v>
      </c>
      <c r="AT54" s="321">
        <f>AQ54+AH54+R54+O54+L54+H54</f>
        <v>51</v>
      </c>
      <c r="AU54" s="342"/>
      <c r="AV54" s="342"/>
      <c r="AW54" s="322">
        <f>SUM(AS54:AT54)</f>
        <v>92</v>
      </c>
      <c r="AX54" s="318">
        <f>I54/(I54+AI54)</f>
        <v>0.75384615384615383</v>
      </c>
      <c r="AY54" s="318"/>
      <c r="AZ54" s="318">
        <f>AW54/E54</f>
        <v>0.74796747967479671</v>
      </c>
      <c r="BA54" s="318">
        <f t="shared" ref="BA54:BA62" si="80">AW54*4/(D54*0.00177)</f>
        <v>1.03954802259887</v>
      </c>
      <c r="BB54" s="318">
        <f t="shared" ref="BB54:BB62" si="81">(M54+P54+S54)/AW54</f>
        <v>6.5217391304347824E-2</v>
      </c>
      <c r="BC54" s="586">
        <f>I54*4/D54*100000</f>
        <v>98</v>
      </c>
      <c r="BD54" s="587">
        <f t="shared" ref="BD54:BD62" si="82">AW54*4/D54*100000</f>
        <v>184</v>
      </c>
      <c r="BE54" s="588"/>
      <c r="BF54" s="311">
        <v>1</v>
      </c>
      <c r="BG54" s="312" t="s">
        <v>48</v>
      </c>
      <c r="BH54" s="313" t="s">
        <v>49</v>
      </c>
      <c r="BI54" s="589"/>
      <c r="BJ54" s="589"/>
      <c r="BK54" s="315">
        <v>2</v>
      </c>
      <c r="BL54" s="315">
        <v>6</v>
      </c>
      <c r="BM54" s="315">
        <v>6</v>
      </c>
      <c r="BN54" s="315">
        <v>9</v>
      </c>
      <c r="BO54" s="315">
        <v>10</v>
      </c>
      <c r="BP54" s="315">
        <v>4</v>
      </c>
      <c r="BQ54" s="315">
        <v>1</v>
      </c>
      <c r="BR54" s="315">
        <v>0</v>
      </c>
      <c r="BS54" s="315">
        <v>3</v>
      </c>
      <c r="BT54" s="315">
        <v>3</v>
      </c>
      <c r="BU54" s="315">
        <v>3</v>
      </c>
      <c r="BV54" s="315">
        <v>0</v>
      </c>
      <c r="BW54" s="315">
        <v>1</v>
      </c>
      <c r="BX54" s="315">
        <v>1</v>
      </c>
      <c r="BY54" s="321">
        <f>BW54+BU54+BS54+BQ54+BO54+BM54+BK54+BI54</f>
        <v>26</v>
      </c>
      <c r="BZ54" s="321">
        <f>BX54+BV54+BT54+BR54+BP54+BN54+BL54+BJ54</f>
        <v>23</v>
      </c>
      <c r="CA54" s="342">
        <f>BZ54+BY54</f>
        <v>49</v>
      </c>
    </row>
    <row r="55" spans="1:79" ht="80.099999999999994" customHeight="1">
      <c r="A55" s="311">
        <v>2</v>
      </c>
      <c r="B55" s="312" t="s">
        <v>50</v>
      </c>
      <c r="C55" s="313" t="s">
        <v>51</v>
      </c>
      <c r="D55" s="323">
        <v>300000</v>
      </c>
      <c r="E55" s="314">
        <v>140</v>
      </c>
      <c r="F55" s="323">
        <v>60</v>
      </c>
      <c r="G55" s="315">
        <v>4</v>
      </c>
      <c r="H55" s="315">
        <v>11</v>
      </c>
      <c r="I55" s="316">
        <f t="shared" ref="I55:I62" si="83">SUM(G55:H55)</f>
        <v>15</v>
      </c>
      <c r="J55" s="316"/>
      <c r="K55" s="315">
        <v>4</v>
      </c>
      <c r="L55" s="315">
        <v>3</v>
      </c>
      <c r="M55" s="316">
        <f t="shared" ref="M55:M62" si="84">SUM(K55:L55)</f>
        <v>7</v>
      </c>
      <c r="N55" s="315">
        <v>0</v>
      </c>
      <c r="O55" s="315">
        <v>0</v>
      </c>
      <c r="P55" s="316">
        <f t="shared" ref="P55:P62" si="85">SUM(N55:O55)</f>
        <v>0</v>
      </c>
      <c r="Q55" s="315">
        <v>1</v>
      </c>
      <c r="R55" s="315">
        <v>0</v>
      </c>
      <c r="S55" s="316">
        <f t="shared" si="79"/>
        <v>1</v>
      </c>
      <c r="T55" s="316"/>
      <c r="U55" s="316"/>
      <c r="V55" s="316"/>
      <c r="W55" s="317">
        <f t="shared" ref="W55:W62" si="86">I55/F55</f>
        <v>0.25</v>
      </c>
      <c r="X55" s="317"/>
      <c r="Y55" s="317"/>
      <c r="Z55" s="317">
        <f t="shared" ref="Z55:Z61" si="87">I55*4/(D55*0.0008)</f>
        <v>0.25</v>
      </c>
      <c r="AA55" s="320"/>
      <c r="AB55" s="320"/>
      <c r="AC55" s="320"/>
      <c r="AD55" s="324"/>
      <c r="AE55" s="324"/>
      <c r="AF55" s="324"/>
      <c r="AG55" s="315">
        <v>21</v>
      </c>
      <c r="AH55" s="315">
        <v>30</v>
      </c>
      <c r="AI55" s="320">
        <f t="shared" ref="AI55:AI62" si="88">AG55+AH55</f>
        <v>51</v>
      </c>
      <c r="AJ55" s="320"/>
      <c r="AK55" s="316"/>
      <c r="AL55" s="316"/>
      <c r="AM55" s="324"/>
      <c r="AN55" s="324"/>
      <c r="AO55" s="324"/>
      <c r="AP55" s="315">
        <v>9</v>
      </c>
      <c r="AQ55" s="315">
        <v>23</v>
      </c>
      <c r="AR55" s="320">
        <f t="shared" ref="AR55:AR62" si="89">AP55+AQ55</f>
        <v>32</v>
      </c>
      <c r="AS55" s="321">
        <f t="shared" ref="AS55:AS62" si="90">AP55+AG55+Q55+N55+K55+G55</f>
        <v>39</v>
      </c>
      <c r="AT55" s="321">
        <f t="shared" ref="AT55:AT62" si="91">AQ55+AH55+R55+O55+L55+H55</f>
        <v>67</v>
      </c>
      <c r="AU55" s="342"/>
      <c r="AV55" s="342"/>
      <c r="AW55" s="322">
        <f t="shared" ref="AW55:AW62" si="92">SUM(AS55:AT55)</f>
        <v>106</v>
      </c>
      <c r="AX55" s="318">
        <f t="shared" ref="AX55:AX62" si="93">I55/(I55+AI55)</f>
        <v>0.22727272727272727</v>
      </c>
      <c r="AY55" s="318"/>
      <c r="AZ55" s="318">
        <f t="shared" ref="AZ55:AZ62" si="94">AW55/E55</f>
        <v>0.75714285714285712</v>
      </c>
      <c r="BA55" s="317">
        <f t="shared" si="80"/>
        <v>0.79849340866290019</v>
      </c>
      <c r="BB55" s="317">
        <f t="shared" si="81"/>
        <v>7.5471698113207544E-2</v>
      </c>
      <c r="BC55" s="590">
        <f t="shared" ref="BC55:BC61" si="95">I55*4/D55*100000</f>
        <v>20</v>
      </c>
      <c r="BD55" s="591">
        <f t="shared" si="82"/>
        <v>141.33333333333331</v>
      </c>
      <c r="BE55" s="592"/>
      <c r="BF55" s="311">
        <v>2</v>
      </c>
      <c r="BG55" s="312" t="s">
        <v>50</v>
      </c>
      <c r="BH55" s="313" t="s">
        <v>51</v>
      </c>
      <c r="BI55" s="589"/>
      <c r="BJ55" s="589"/>
      <c r="BK55" s="315">
        <v>1</v>
      </c>
      <c r="BL55" s="315">
        <v>2</v>
      </c>
      <c r="BM55" s="315">
        <v>0</v>
      </c>
      <c r="BN55" s="315">
        <v>5</v>
      </c>
      <c r="BO55" s="315">
        <v>0</v>
      </c>
      <c r="BP55" s="315">
        <v>3</v>
      </c>
      <c r="BQ55" s="315">
        <v>1</v>
      </c>
      <c r="BR55" s="315">
        <v>1</v>
      </c>
      <c r="BS55" s="315">
        <v>0</v>
      </c>
      <c r="BT55" s="315">
        <v>0</v>
      </c>
      <c r="BU55" s="315">
        <v>1</v>
      </c>
      <c r="BV55" s="315">
        <v>0</v>
      </c>
      <c r="BW55" s="315">
        <v>1</v>
      </c>
      <c r="BX55" s="315">
        <v>0</v>
      </c>
      <c r="BY55" s="316">
        <f t="shared" ref="BY55:BY61" si="96">BW55+BU55+BS55+BQ55+BO55+BM55+BK55+BI55</f>
        <v>4</v>
      </c>
      <c r="BZ55" s="316">
        <f t="shared" ref="BZ55:BZ62" si="97">BX55+BV55+BT55+BR55+BP55+BN55+BL55+BJ55</f>
        <v>11</v>
      </c>
      <c r="CA55" s="322">
        <f t="shared" ref="CA55:CA62" si="98">BZ55+BY55</f>
        <v>15</v>
      </c>
    </row>
    <row r="56" spans="1:79" ht="80.099999999999994" customHeight="1">
      <c r="A56" s="311">
        <v>3</v>
      </c>
      <c r="B56" s="312" t="s">
        <v>52</v>
      </c>
      <c r="C56" s="313" t="s">
        <v>53</v>
      </c>
      <c r="D56" s="323">
        <v>390000</v>
      </c>
      <c r="E56" s="314">
        <v>140</v>
      </c>
      <c r="F56" s="323">
        <v>60</v>
      </c>
      <c r="G56" s="315">
        <v>14</v>
      </c>
      <c r="H56" s="315">
        <v>24</v>
      </c>
      <c r="I56" s="316">
        <f t="shared" si="83"/>
        <v>38</v>
      </c>
      <c r="J56" s="316"/>
      <c r="K56" s="315">
        <v>0</v>
      </c>
      <c r="L56" s="315">
        <v>0</v>
      </c>
      <c r="M56" s="316">
        <f t="shared" si="84"/>
        <v>0</v>
      </c>
      <c r="N56" s="315">
        <v>0</v>
      </c>
      <c r="O56" s="315">
        <v>0</v>
      </c>
      <c r="P56" s="316">
        <f t="shared" si="85"/>
        <v>0</v>
      </c>
      <c r="Q56" s="315">
        <v>0</v>
      </c>
      <c r="R56" s="315">
        <v>0</v>
      </c>
      <c r="S56" s="316">
        <f t="shared" si="79"/>
        <v>0</v>
      </c>
      <c r="T56" s="316"/>
      <c r="U56" s="316"/>
      <c r="V56" s="316"/>
      <c r="W56" s="317">
        <f t="shared" si="86"/>
        <v>0.6333333333333333</v>
      </c>
      <c r="X56" s="317"/>
      <c r="Y56" s="317"/>
      <c r="Z56" s="318">
        <f t="shared" si="87"/>
        <v>0.48717948717948717</v>
      </c>
      <c r="AA56" s="319"/>
      <c r="AB56" s="319"/>
      <c r="AC56" s="319"/>
      <c r="AD56" s="315"/>
      <c r="AE56" s="315"/>
      <c r="AF56" s="315"/>
      <c r="AG56" s="315">
        <v>21</v>
      </c>
      <c r="AH56" s="315">
        <v>22</v>
      </c>
      <c r="AI56" s="320">
        <f t="shared" si="88"/>
        <v>43</v>
      </c>
      <c r="AJ56" s="319"/>
      <c r="AK56" s="321"/>
      <c r="AL56" s="321"/>
      <c r="AM56" s="315"/>
      <c r="AN56" s="315"/>
      <c r="AO56" s="315"/>
      <c r="AP56" s="315">
        <v>18</v>
      </c>
      <c r="AQ56" s="315">
        <v>45</v>
      </c>
      <c r="AR56" s="320">
        <f t="shared" si="89"/>
        <v>63</v>
      </c>
      <c r="AS56" s="321">
        <f t="shared" si="90"/>
        <v>53</v>
      </c>
      <c r="AT56" s="321">
        <f t="shared" si="91"/>
        <v>91</v>
      </c>
      <c r="AU56" s="342"/>
      <c r="AV56" s="342"/>
      <c r="AW56" s="322">
        <f t="shared" si="92"/>
        <v>144</v>
      </c>
      <c r="AX56" s="318">
        <f t="shared" si="93"/>
        <v>0.46913580246913578</v>
      </c>
      <c r="AY56" s="318"/>
      <c r="AZ56" s="318">
        <f t="shared" si="94"/>
        <v>1.0285714285714285</v>
      </c>
      <c r="BA56" s="318">
        <f t="shared" si="80"/>
        <v>0.83441981747066485</v>
      </c>
      <c r="BB56" s="318">
        <f t="shared" si="81"/>
        <v>0</v>
      </c>
      <c r="BC56" s="586">
        <f t="shared" si="95"/>
        <v>38.974358974358978</v>
      </c>
      <c r="BD56" s="587">
        <f t="shared" si="82"/>
        <v>147.69230769230768</v>
      </c>
      <c r="BE56" s="588"/>
      <c r="BF56" s="311">
        <v>3</v>
      </c>
      <c r="BG56" s="312" t="s">
        <v>52</v>
      </c>
      <c r="BH56" s="313" t="s">
        <v>53</v>
      </c>
      <c r="BI56" s="589"/>
      <c r="BJ56" s="589"/>
      <c r="BK56" s="315">
        <v>0</v>
      </c>
      <c r="BL56" s="315">
        <v>1</v>
      </c>
      <c r="BM56" s="315">
        <v>4</v>
      </c>
      <c r="BN56" s="315">
        <v>13</v>
      </c>
      <c r="BO56" s="315">
        <v>3</v>
      </c>
      <c r="BP56" s="315">
        <v>2</v>
      </c>
      <c r="BQ56" s="315">
        <v>0</v>
      </c>
      <c r="BR56" s="315">
        <v>4</v>
      </c>
      <c r="BS56" s="315">
        <v>2</v>
      </c>
      <c r="BT56" s="315">
        <v>2</v>
      </c>
      <c r="BU56" s="315">
        <v>1</v>
      </c>
      <c r="BV56" s="315">
        <v>2</v>
      </c>
      <c r="BW56" s="315">
        <v>4</v>
      </c>
      <c r="BX56" s="315">
        <v>0</v>
      </c>
      <c r="BY56" s="321">
        <f t="shared" si="96"/>
        <v>14</v>
      </c>
      <c r="BZ56" s="321">
        <f t="shared" si="97"/>
        <v>24</v>
      </c>
      <c r="CA56" s="342">
        <f t="shared" si="98"/>
        <v>38</v>
      </c>
    </row>
    <row r="57" spans="1:79" ht="80.099999999999994" customHeight="1">
      <c r="A57" s="311">
        <v>4</v>
      </c>
      <c r="B57" s="312" t="s">
        <v>54</v>
      </c>
      <c r="C57" s="313" t="s">
        <v>55</v>
      </c>
      <c r="D57" s="323">
        <v>150000</v>
      </c>
      <c r="E57" s="314">
        <f>(F57*2)+F57*0.25</f>
        <v>112.5</v>
      </c>
      <c r="F57" s="323">
        <v>50</v>
      </c>
      <c r="G57" s="315">
        <v>9</v>
      </c>
      <c r="H57" s="315">
        <v>5</v>
      </c>
      <c r="I57" s="316">
        <f t="shared" si="83"/>
        <v>14</v>
      </c>
      <c r="J57" s="316"/>
      <c r="K57" s="315">
        <v>0</v>
      </c>
      <c r="L57" s="315">
        <v>2</v>
      </c>
      <c r="M57" s="316">
        <f t="shared" si="84"/>
        <v>2</v>
      </c>
      <c r="N57" s="315">
        <v>0</v>
      </c>
      <c r="O57" s="315">
        <v>0</v>
      </c>
      <c r="P57" s="316">
        <f t="shared" si="85"/>
        <v>0</v>
      </c>
      <c r="Q57" s="315">
        <v>1</v>
      </c>
      <c r="R57" s="315">
        <v>0</v>
      </c>
      <c r="S57" s="316">
        <f t="shared" si="79"/>
        <v>1</v>
      </c>
      <c r="T57" s="316"/>
      <c r="U57" s="316"/>
      <c r="V57" s="316"/>
      <c r="W57" s="317">
        <f t="shared" si="86"/>
        <v>0.28000000000000003</v>
      </c>
      <c r="X57" s="317"/>
      <c r="Y57" s="317"/>
      <c r="Z57" s="317">
        <f t="shared" si="87"/>
        <v>0.46666666666666667</v>
      </c>
      <c r="AA57" s="320"/>
      <c r="AB57" s="320"/>
      <c r="AC57" s="320"/>
      <c r="AD57" s="324"/>
      <c r="AE57" s="324"/>
      <c r="AF57" s="324"/>
      <c r="AG57" s="315">
        <v>5</v>
      </c>
      <c r="AH57" s="315">
        <v>6</v>
      </c>
      <c r="AI57" s="320">
        <f t="shared" si="88"/>
        <v>11</v>
      </c>
      <c r="AJ57" s="320"/>
      <c r="AK57" s="316"/>
      <c r="AL57" s="316"/>
      <c r="AM57" s="324"/>
      <c r="AN57" s="324"/>
      <c r="AO57" s="324"/>
      <c r="AP57" s="315">
        <v>5</v>
      </c>
      <c r="AQ57" s="315">
        <v>13</v>
      </c>
      <c r="AR57" s="320">
        <f t="shared" si="89"/>
        <v>18</v>
      </c>
      <c r="AS57" s="321">
        <f t="shared" si="90"/>
        <v>20</v>
      </c>
      <c r="AT57" s="321">
        <f t="shared" si="91"/>
        <v>26</v>
      </c>
      <c r="AU57" s="342"/>
      <c r="AV57" s="342"/>
      <c r="AW57" s="322">
        <f t="shared" si="92"/>
        <v>46</v>
      </c>
      <c r="AX57" s="318">
        <f t="shared" si="93"/>
        <v>0.56000000000000005</v>
      </c>
      <c r="AY57" s="318"/>
      <c r="AZ57" s="318">
        <f t="shared" si="94"/>
        <v>0.40888888888888891</v>
      </c>
      <c r="BA57" s="317">
        <f t="shared" si="80"/>
        <v>0.69303201506591339</v>
      </c>
      <c r="BB57" s="317">
        <f t="shared" si="81"/>
        <v>6.5217391304347824E-2</v>
      </c>
      <c r="BC57" s="590">
        <f t="shared" si="95"/>
        <v>37.333333333333329</v>
      </c>
      <c r="BD57" s="591">
        <f t="shared" si="82"/>
        <v>122.66666666666667</v>
      </c>
      <c r="BE57" s="592"/>
      <c r="BF57" s="311">
        <v>4</v>
      </c>
      <c r="BG57" s="312" t="s">
        <v>54</v>
      </c>
      <c r="BH57" s="313" t="s">
        <v>55</v>
      </c>
      <c r="BI57" s="589"/>
      <c r="BJ57" s="589"/>
      <c r="BK57" s="315">
        <v>0</v>
      </c>
      <c r="BL57" s="315">
        <v>0</v>
      </c>
      <c r="BM57" s="315">
        <v>2</v>
      </c>
      <c r="BN57" s="315">
        <v>2</v>
      </c>
      <c r="BO57" s="315">
        <v>0</v>
      </c>
      <c r="BP57" s="315">
        <v>3</v>
      </c>
      <c r="BQ57" s="315">
        <v>4</v>
      </c>
      <c r="BR57" s="315">
        <v>0</v>
      </c>
      <c r="BS57" s="315">
        <v>1</v>
      </c>
      <c r="BT57" s="315">
        <v>0</v>
      </c>
      <c r="BU57" s="315">
        <v>2</v>
      </c>
      <c r="BV57" s="315">
        <v>0</v>
      </c>
      <c r="BW57" s="315">
        <v>0</v>
      </c>
      <c r="BX57" s="315">
        <v>0</v>
      </c>
      <c r="BY57" s="316">
        <f t="shared" si="96"/>
        <v>9</v>
      </c>
      <c r="BZ57" s="316">
        <f t="shared" si="97"/>
        <v>5</v>
      </c>
      <c r="CA57" s="322">
        <f t="shared" si="98"/>
        <v>14</v>
      </c>
    </row>
    <row r="58" spans="1:79" ht="80.099999999999994" customHeight="1">
      <c r="A58" s="311">
        <v>5</v>
      </c>
      <c r="B58" s="312" t="s">
        <v>56</v>
      </c>
      <c r="C58" s="313" t="s">
        <v>57</v>
      </c>
      <c r="D58" s="323">
        <v>150000</v>
      </c>
      <c r="E58" s="314">
        <f>(F58*2)+F58*0.25</f>
        <v>112.5</v>
      </c>
      <c r="F58" s="323">
        <v>50</v>
      </c>
      <c r="G58" s="315">
        <v>9</v>
      </c>
      <c r="H58" s="315">
        <v>16</v>
      </c>
      <c r="I58" s="316">
        <f t="shared" si="83"/>
        <v>25</v>
      </c>
      <c r="J58" s="316"/>
      <c r="K58" s="315">
        <v>1</v>
      </c>
      <c r="L58" s="315">
        <v>5</v>
      </c>
      <c r="M58" s="316">
        <f t="shared" si="84"/>
        <v>6</v>
      </c>
      <c r="N58" s="315">
        <v>0</v>
      </c>
      <c r="O58" s="315">
        <v>0</v>
      </c>
      <c r="P58" s="316">
        <f t="shared" si="85"/>
        <v>0</v>
      </c>
      <c r="Q58" s="315">
        <v>0</v>
      </c>
      <c r="R58" s="315">
        <v>1</v>
      </c>
      <c r="S58" s="316">
        <f t="shared" si="79"/>
        <v>1</v>
      </c>
      <c r="T58" s="316"/>
      <c r="U58" s="316"/>
      <c r="V58" s="316"/>
      <c r="W58" s="317">
        <f t="shared" si="86"/>
        <v>0.5</v>
      </c>
      <c r="X58" s="317"/>
      <c r="Y58" s="317"/>
      <c r="Z58" s="318">
        <f t="shared" si="87"/>
        <v>0.83333333333333337</v>
      </c>
      <c r="AA58" s="319"/>
      <c r="AB58" s="319"/>
      <c r="AC58" s="319"/>
      <c r="AD58" s="315"/>
      <c r="AE58" s="315"/>
      <c r="AF58" s="315"/>
      <c r="AG58" s="315">
        <v>7</v>
      </c>
      <c r="AH58" s="315">
        <v>10</v>
      </c>
      <c r="AI58" s="320">
        <f t="shared" si="88"/>
        <v>17</v>
      </c>
      <c r="AJ58" s="319"/>
      <c r="AK58" s="321"/>
      <c r="AL58" s="321"/>
      <c r="AM58" s="315"/>
      <c r="AN58" s="315"/>
      <c r="AO58" s="315"/>
      <c r="AP58" s="315">
        <v>12</v>
      </c>
      <c r="AQ58" s="315">
        <v>12</v>
      </c>
      <c r="AR58" s="320">
        <f t="shared" si="89"/>
        <v>24</v>
      </c>
      <c r="AS58" s="321">
        <f t="shared" si="90"/>
        <v>29</v>
      </c>
      <c r="AT58" s="321">
        <f t="shared" si="91"/>
        <v>44</v>
      </c>
      <c r="AU58" s="342"/>
      <c r="AV58" s="342"/>
      <c r="AW58" s="322">
        <f t="shared" si="92"/>
        <v>73</v>
      </c>
      <c r="AX58" s="318">
        <f t="shared" si="93"/>
        <v>0.59523809523809523</v>
      </c>
      <c r="AY58" s="318"/>
      <c r="AZ58" s="318">
        <f t="shared" si="94"/>
        <v>0.64888888888888885</v>
      </c>
      <c r="BA58" s="318">
        <f t="shared" si="80"/>
        <v>1.0998116760828625</v>
      </c>
      <c r="BB58" s="318">
        <f t="shared" si="81"/>
        <v>9.5890410958904104E-2</v>
      </c>
      <c r="BC58" s="586">
        <f t="shared" si="95"/>
        <v>66.666666666666671</v>
      </c>
      <c r="BD58" s="587">
        <f t="shared" si="82"/>
        <v>194.66666666666666</v>
      </c>
      <c r="BE58" s="588"/>
      <c r="BF58" s="311">
        <v>5</v>
      </c>
      <c r="BG58" s="312" t="s">
        <v>56</v>
      </c>
      <c r="BH58" s="313" t="s">
        <v>57</v>
      </c>
      <c r="BI58" s="589"/>
      <c r="BJ58" s="589"/>
      <c r="BK58" s="315">
        <v>0</v>
      </c>
      <c r="BL58" s="315">
        <v>1</v>
      </c>
      <c r="BM58" s="315">
        <v>3</v>
      </c>
      <c r="BN58" s="315">
        <v>9</v>
      </c>
      <c r="BO58" s="315">
        <v>2</v>
      </c>
      <c r="BP58" s="315">
        <v>3</v>
      </c>
      <c r="BQ58" s="315">
        <v>2</v>
      </c>
      <c r="BR58" s="315">
        <v>2</v>
      </c>
      <c r="BS58" s="315">
        <v>1</v>
      </c>
      <c r="BT58" s="315">
        <v>1</v>
      </c>
      <c r="BU58" s="315">
        <v>0</v>
      </c>
      <c r="BV58" s="315">
        <v>0</v>
      </c>
      <c r="BW58" s="315">
        <v>1</v>
      </c>
      <c r="BX58" s="315">
        <v>0</v>
      </c>
      <c r="BY58" s="321">
        <f t="shared" si="96"/>
        <v>9</v>
      </c>
      <c r="BZ58" s="321">
        <f t="shared" si="97"/>
        <v>16</v>
      </c>
      <c r="CA58" s="342">
        <f t="shared" si="98"/>
        <v>25</v>
      </c>
    </row>
    <row r="59" spans="1:79" ht="80.099999999999994" customHeight="1">
      <c r="A59" s="311">
        <v>6</v>
      </c>
      <c r="B59" s="312" t="s">
        <v>58</v>
      </c>
      <c r="C59" s="313" t="s">
        <v>57</v>
      </c>
      <c r="D59" s="323">
        <v>70000</v>
      </c>
      <c r="E59" s="314">
        <f>(F59*2)+F59*0.25</f>
        <v>45</v>
      </c>
      <c r="F59" s="323">
        <v>20</v>
      </c>
      <c r="G59" s="315">
        <v>2</v>
      </c>
      <c r="H59" s="315">
        <v>1</v>
      </c>
      <c r="I59" s="316">
        <f t="shared" si="83"/>
        <v>3</v>
      </c>
      <c r="J59" s="316"/>
      <c r="K59" s="315">
        <v>0</v>
      </c>
      <c r="L59" s="315">
        <v>0</v>
      </c>
      <c r="M59" s="316">
        <f t="shared" si="84"/>
        <v>0</v>
      </c>
      <c r="N59" s="315">
        <v>0</v>
      </c>
      <c r="O59" s="315">
        <v>0</v>
      </c>
      <c r="P59" s="316">
        <f t="shared" si="85"/>
        <v>0</v>
      </c>
      <c r="Q59" s="315">
        <v>0</v>
      </c>
      <c r="R59" s="315">
        <v>0</v>
      </c>
      <c r="S59" s="316">
        <f t="shared" si="79"/>
        <v>0</v>
      </c>
      <c r="T59" s="316"/>
      <c r="U59" s="316"/>
      <c r="V59" s="316"/>
      <c r="W59" s="317">
        <f t="shared" si="86"/>
        <v>0.15</v>
      </c>
      <c r="X59" s="317"/>
      <c r="Y59" s="317"/>
      <c r="Z59" s="317">
        <f t="shared" si="87"/>
        <v>0.21428571428571427</v>
      </c>
      <c r="AA59" s="320"/>
      <c r="AB59" s="320"/>
      <c r="AC59" s="320"/>
      <c r="AD59" s="324"/>
      <c r="AE59" s="324"/>
      <c r="AF59" s="324"/>
      <c r="AG59" s="315">
        <v>2</v>
      </c>
      <c r="AH59" s="315">
        <v>2</v>
      </c>
      <c r="AI59" s="320">
        <f t="shared" si="88"/>
        <v>4</v>
      </c>
      <c r="AJ59" s="320"/>
      <c r="AK59" s="316"/>
      <c r="AL59" s="316"/>
      <c r="AM59" s="324"/>
      <c r="AN59" s="324"/>
      <c r="AO59" s="324"/>
      <c r="AP59" s="315">
        <v>1</v>
      </c>
      <c r="AQ59" s="315">
        <v>2</v>
      </c>
      <c r="AR59" s="320">
        <f t="shared" si="89"/>
        <v>3</v>
      </c>
      <c r="AS59" s="321">
        <f t="shared" si="90"/>
        <v>5</v>
      </c>
      <c r="AT59" s="321">
        <f t="shared" si="91"/>
        <v>5</v>
      </c>
      <c r="AU59" s="342"/>
      <c r="AV59" s="342"/>
      <c r="AW59" s="322">
        <f t="shared" si="92"/>
        <v>10</v>
      </c>
      <c r="AX59" s="318">
        <f t="shared" si="93"/>
        <v>0.42857142857142855</v>
      </c>
      <c r="AY59" s="318"/>
      <c r="AZ59" s="318">
        <f t="shared" si="94"/>
        <v>0.22222222222222221</v>
      </c>
      <c r="BA59" s="317">
        <f t="shared" si="80"/>
        <v>0.32284100080710249</v>
      </c>
      <c r="BB59" s="317">
        <f t="shared" si="81"/>
        <v>0</v>
      </c>
      <c r="BC59" s="590">
        <f t="shared" si="95"/>
        <v>17.142857142857142</v>
      </c>
      <c r="BD59" s="591">
        <f t="shared" si="82"/>
        <v>57.142857142857146</v>
      </c>
      <c r="BE59" s="592"/>
      <c r="BF59" s="311">
        <v>6</v>
      </c>
      <c r="BG59" s="312" t="s">
        <v>58</v>
      </c>
      <c r="BH59" s="313" t="s">
        <v>57</v>
      </c>
      <c r="BI59" s="589"/>
      <c r="BJ59" s="589"/>
      <c r="BK59" s="315">
        <v>0</v>
      </c>
      <c r="BL59" s="315">
        <v>1</v>
      </c>
      <c r="BM59" s="315">
        <v>0</v>
      </c>
      <c r="BN59" s="315">
        <v>0</v>
      </c>
      <c r="BO59" s="315">
        <v>0</v>
      </c>
      <c r="BP59" s="315">
        <v>0</v>
      </c>
      <c r="BQ59" s="315">
        <v>0</v>
      </c>
      <c r="BR59" s="315">
        <v>0</v>
      </c>
      <c r="BS59" s="315">
        <v>2</v>
      </c>
      <c r="BT59" s="315">
        <v>0</v>
      </c>
      <c r="BU59" s="315">
        <v>0</v>
      </c>
      <c r="BV59" s="315">
        <v>0</v>
      </c>
      <c r="BW59" s="315">
        <v>0</v>
      </c>
      <c r="BX59" s="315">
        <v>0</v>
      </c>
      <c r="BY59" s="316">
        <f t="shared" si="96"/>
        <v>2</v>
      </c>
      <c r="BZ59" s="316">
        <f t="shared" si="97"/>
        <v>1</v>
      </c>
      <c r="CA59" s="322">
        <f t="shared" si="98"/>
        <v>3</v>
      </c>
    </row>
    <row r="60" spans="1:79" ht="80.099999999999994" customHeight="1">
      <c r="A60" s="311">
        <v>7</v>
      </c>
      <c r="B60" s="312" t="s">
        <v>59</v>
      </c>
      <c r="C60" s="313" t="s">
        <v>57</v>
      </c>
      <c r="D60" s="323">
        <v>50000</v>
      </c>
      <c r="E60" s="314">
        <f>(F60*2)+F60*0.25</f>
        <v>56.25</v>
      </c>
      <c r="F60" s="323">
        <v>25</v>
      </c>
      <c r="G60" s="315">
        <v>4</v>
      </c>
      <c r="H60" s="315">
        <v>8</v>
      </c>
      <c r="I60" s="316">
        <f t="shared" si="83"/>
        <v>12</v>
      </c>
      <c r="J60" s="316"/>
      <c r="K60" s="315">
        <v>0</v>
      </c>
      <c r="L60" s="315">
        <v>0</v>
      </c>
      <c r="M60" s="316">
        <f t="shared" si="84"/>
        <v>0</v>
      </c>
      <c r="N60" s="315">
        <v>0</v>
      </c>
      <c r="O60" s="315">
        <v>0</v>
      </c>
      <c r="P60" s="316">
        <f t="shared" si="85"/>
        <v>0</v>
      </c>
      <c r="Q60" s="315">
        <v>0</v>
      </c>
      <c r="R60" s="315">
        <v>0</v>
      </c>
      <c r="S60" s="316">
        <f t="shared" si="79"/>
        <v>0</v>
      </c>
      <c r="T60" s="316"/>
      <c r="U60" s="316"/>
      <c r="V60" s="316"/>
      <c r="W60" s="317">
        <f t="shared" si="86"/>
        <v>0.48</v>
      </c>
      <c r="X60" s="317"/>
      <c r="Y60" s="317"/>
      <c r="Z60" s="318">
        <f t="shared" si="87"/>
        <v>1.2</v>
      </c>
      <c r="AA60" s="319"/>
      <c r="AB60" s="319"/>
      <c r="AC60" s="319"/>
      <c r="AD60" s="315"/>
      <c r="AE60" s="315"/>
      <c r="AF60" s="315"/>
      <c r="AG60" s="315">
        <f>AA60+AC60+AE60</f>
        <v>0</v>
      </c>
      <c r="AH60" s="315">
        <f>AB60+AD60+AF60</f>
        <v>0</v>
      </c>
      <c r="AI60" s="320">
        <f t="shared" si="88"/>
        <v>0</v>
      </c>
      <c r="AJ60" s="319"/>
      <c r="AK60" s="321"/>
      <c r="AL60" s="321"/>
      <c r="AM60" s="315"/>
      <c r="AN60" s="315"/>
      <c r="AO60" s="315"/>
      <c r="AP60" s="315">
        <v>3</v>
      </c>
      <c r="AQ60" s="315">
        <v>4</v>
      </c>
      <c r="AR60" s="320">
        <f t="shared" si="89"/>
        <v>7</v>
      </c>
      <c r="AS60" s="321">
        <f t="shared" si="90"/>
        <v>7</v>
      </c>
      <c r="AT60" s="321">
        <f t="shared" si="91"/>
        <v>12</v>
      </c>
      <c r="AU60" s="342"/>
      <c r="AV60" s="342"/>
      <c r="AW60" s="322">
        <f t="shared" si="92"/>
        <v>19</v>
      </c>
      <c r="AX60" s="318">
        <f t="shared" si="93"/>
        <v>1</v>
      </c>
      <c r="AY60" s="318"/>
      <c r="AZ60" s="318">
        <f t="shared" si="94"/>
        <v>0.33777777777777779</v>
      </c>
      <c r="BA60" s="318">
        <f t="shared" si="80"/>
        <v>0.85875706214689262</v>
      </c>
      <c r="BB60" s="318">
        <f t="shared" si="81"/>
        <v>0</v>
      </c>
      <c r="BC60" s="586">
        <f t="shared" si="95"/>
        <v>96</v>
      </c>
      <c r="BD60" s="587">
        <f t="shared" si="82"/>
        <v>152</v>
      </c>
      <c r="BE60" s="588"/>
      <c r="BF60" s="311">
        <v>7</v>
      </c>
      <c r="BG60" s="312" t="s">
        <v>59</v>
      </c>
      <c r="BH60" s="313" t="s">
        <v>57</v>
      </c>
      <c r="BI60" s="589"/>
      <c r="BJ60" s="589"/>
      <c r="BK60" s="315">
        <v>0</v>
      </c>
      <c r="BL60" s="315">
        <v>0</v>
      </c>
      <c r="BM60" s="315">
        <v>2</v>
      </c>
      <c r="BN60" s="315">
        <v>3</v>
      </c>
      <c r="BO60" s="315">
        <v>0</v>
      </c>
      <c r="BP60" s="315">
        <v>0</v>
      </c>
      <c r="BQ60" s="315">
        <v>1</v>
      </c>
      <c r="BR60" s="315">
        <v>1</v>
      </c>
      <c r="BS60" s="315">
        <v>0</v>
      </c>
      <c r="BT60" s="315">
        <v>0</v>
      </c>
      <c r="BU60" s="315">
        <v>1</v>
      </c>
      <c r="BV60" s="315">
        <v>3</v>
      </c>
      <c r="BW60" s="315">
        <v>0</v>
      </c>
      <c r="BX60" s="315">
        <v>1</v>
      </c>
      <c r="BY60" s="321">
        <f t="shared" si="96"/>
        <v>4</v>
      </c>
      <c r="BZ60" s="321">
        <f t="shared" si="97"/>
        <v>8</v>
      </c>
      <c r="CA60" s="342">
        <f t="shared" si="98"/>
        <v>12</v>
      </c>
    </row>
    <row r="61" spans="1:79" ht="80.099999999999994" customHeight="1">
      <c r="A61" s="311">
        <v>8</v>
      </c>
      <c r="B61" s="312" t="s">
        <v>60</v>
      </c>
      <c r="C61" s="313" t="s">
        <v>57</v>
      </c>
      <c r="D61" s="323">
        <v>100000</v>
      </c>
      <c r="E61" s="314">
        <f>(F61*2)+F61*0.25</f>
        <v>112.5</v>
      </c>
      <c r="F61" s="323">
        <v>50</v>
      </c>
      <c r="G61" s="315">
        <v>11</v>
      </c>
      <c r="H61" s="315">
        <v>15</v>
      </c>
      <c r="I61" s="316">
        <f t="shared" si="83"/>
        <v>26</v>
      </c>
      <c r="J61" s="316"/>
      <c r="K61" s="315">
        <v>0</v>
      </c>
      <c r="L61" s="315">
        <v>1</v>
      </c>
      <c r="M61" s="316">
        <f t="shared" si="84"/>
        <v>1</v>
      </c>
      <c r="N61" s="315">
        <v>0</v>
      </c>
      <c r="O61" s="315">
        <v>0</v>
      </c>
      <c r="P61" s="316">
        <f t="shared" si="85"/>
        <v>0</v>
      </c>
      <c r="Q61" s="315">
        <v>2</v>
      </c>
      <c r="R61" s="315">
        <v>0</v>
      </c>
      <c r="S61" s="316">
        <f t="shared" si="79"/>
        <v>2</v>
      </c>
      <c r="T61" s="316"/>
      <c r="U61" s="316"/>
      <c r="V61" s="316"/>
      <c r="W61" s="317">
        <f t="shared" si="86"/>
        <v>0.52</v>
      </c>
      <c r="X61" s="317"/>
      <c r="Y61" s="317"/>
      <c r="Z61" s="317">
        <f t="shared" si="87"/>
        <v>1.3</v>
      </c>
      <c r="AA61" s="320"/>
      <c r="AB61" s="320"/>
      <c r="AC61" s="320"/>
      <c r="AD61" s="324"/>
      <c r="AE61" s="324"/>
      <c r="AF61" s="324"/>
      <c r="AG61" s="315">
        <v>3</v>
      </c>
      <c r="AH61" s="315">
        <v>3</v>
      </c>
      <c r="AI61" s="320">
        <f t="shared" si="88"/>
        <v>6</v>
      </c>
      <c r="AJ61" s="320"/>
      <c r="AK61" s="316"/>
      <c r="AL61" s="316"/>
      <c r="AM61" s="324"/>
      <c r="AN61" s="324"/>
      <c r="AO61" s="324"/>
      <c r="AP61" s="315">
        <v>4</v>
      </c>
      <c r="AQ61" s="315">
        <v>11</v>
      </c>
      <c r="AR61" s="320">
        <f t="shared" si="89"/>
        <v>15</v>
      </c>
      <c r="AS61" s="321">
        <f t="shared" si="90"/>
        <v>20</v>
      </c>
      <c r="AT61" s="321">
        <f t="shared" si="91"/>
        <v>30</v>
      </c>
      <c r="AU61" s="342"/>
      <c r="AV61" s="342"/>
      <c r="AW61" s="322">
        <f t="shared" si="92"/>
        <v>50</v>
      </c>
      <c r="AX61" s="318">
        <f t="shared" si="93"/>
        <v>0.8125</v>
      </c>
      <c r="AY61" s="318"/>
      <c r="AZ61" s="318">
        <f t="shared" si="94"/>
        <v>0.44444444444444442</v>
      </c>
      <c r="BA61" s="317">
        <f t="shared" si="80"/>
        <v>1.1299435028248588</v>
      </c>
      <c r="BB61" s="317">
        <f t="shared" si="81"/>
        <v>0.06</v>
      </c>
      <c r="BC61" s="590">
        <f t="shared" si="95"/>
        <v>103.99999999999999</v>
      </c>
      <c r="BD61" s="591">
        <f t="shared" si="82"/>
        <v>200</v>
      </c>
      <c r="BE61" s="592"/>
      <c r="BF61" s="311">
        <v>8</v>
      </c>
      <c r="BG61" s="312" t="s">
        <v>60</v>
      </c>
      <c r="BH61" s="313" t="s">
        <v>57</v>
      </c>
      <c r="BI61" s="589"/>
      <c r="BJ61" s="589"/>
      <c r="BK61" s="315">
        <v>0</v>
      </c>
      <c r="BL61" s="315">
        <v>0</v>
      </c>
      <c r="BM61" s="315">
        <v>4</v>
      </c>
      <c r="BN61" s="315">
        <v>8</v>
      </c>
      <c r="BO61" s="315">
        <v>4</v>
      </c>
      <c r="BP61" s="315">
        <v>2</v>
      </c>
      <c r="BQ61" s="315">
        <v>1</v>
      </c>
      <c r="BR61" s="315">
        <v>3</v>
      </c>
      <c r="BS61" s="315">
        <v>1</v>
      </c>
      <c r="BT61" s="315">
        <v>2</v>
      </c>
      <c r="BU61" s="315">
        <v>1</v>
      </c>
      <c r="BV61" s="315">
        <v>0</v>
      </c>
      <c r="BW61" s="315">
        <v>0</v>
      </c>
      <c r="BX61" s="315">
        <v>0</v>
      </c>
      <c r="BY61" s="316">
        <f t="shared" si="96"/>
        <v>11</v>
      </c>
      <c r="BZ61" s="316">
        <f t="shared" si="97"/>
        <v>15</v>
      </c>
      <c r="CA61" s="322">
        <f t="shared" si="98"/>
        <v>26</v>
      </c>
    </row>
    <row r="62" spans="1:79" ht="80.099999999999994" customHeight="1">
      <c r="A62" s="765" t="s">
        <v>102</v>
      </c>
      <c r="B62" s="766"/>
      <c r="C62" s="325" t="s">
        <v>103</v>
      </c>
      <c r="D62" s="326">
        <f>D54+D55+D56+D57+D58+D59+D60+D61</f>
        <v>1410000</v>
      </c>
      <c r="E62" s="314">
        <f>SUM(E54:E61)</f>
        <v>841.75</v>
      </c>
      <c r="F62" s="326">
        <f>SUM(F54:F61)</f>
        <v>365</v>
      </c>
      <c r="G62" s="327">
        <f>SUM(G54:G61)</f>
        <v>79</v>
      </c>
      <c r="H62" s="327">
        <f>SUM(H54:H61)</f>
        <v>103</v>
      </c>
      <c r="I62" s="316">
        <f t="shared" si="83"/>
        <v>182</v>
      </c>
      <c r="J62" s="316"/>
      <c r="K62" s="327">
        <f>SUM(K54:K61)</f>
        <v>7</v>
      </c>
      <c r="L62" s="327">
        <f>SUM(L54:L61)</f>
        <v>15</v>
      </c>
      <c r="M62" s="316">
        <f t="shared" si="84"/>
        <v>22</v>
      </c>
      <c r="N62" s="327">
        <f>SUM(N54:N61)</f>
        <v>0</v>
      </c>
      <c r="O62" s="327">
        <f>SUM(O54:O61)</f>
        <v>0</v>
      </c>
      <c r="P62" s="316">
        <f t="shared" si="85"/>
        <v>0</v>
      </c>
      <c r="Q62" s="327">
        <f>SUM(Q54:Q61)</f>
        <v>4</v>
      </c>
      <c r="R62" s="327">
        <f>SUM(R54:R61)</f>
        <v>1</v>
      </c>
      <c r="S62" s="316">
        <f t="shared" si="79"/>
        <v>5</v>
      </c>
      <c r="T62" s="316"/>
      <c r="U62" s="316"/>
      <c r="V62" s="316"/>
      <c r="W62" s="317">
        <f t="shared" si="86"/>
        <v>0.49863013698630138</v>
      </c>
      <c r="X62" s="317"/>
      <c r="Y62" s="317"/>
      <c r="Z62" s="328">
        <f>I62*4/(D62*0.0008)</f>
        <v>0.64539007092198586</v>
      </c>
      <c r="AA62" s="329">
        <f t="shared" ref="AA62:AF62" si="99">SUM(AA54:AA61)</f>
        <v>0</v>
      </c>
      <c r="AB62" s="327">
        <f t="shared" si="99"/>
        <v>0</v>
      </c>
      <c r="AC62" s="327">
        <f t="shared" si="99"/>
        <v>0</v>
      </c>
      <c r="AD62" s="327">
        <f t="shared" si="99"/>
        <v>0</v>
      </c>
      <c r="AE62" s="327">
        <f t="shared" si="99"/>
        <v>0</v>
      </c>
      <c r="AF62" s="327">
        <f t="shared" si="99"/>
        <v>0</v>
      </c>
      <c r="AG62" s="315">
        <f>SUM(AG54:AG61)</f>
        <v>65</v>
      </c>
      <c r="AH62" s="315">
        <f>SUM(AH54:AH61)</f>
        <v>83</v>
      </c>
      <c r="AI62" s="320">
        <f t="shared" si="88"/>
        <v>148</v>
      </c>
      <c r="AJ62" s="327">
        <f t="shared" ref="AJ62:AO62" si="100">SUM(AJ54:AJ61)</f>
        <v>0</v>
      </c>
      <c r="AK62" s="327">
        <f t="shared" si="100"/>
        <v>0</v>
      </c>
      <c r="AL62" s="327">
        <f t="shared" si="100"/>
        <v>0</v>
      </c>
      <c r="AM62" s="327">
        <f t="shared" si="100"/>
        <v>0</v>
      </c>
      <c r="AN62" s="327">
        <f t="shared" si="100"/>
        <v>0</v>
      </c>
      <c r="AO62" s="327">
        <f t="shared" si="100"/>
        <v>0</v>
      </c>
      <c r="AP62" s="315">
        <f>SUM(AP54:AP61)</f>
        <v>59</v>
      </c>
      <c r="AQ62" s="315">
        <f>SUM(AQ54:AQ61)</f>
        <v>124</v>
      </c>
      <c r="AR62" s="320">
        <f t="shared" si="89"/>
        <v>183</v>
      </c>
      <c r="AS62" s="321">
        <f t="shared" si="90"/>
        <v>214</v>
      </c>
      <c r="AT62" s="321">
        <f t="shared" si="91"/>
        <v>326</v>
      </c>
      <c r="AU62" s="321">
        <v>540</v>
      </c>
      <c r="AV62" s="321"/>
      <c r="AW62" s="316">
        <f t="shared" si="92"/>
        <v>540</v>
      </c>
      <c r="AX62" s="318">
        <f t="shared" si="93"/>
        <v>0.55151515151515151</v>
      </c>
      <c r="AY62" s="318"/>
      <c r="AZ62" s="318">
        <f t="shared" si="94"/>
        <v>0.64152064152064148</v>
      </c>
      <c r="BA62" s="328">
        <f t="shared" si="80"/>
        <v>0.86548864046159379</v>
      </c>
      <c r="BB62" s="317">
        <f t="shared" si="81"/>
        <v>0.05</v>
      </c>
      <c r="BC62" s="590">
        <f>I62*4/D62*100000</f>
        <v>51.63120567375887</v>
      </c>
      <c r="BD62" s="591">
        <f t="shared" si="82"/>
        <v>153.19148936170211</v>
      </c>
      <c r="BE62" s="593"/>
      <c r="BF62" s="765" t="s">
        <v>102</v>
      </c>
      <c r="BG62" s="766"/>
      <c r="BH62" s="325" t="s">
        <v>103</v>
      </c>
      <c r="BI62" s="594">
        <f t="shared" ref="BI62:BX62" si="101">SUM(BI54:BI61)</f>
        <v>0</v>
      </c>
      <c r="BJ62" s="594">
        <f t="shared" si="101"/>
        <v>0</v>
      </c>
      <c r="BK62" s="327">
        <f t="shared" si="101"/>
        <v>3</v>
      </c>
      <c r="BL62" s="327">
        <f t="shared" si="101"/>
        <v>11</v>
      </c>
      <c r="BM62" s="327">
        <f t="shared" si="101"/>
        <v>21</v>
      </c>
      <c r="BN62" s="327">
        <f t="shared" si="101"/>
        <v>49</v>
      </c>
      <c r="BO62" s="327">
        <f t="shared" si="101"/>
        <v>19</v>
      </c>
      <c r="BP62" s="327">
        <f t="shared" si="101"/>
        <v>17</v>
      </c>
      <c r="BQ62" s="327">
        <f t="shared" si="101"/>
        <v>10</v>
      </c>
      <c r="BR62" s="327">
        <f t="shared" si="101"/>
        <v>11</v>
      </c>
      <c r="BS62" s="327">
        <f t="shared" si="101"/>
        <v>10</v>
      </c>
      <c r="BT62" s="327">
        <f t="shared" si="101"/>
        <v>8</v>
      </c>
      <c r="BU62" s="327">
        <f t="shared" si="101"/>
        <v>9</v>
      </c>
      <c r="BV62" s="327">
        <f t="shared" si="101"/>
        <v>5</v>
      </c>
      <c r="BW62" s="327">
        <f t="shared" si="101"/>
        <v>7</v>
      </c>
      <c r="BX62" s="327">
        <f t="shared" si="101"/>
        <v>2</v>
      </c>
      <c r="BY62" s="316">
        <f>BW62+BU62+BS62+BQ62+BO62+BM62+BK62+BI62</f>
        <v>79</v>
      </c>
      <c r="BZ62" s="316">
        <f t="shared" si="97"/>
        <v>103</v>
      </c>
      <c r="CA62" s="316">
        <f t="shared" si="98"/>
        <v>182</v>
      </c>
    </row>
    <row r="63" spans="1:79" ht="80.099999999999994" customHeight="1">
      <c r="A63" s="595"/>
      <c r="B63" s="595"/>
      <c r="C63" s="595"/>
      <c r="D63" s="595"/>
      <c r="E63" s="595"/>
      <c r="F63" s="595"/>
      <c r="G63" s="595"/>
      <c r="H63" s="595"/>
      <c r="I63" s="595"/>
      <c r="J63" s="595"/>
      <c r="K63" s="595"/>
      <c r="L63" s="595"/>
      <c r="M63" s="595"/>
      <c r="N63" s="595"/>
      <c r="O63" s="595"/>
      <c r="P63" s="595"/>
      <c r="Q63" s="595"/>
      <c r="R63" s="595"/>
      <c r="S63" s="595"/>
      <c r="T63" s="595"/>
      <c r="U63" s="595"/>
      <c r="V63" s="595"/>
      <c r="W63" s="595"/>
      <c r="X63" s="595"/>
      <c r="Y63" s="595"/>
      <c r="Z63" s="595"/>
      <c r="AA63" s="595"/>
      <c r="AB63" s="595"/>
      <c r="AC63" s="595"/>
      <c r="AD63" s="595"/>
      <c r="AE63" s="595"/>
      <c r="AF63" s="595"/>
      <c r="AG63" s="595"/>
      <c r="AH63" s="595"/>
      <c r="AI63" s="595"/>
      <c r="AJ63" s="595"/>
      <c r="AK63" s="595"/>
      <c r="AL63" s="595"/>
      <c r="AM63" s="595"/>
      <c r="AN63" s="595"/>
      <c r="AO63" s="595"/>
      <c r="AP63" s="595"/>
      <c r="AQ63" s="595"/>
      <c r="AR63" s="595"/>
      <c r="AS63" s="595"/>
      <c r="AT63" s="595"/>
      <c r="AU63" s="595"/>
      <c r="AV63" s="595"/>
      <c r="AW63" s="595"/>
      <c r="AX63" s="595"/>
      <c r="AY63" s="595"/>
      <c r="AZ63" s="595"/>
      <c r="BA63" s="595"/>
      <c r="BB63" s="595"/>
      <c r="BC63" s="595"/>
      <c r="BD63" s="595"/>
      <c r="BE63" s="595"/>
      <c r="BF63" s="595"/>
      <c r="BG63" s="595"/>
      <c r="BH63" s="595"/>
      <c r="BI63" s="596"/>
      <c r="BJ63" s="596"/>
      <c r="BK63" s="595"/>
      <c r="BL63" s="595"/>
      <c r="BM63" s="595"/>
      <c r="BN63" s="595"/>
      <c r="BO63" s="595"/>
      <c r="BP63" s="595"/>
      <c r="BQ63" s="595"/>
      <c r="BR63" s="595"/>
      <c r="BS63" s="595"/>
      <c r="BT63" s="595"/>
      <c r="BU63" s="595"/>
      <c r="BV63" s="595"/>
      <c r="BW63" s="595"/>
      <c r="BX63" s="595"/>
      <c r="BY63" s="595"/>
      <c r="BZ63" s="595"/>
      <c r="CA63" s="595"/>
    </row>
    <row r="64" spans="1:79" ht="80.099999999999994" customHeight="1">
      <c r="A64" s="595"/>
      <c r="B64" s="595"/>
      <c r="C64" s="595"/>
      <c r="D64" s="595"/>
      <c r="E64" s="595"/>
      <c r="F64" s="595"/>
      <c r="G64" s="595"/>
      <c r="H64" s="595"/>
      <c r="I64" s="595"/>
      <c r="J64" s="595"/>
      <c r="K64" s="595"/>
      <c r="L64" s="595"/>
      <c r="M64" s="595"/>
      <c r="N64" s="595"/>
      <c r="O64" s="595"/>
      <c r="P64" s="595"/>
      <c r="Q64" s="595"/>
      <c r="R64" s="595"/>
      <c r="S64" s="595"/>
      <c r="T64" s="595"/>
      <c r="U64" s="595"/>
      <c r="V64" s="595"/>
      <c r="W64" s="595"/>
      <c r="X64" s="595"/>
      <c r="Y64" s="595"/>
      <c r="Z64" s="595"/>
      <c r="AA64" s="595"/>
      <c r="AB64" s="595"/>
      <c r="AC64" s="595"/>
      <c r="AD64" s="595"/>
      <c r="AE64" s="595"/>
      <c r="AF64" s="595"/>
      <c r="AG64" s="595"/>
      <c r="AH64" s="595"/>
      <c r="AI64" s="595"/>
      <c r="AJ64" s="595"/>
      <c r="AK64" s="595"/>
      <c r="AL64" s="595"/>
      <c r="AM64" s="595"/>
      <c r="AN64" s="595"/>
      <c r="AO64" s="595"/>
      <c r="AP64" s="595"/>
      <c r="AQ64" s="595"/>
      <c r="AR64" s="595"/>
      <c r="AS64" s="595"/>
      <c r="AT64" s="595"/>
      <c r="AU64" s="595"/>
      <c r="AV64" s="595"/>
      <c r="AW64" s="595"/>
      <c r="AX64" s="595"/>
      <c r="AY64" s="595"/>
      <c r="AZ64" s="595"/>
      <c r="BA64" s="595"/>
      <c r="BB64" s="595"/>
      <c r="BC64" s="595"/>
      <c r="BD64" s="595"/>
      <c r="BE64" s="595"/>
      <c r="BF64" s="595"/>
      <c r="BG64" s="595"/>
      <c r="BH64" s="595"/>
      <c r="BI64" s="596"/>
      <c r="BJ64" s="596"/>
      <c r="BK64" s="595"/>
      <c r="BL64" s="595"/>
      <c r="BM64" s="595"/>
      <c r="BN64" s="595"/>
      <c r="BO64" s="595"/>
      <c r="BP64" s="595"/>
      <c r="BQ64" s="595"/>
      <c r="BR64" s="595"/>
      <c r="BS64" s="595"/>
      <c r="BT64" s="595"/>
      <c r="BU64" s="595"/>
      <c r="BV64" s="595"/>
      <c r="BW64" s="595"/>
      <c r="BX64" s="595"/>
      <c r="BY64" s="595"/>
      <c r="BZ64" s="595"/>
      <c r="CA64" s="595"/>
    </row>
    <row r="65" spans="1:79" ht="80.099999999999994" customHeight="1">
      <c r="A65" s="964"/>
      <c r="B65" s="964"/>
      <c r="C65" s="959"/>
      <c r="D65" s="960"/>
      <c r="E65" s="960"/>
      <c r="F65" s="960"/>
      <c r="G65" s="960"/>
      <c r="H65" s="960"/>
      <c r="I65" s="960"/>
      <c r="J65" s="960"/>
      <c r="K65" s="960"/>
      <c r="L65" s="960"/>
      <c r="M65" s="960"/>
      <c r="N65" s="960"/>
      <c r="O65" s="960"/>
      <c r="P65" s="960"/>
      <c r="Q65" s="960"/>
      <c r="R65" s="960"/>
      <c r="S65" s="960"/>
      <c r="T65" s="960"/>
      <c r="U65" s="960"/>
      <c r="V65" s="960"/>
      <c r="W65" s="960"/>
      <c r="X65" s="960"/>
      <c r="Y65" s="960"/>
      <c r="Z65" s="960"/>
      <c r="AA65" s="960"/>
      <c r="AB65" s="960"/>
      <c r="AC65" s="960"/>
      <c r="AD65" s="960"/>
      <c r="AE65" s="960"/>
      <c r="AF65" s="960"/>
      <c r="AG65" s="960"/>
      <c r="AH65" s="960"/>
      <c r="AI65" s="960"/>
      <c r="AJ65" s="960"/>
      <c r="AK65" s="960"/>
      <c r="AL65" s="960"/>
      <c r="AM65" s="960"/>
      <c r="AN65" s="960"/>
      <c r="AO65" s="960"/>
      <c r="AP65" s="960"/>
      <c r="AQ65" s="960"/>
      <c r="AR65" s="960"/>
      <c r="AS65" s="960"/>
      <c r="AT65" s="960"/>
      <c r="AU65" s="960"/>
      <c r="AV65" s="960"/>
      <c r="AW65" s="960"/>
      <c r="AX65" s="960"/>
      <c r="AY65" s="960"/>
      <c r="AZ65" s="960"/>
      <c r="BA65" s="960"/>
      <c r="BB65" s="960"/>
      <c r="BC65" s="960"/>
      <c r="BD65" s="960"/>
      <c r="BE65" s="960"/>
      <c r="BF65" s="964"/>
      <c r="BG65" s="964"/>
      <c r="BH65" s="959"/>
      <c r="BI65" s="960"/>
      <c r="BJ65" s="960"/>
      <c r="BK65" s="960"/>
      <c r="BL65" s="960"/>
      <c r="BM65" s="960"/>
      <c r="BN65" s="960"/>
      <c r="BO65" s="960"/>
      <c r="BP65" s="960"/>
      <c r="BQ65" s="960"/>
      <c r="BR65" s="960"/>
      <c r="BS65" s="960"/>
      <c r="BT65" s="960"/>
      <c r="BU65" s="960"/>
      <c r="BV65" s="960"/>
      <c r="BW65" s="960"/>
      <c r="BX65" s="960"/>
      <c r="BY65" s="960"/>
      <c r="BZ65" s="960"/>
      <c r="CA65" s="960"/>
    </row>
    <row r="66" spans="1:79" ht="80.099999999999994" customHeight="1">
      <c r="A66" s="965"/>
      <c r="B66" s="965"/>
      <c r="C66" s="961"/>
      <c r="D66" s="962"/>
      <c r="E66" s="962"/>
      <c r="F66" s="962"/>
      <c r="G66" s="966"/>
      <c r="H66" s="966"/>
      <c r="I66" s="966"/>
      <c r="J66" s="966"/>
      <c r="K66" s="966"/>
      <c r="L66" s="966"/>
      <c r="M66" s="966"/>
      <c r="N66" s="966"/>
      <c r="O66" s="966"/>
      <c r="P66" s="966"/>
      <c r="Q66" s="966"/>
      <c r="R66" s="966"/>
      <c r="S66" s="966"/>
      <c r="T66" s="960"/>
      <c r="U66" s="960"/>
      <c r="V66" s="960"/>
      <c r="W66" s="960"/>
      <c r="X66" s="960"/>
      <c r="Y66" s="960"/>
      <c r="Z66" s="962"/>
      <c r="AA66" s="966"/>
      <c r="AB66" s="966"/>
      <c r="AC66" s="966"/>
      <c r="AD66" s="966"/>
      <c r="AE66" s="966"/>
      <c r="AF66" s="966"/>
      <c r="AG66" s="966"/>
      <c r="AH66" s="966"/>
      <c r="AI66" s="966"/>
      <c r="AJ66" s="966"/>
      <c r="AK66" s="966"/>
      <c r="AL66" s="966"/>
      <c r="AM66" s="966"/>
      <c r="AN66" s="966"/>
      <c r="AO66" s="966"/>
      <c r="AP66" s="966"/>
      <c r="AQ66" s="966"/>
      <c r="AR66" s="966"/>
      <c r="AS66" s="960"/>
      <c r="AT66" s="960"/>
      <c r="AU66" s="960"/>
      <c r="AV66" s="960"/>
      <c r="AW66" s="960"/>
      <c r="AX66" s="960"/>
      <c r="AY66" s="960"/>
      <c r="AZ66" s="960"/>
      <c r="BA66" s="960"/>
      <c r="BB66" s="960"/>
      <c r="BC66" s="960"/>
      <c r="BD66" s="960"/>
      <c r="BE66" s="960"/>
      <c r="BF66" s="965"/>
      <c r="BG66" s="965"/>
      <c r="BH66" s="961"/>
      <c r="BI66" s="962"/>
      <c r="BJ66" s="962"/>
      <c r="BK66" s="962"/>
      <c r="BL66" s="962"/>
      <c r="BM66" s="962"/>
      <c r="BN66" s="962"/>
      <c r="BO66" s="962"/>
      <c r="BP66" s="962"/>
      <c r="BQ66" s="962"/>
      <c r="BR66" s="962"/>
      <c r="BS66" s="962"/>
      <c r="BT66" s="962"/>
      <c r="BU66" s="962"/>
      <c r="BV66" s="962"/>
      <c r="BW66" s="962"/>
      <c r="BX66" s="962"/>
      <c r="BY66" s="962"/>
      <c r="BZ66" s="962"/>
      <c r="CA66" s="962"/>
    </row>
    <row r="67" spans="1:79" ht="80.099999999999994" customHeight="1">
      <c r="A67" s="967"/>
      <c r="B67" s="967"/>
      <c r="C67" s="962"/>
      <c r="D67" s="962"/>
      <c r="E67" s="962"/>
      <c r="F67" s="962"/>
      <c r="G67" s="966"/>
      <c r="H67" s="966"/>
      <c r="I67" s="966"/>
      <c r="J67" s="960"/>
      <c r="K67" s="966"/>
      <c r="L67" s="966"/>
      <c r="M67" s="966"/>
      <c r="N67" s="966"/>
      <c r="O67" s="966"/>
      <c r="P67" s="966"/>
      <c r="Q67" s="966"/>
      <c r="R67" s="966"/>
      <c r="S67" s="966"/>
      <c r="T67" s="960"/>
      <c r="U67" s="960"/>
      <c r="V67" s="960"/>
      <c r="W67" s="960"/>
      <c r="X67" s="960"/>
      <c r="Y67" s="960"/>
      <c r="Z67" s="960"/>
      <c r="AA67" s="966"/>
      <c r="AB67" s="966"/>
      <c r="AC67" s="966"/>
      <c r="AD67" s="966"/>
      <c r="AE67" s="966"/>
      <c r="AF67" s="966"/>
      <c r="AG67" s="966"/>
      <c r="AH67" s="966"/>
      <c r="AI67" s="966"/>
      <c r="AJ67" s="966"/>
      <c r="AK67" s="966"/>
      <c r="AL67" s="966"/>
      <c r="AM67" s="966"/>
      <c r="AN67" s="966"/>
      <c r="AO67" s="966"/>
      <c r="AP67" s="966"/>
      <c r="AQ67" s="966"/>
      <c r="AR67" s="966"/>
      <c r="AS67" s="962"/>
      <c r="AT67" s="960"/>
      <c r="AU67" s="960"/>
      <c r="AV67" s="960"/>
      <c r="AW67" s="960"/>
      <c r="AX67" s="960"/>
      <c r="AY67" s="960"/>
      <c r="AZ67" s="960"/>
      <c r="BA67" s="960"/>
      <c r="BB67" s="960"/>
      <c r="BC67" s="960"/>
      <c r="BD67" s="960"/>
      <c r="BE67" s="960"/>
      <c r="BF67" s="967"/>
      <c r="BG67" s="967"/>
      <c r="BH67" s="962"/>
      <c r="BI67" s="962"/>
      <c r="BJ67" s="962"/>
      <c r="BK67" s="962"/>
      <c r="BL67" s="962"/>
      <c r="BM67" s="962"/>
      <c r="BN67" s="962"/>
      <c r="BO67" s="962"/>
      <c r="BP67" s="962"/>
      <c r="BQ67" s="962"/>
      <c r="BR67" s="962"/>
      <c r="BS67" s="962"/>
      <c r="BT67" s="962"/>
      <c r="BU67" s="962"/>
      <c r="BV67" s="962"/>
      <c r="BW67" s="962"/>
      <c r="BX67" s="962"/>
      <c r="BY67" s="962"/>
      <c r="BZ67" s="962"/>
      <c r="CA67" s="962"/>
    </row>
    <row r="68" spans="1:79" ht="80.099999999999994" customHeight="1">
      <c r="A68" s="967"/>
      <c r="B68" s="968"/>
      <c r="C68" s="968"/>
      <c r="D68" s="967"/>
      <c r="E68" s="967"/>
      <c r="F68" s="967"/>
      <c r="G68" s="966"/>
      <c r="H68" s="966"/>
      <c r="I68" s="966"/>
      <c r="J68" s="960"/>
      <c r="K68" s="966"/>
      <c r="L68" s="966"/>
      <c r="M68" s="966"/>
      <c r="N68" s="966"/>
      <c r="O68" s="966"/>
      <c r="P68" s="966"/>
      <c r="Q68" s="966"/>
      <c r="R68" s="966"/>
      <c r="S68" s="966"/>
      <c r="T68" s="966"/>
      <c r="U68" s="966"/>
      <c r="V68" s="966"/>
      <c r="W68" s="966"/>
      <c r="X68" s="960"/>
      <c r="Y68" s="960"/>
      <c r="Z68" s="966"/>
      <c r="AA68" s="967"/>
      <c r="AB68" s="967"/>
      <c r="AC68" s="967"/>
      <c r="AD68" s="967"/>
      <c r="AE68" s="967"/>
      <c r="AF68" s="967"/>
      <c r="AG68" s="962"/>
      <c r="AH68" s="962"/>
      <c r="AI68" s="967"/>
      <c r="AJ68" s="967"/>
      <c r="AK68" s="967"/>
      <c r="AL68" s="967"/>
      <c r="AM68" s="967"/>
      <c r="AN68" s="967"/>
      <c r="AO68" s="967"/>
      <c r="AP68" s="962"/>
      <c r="AQ68" s="962"/>
      <c r="AR68" s="967"/>
      <c r="AS68" s="966"/>
      <c r="AT68" s="966"/>
      <c r="AU68" s="966"/>
      <c r="AV68" s="966"/>
      <c r="AW68" s="966"/>
      <c r="AX68" s="963"/>
      <c r="AY68" s="963"/>
      <c r="AZ68" s="969"/>
      <c r="BA68" s="966"/>
      <c r="BB68" s="966"/>
      <c r="BC68" s="966"/>
      <c r="BD68" s="966"/>
      <c r="BE68" s="960"/>
      <c r="BF68" s="967"/>
      <c r="BG68" s="968"/>
      <c r="BH68" s="968"/>
      <c r="BI68" s="967"/>
      <c r="BJ68" s="967"/>
      <c r="BK68" s="970"/>
      <c r="BL68" s="970"/>
      <c r="BM68" s="967"/>
      <c r="BN68" s="967"/>
      <c r="BO68" s="967"/>
      <c r="BP68" s="967"/>
      <c r="BQ68" s="967"/>
      <c r="BR68" s="967"/>
      <c r="BS68" s="967"/>
      <c r="BT68" s="967"/>
      <c r="BU68" s="967"/>
      <c r="BV68" s="967"/>
      <c r="BW68" s="967"/>
      <c r="BX68" s="967"/>
      <c r="BY68" s="967"/>
      <c r="BZ68" s="967"/>
      <c r="CA68" s="967"/>
    </row>
    <row r="69" spans="1:79" ht="80.099999999999994" customHeight="1">
      <c r="A69" s="967"/>
      <c r="B69" s="968"/>
      <c r="C69" s="968"/>
      <c r="D69" s="967"/>
      <c r="E69" s="967"/>
      <c r="F69" s="967"/>
      <c r="G69" s="960"/>
      <c r="H69" s="960"/>
      <c r="I69" s="960"/>
      <c r="J69" s="960"/>
      <c r="K69" s="960"/>
      <c r="L69" s="960"/>
      <c r="M69" s="960"/>
      <c r="N69" s="960"/>
      <c r="O69" s="960"/>
      <c r="P69" s="960"/>
      <c r="Q69" s="960"/>
      <c r="R69" s="960"/>
      <c r="S69" s="960"/>
      <c r="T69" s="960"/>
      <c r="U69" s="960"/>
      <c r="V69" s="960"/>
      <c r="W69" s="966"/>
      <c r="X69" s="960"/>
      <c r="Y69" s="960"/>
      <c r="Z69" s="966"/>
      <c r="AA69" s="960"/>
      <c r="AB69" s="960"/>
      <c r="AC69" s="960"/>
      <c r="AD69" s="960"/>
      <c r="AE69" s="960"/>
      <c r="AF69" s="960"/>
      <c r="AG69" s="960"/>
      <c r="AH69" s="960"/>
      <c r="AI69" s="967"/>
      <c r="AJ69" s="960"/>
      <c r="AK69" s="960"/>
      <c r="AL69" s="960"/>
      <c r="AM69" s="960"/>
      <c r="AN69" s="960"/>
      <c r="AO69" s="960"/>
      <c r="AP69" s="960"/>
      <c r="AQ69" s="960"/>
      <c r="AR69" s="967"/>
      <c r="AS69" s="960"/>
      <c r="AT69" s="960"/>
      <c r="AU69" s="960"/>
      <c r="AV69" s="960"/>
      <c r="AW69" s="960"/>
      <c r="AX69" s="963"/>
      <c r="AY69" s="963"/>
      <c r="AZ69" s="969"/>
      <c r="BA69" s="966"/>
      <c r="BB69" s="966"/>
      <c r="BC69" s="966"/>
      <c r="BD69" s="966"/>
      <c r="BE69" s="960"/>
      <c r="BF69" s="967"/>
      <c r="BG69" s="968"/>
      <c r="BH69" s="968"/>
      <c r="BI69" s="960"/>
      <c r="BJ69" s="960"/>
      <c r="BK69" s="960"/>
      <c r="BL69" s="960"/>
      <c r="BM69" s="960"/>
      <c r="BN69" s="960"/>
      <c r="BO69" s="960"/>
      <c r="BP69" s="960"/>
      <c r="BQ69" s="960"/>
      <c r="BR69" s="960"/>
      <c r="BS69" s="960"/>
      <c r="BT69" s="960"/>
      <c r="BU69" s="960"/>
      <c r="BV69" s="960"/>
      <c r="BW69" s="960"/>
      <c r="BX69" s="960"/>
      <c r="BY69" s="960"/>
      <c r="BZ69" s="960"/>
      <c r="CA69" s="962"/>
    </row>
    <row r="70" spans="1:79" ht="80.099999999999994" customHeight="1">
      <c r="A70" s="962"/>
      <c r="B70" s="971"/>
      <c r="C70" s="972"/>
      <c r="D70" s="973"/>
      <c r="E70" s="973"/>
      <c r="F70" s="973"/>
      <c r="G70" s="974"/>
      <c r="H70" s="974"/>
      <c r="I70" s="974"/>
      <c r="J70" s="974"/>
      <c r="K70" s="974"/>
      <c r="L70" s="974"/>
      <c r="M70" s="974"/>
      <c r="N70" s="974"/>
      <c r="O70" s="974"/>
      <c r="P70" s="974"/>
      <c r="Q70" s="974"/>
      <c r="R70" s="974"/>
      <c r="S70" s="974"/>
      <c r="T70" s="974"/>
      <c r="U70" s="974"/>
      <c r="V70" s="974"/>
      <c r="W70" s="975"/>
      <c r="X70" s="975"/>
      <c r="Y70" s="975"/>
      <c r="Z70" s="976"/>
      <c r="AA70" s="974"/>
      <c r="AB70" s="974"/>
      <c r="AC70" s="974"/>
      <c r="AD70" s="974"/>
      <c r="AE70" s="974"/>
      <c r="AF70" s="974"/>
      <c r="AG70" s="974"/>
      <c r="AH70" s="974"/>
      <c r="AI70" s="974"/>
      <c r="AJ70" s="974"/>
      <c r="AK70" s="974"/>
      <c r="AL70" s="974"/>
      <c r="AM70" s="974"/>
      <c r="AN70" s="974"/>
      <c r="AO70" s="974"/>
      <c r="AP70" s="974"/>
      <c r="AQ70" s="974"/>
      <c r="AR70" s="974"/>
      <c r="AS70" s="974"/>
      <c r="AT70" s="974"/>
      <c r="AU70" s="974"/>
      <c r="AV70" s="974"/>
      <c r="AW70" s="974"/>
      <c r="AX70" s="976"/>
      <c r="AY70" s="976"/>
      <c r="AZ70" s="976"/>
      <c r="BA70" s="976"/>
      <c r="BB70" s="976"/>
      <c r="BC70" s="977"/>
      <c r="BD70" s="978"/>
      <c r="BE70" s="978"/>
      <c r="BF70" s="962"/>
      <c r="BG70" s="971"/>
      <c r="BH70" s="972"/>
      <c r="BI70" s="974"/>
      <c r="BJ70" s="974"/>
      <c r="BK70" s="974"/>
      <c r="BL70" s="974"/>
      <c r="BM70" s="974"/>
      <c r="BN70" s="974"/>
      <c r="BO70" s="974"/>
      <c r="BP70" s="974"/>
      <c r="BQ70" s="974"/>
      <c r="BR70" s="974"/>
      <c r="BS70" s="974"/>
      <c r="BT70" s="974"/>
      <c r="BU70" s="974"/>
      <c r="BV70" s="974"/>
      <c r="BW70" s="974"/>
      <c r="BX70" s="974"/>
      <c r="BY70" s="974"/>
      <c r="BZ70" s="974"/>
      <c r="CA70" s="974"/>
    </row>
    <row r="71" spans="1:79" ht="80.099999999999994" customHeight="1">
      <c r="A71" s="962"/>
      <c r="B71" s="971"/>
      <c r="C71" s="972"/>
      <c r="D71" s="979"/>
      <c r="E71" s="973"/>
      <c r="F71" s="973"/>
      <c r="G71" s="974"/>
      <c r="H71" s="974"/>
      <c r="I71" s="974"/>
      <c r="J71" s="974"/>
      <c r="K71" s="974"/>
      <c r="L71" s="974"/>
      <c r="M71" s="974"/>
      <c r="N71" s="974"/>
      <c r="O71" s="974"/>
      <c r="P71" s="974"/>
      <c r="Q71" s="974"/>
      <c r="R71" s="974"/>
      <c r="S71" s="974"/>
      <c r="T71" s="974"/>
      <c r="U71" s="974"/>
      <c r="V71" s="974"/>
      <c r="W71" s="974"/>
      <c r="X71" s="974"/>
      <c r="Y71" s="974"/>
      <c r="Z71" s="976"/>
      <c r="AA71" s="974"/>
      <c r="AB71" s="974"/>
      <c r="AC71" s="974"/>
      <c r="AD71" s="974"/>
      <c r="AE71" s="974"/>
      <c r="AF71" s="974"/>
      <c r="AG71" s="974"/>
      <c r="AH71" s="974"/>
      <c r="AI71" s="974"/>
      <c r="AJ71" s="974"/>
      <c r="AK71" s="974"/>
      <c r="AL71" s="974"/>
      <c r="AM71" s="974"/>
      <c r="AN71" s="974"/>
      <c r="AO71" s="974"/>
      <c r="AP71" s="974"/>
      <c r="AQ71" s="974"/>
      <c r="AR71" s="974"/>
      <c r="AS71" s="974"/>
      <c r="AT71" s="974"/>
      <c r="AU71" s="974"/>
      <c r="AV71" s="974"/>
      <c r="AW71" s="974"/>
      <c r="AX71" s="976"/>
      <c r="AY71" s="976"/>
      <c r="AZ71" s="976"/>
      <c r="BA71" s="976"/>
      <c r="BB71" s="976"/>
      <c r="BC71" s="977"/>
      <c r="BD71" s="978"/>
      <c r="BE71" s="978"/>
      <c r="BF71" s="962"/>
      <c r="BG71" s="971"/>
      <c r="BH71" s="972"/>
      <c r="BI71" s="974"/>
      <c r="BJ71" s="974"/>
      <c r="BK71" s="974"/>
      <c r="BL71" s="974"/>
      <c r="BM71" s="974"/>
      <c r="BN71" s="974"/>
      <c r="BO71" s="974"/>
      <c r="BP71" s="974"/>
      <c r="BQ71" s="974"/>
      <c r="BR71" s="974"/>
      <c r="BS71" s="974"/>
      <c r="BT71" s="974"/>
      <c r="BU71" s="974"/>
      <c r="BV71" s="974"/>
      <c r="BW71" s="974"/>
      <c r="BX71" s="974"/>
      <c r="BY71" s="974"/>
      <c r="BZ71" s="974"/>
      <c r="CA71" s="974"/>
    </row>
    <row r="72" spans="1:79" ht="80.099999999999994" customHeight="1">
      <c r="A72" s="962"/>
      <c r="B72" s="971"/>
      <c r="C72" s="972"/>
      <c r="D72" s="979"/>
      <c r="E72" s="973"/>
      <c r="F72" s="973"/>
      <c r="G72" s="974"/>
      <c r="H72" s="974"/>
      <c r="I72" s="974"/>
      <c r="J72" s="974"/>
      <c r="K72" s="974"/>
      <c r="L72" s="974"/>
      <c r="M72" s="974"/>
      <c r="N72" s="974"/>
      <c r="O72" s="974"/>
      <c r="P72" s="974"/>
      <c r="Q72" s="974"/>
      <c r="R72" s="974"/>
      <c r="S72" s="974"/>
      <c r="T72" s="974"/>
      <c r="U72" s="974"/>
      <c r="V72" s="974"/>
      <c r="W72" s="974"/>
      <c r="X72" s="974"/>
      <c r="Y72" s="974"/>
      <c r="Z72" s="976"/>
      <c r="AA72" s="974"/>
      <c r="AB72" s="974"/>
      <c r="AC72" s="974"/>
      <c r="AD72" s="974"/>
      <c r="AE72" s="974"/>
      <c r="AF72" s="974"/>
      <c r="AG72" s="974"/>
      <c r="AH72" s="974"/>
      <c r="AI72" s="974"/>
      <c r="AJ72" s="974"/>
      <c r="AK72" s="974"/>
      <c r="AL72" s="974"/>
      <c r="AM72" s="974"/>
      <c r="AN72" s="974"/>
      <c r="AO72" s="974"/>
      <c r="AP72" s="974"/>
      <c r="AQ72" s="974"/>
      <c r="AR72" s="974"/>
      <c r="AS72" s="974"/>
      <c r="AT72" s="974"/>
      <c r="AU72" s="974"/>
      <c r="AV72" s="974"/>
      <c r="AW72" s="974"/>
      <c r="AX72" s="976"/>
      <c r="AY72" s="976"/>
      <c r="AZ72" s="976"/>
      <c r="BA72" s="976"/>
      <c r="BB72" s="976"/>
      <c r="BC72" s="977"/>
      <c r="BD72" s="978"/>
      <c r="BE72" s="978"/>
      <c r="BF72" s="962"/>
      <c r="BG72" s="971"/>
      <c r="BH72" s="972"/>
      <c r="BI72" s="974"/>
      <c r="BJ72" s="974"/>
      <c r="BK72" s="974"/>
      <c r="BL72" s="974"/>
      <c r="BM72" s="974"/>
      <c r="BN72" s="974"/>
      <c r="BO72" s="974"/>
      <c r="BP72" s="974"/>
      <c r="BQ72" s="974"/>
      <c r="BR72" s="974"/>
      <c r="BS72" s="974"/>
      <c r="BT72" s="974"/>
      <c r="BU72" s="974"/>
      <c r="BV72" s="974"/>
      <c r="BW72" s="974"/>
      <c r="BX72" s="974"/>
      <c r="BY72" s="974"/>
      <c r="BZ72" s="974"/>
      <c r="CA72" s="974"/>
    </row>
    <row r="73" spans="1:79" ht="80.099999999999994" customHeight="1">
      <c r="A73" s="962"/>
      <c r="B73" s="971"/>
      <c r="C73" s="972"/>
      <c r="D73" s="979"/>
      <c r="E73" s="973"/>
      <c r="F73" s="973"/>
      <c r="G73" s="974"/>
      <c r="H73" s="974"/>
      <c r="I73" s="974"/>
      <c r="J73" s="974"/>
      <c r="K73" s="974"/>
      <c r="L73" s="974"/>
      <c r="M73" s="974"/>
      <c r="N73" s="974"/>
      <c r="O73" s="974"/>
      <c r="P73" s="974"/>
      <c r="Q73" s="974"/>
      <c r="R73" s="974"/>
      <c r="S73" s="974"/>
      <c r="T73" s="974"/>
      <c r="U73" s="974"/>
      <c r="V73" s="974"/>
      <c r="W73" s="974"/>
      <c r="X73" s="974"/>
      <c r="Y73" s="974"/>
      <c r="Z73" s="976"/>
      <c r="AA73" s="974"/>
      <c r="AB73" s="974"/>
      <c r="AC73" s="974"/>
      <c r="AD73" s="974"/>
      <c r="AE73" s="974"/>
      <c r="AF73" s="974"/>
      <c r="AG73" s="974"/>
      <c r="AH73" s="974"/>
      <c r="AI73" s="974"/>
      <c r="AJ73" s="974"/>
      <c r="AK73" s="974"/>
      <c r="AL73" s="974"/>
      <c r="AM73" s="974"/>
      <c r="AN73" s="974"/>
      <c r="AO73" s="974"/>
      <c r="AP73" s="974"/>
      <c r="AQ73" s="974"/>
      <c r="AR73" s="974"/>
      <c r="AS73" s="974"/>
      <c r="AT73" s="974"/>
      <c r="AU73" s="974"/>
      <c r="AV73" s="974"/>
      <c r="AW73" s="974"/>
      <c r="AX73" s="976"/>
      <c r="AY73" s="976"/>
      <c r="AZ73" s="976"/>
      <c r="BA73" s="976"/>
      <c r="BB73" s="976"/>
      <c r="BC73" s="977"/>
      <c r="BD73" s="978"/>
      <c r="BE73" s="978"/>
      <c r="BF73" s="962"/>
      <c r="BG73" s="971"/>
      <c r="BH73" s="972"/>
      <c r="BI73" s="974"/>
      <c r="BJ73" s="974"/>
      <c r="BK73" s="974"/>
      <c r="BL73" s="974"/>
      <c r="BM73" s="974"/>
      <c r="BN73" s="974"/>
      <c r="BO73" s="974"/>
      <c r="BP73" s="974"/>
      <c r="BQ73" s="974"/>
      <c r="BR73" s="974"/>
      <c r="BS73" s="974"/>
      <c r="BT73" s="974"/>
      <c r="BU73" s="974"/>
      <c r="BV73" s="974"/>
      <c r="BW73" s="974"/>
      <c r="BX73" s="974"/>
      <c r="BY73" s="974"/>
      <c r="BZ73" s="974"/>
      <c r="CA73" s="974"/>
    </row>
    <row r="74" spans="1:79" ht="80.099999999999994" customHeight="1">
      <c r="A74" s="962"/>
      <c r="B74" s="971"/>
      <c r="C74" s="972"/>
      <c r="D74" s="979"/>
      <c r="E74" s="973"/>
      <c r="F74" s="973"/>
      <c r="G74" s="974"/>
      <c r="H74" s="974"/>
      <c r="I74" s="974"/>
      <c r="J74" s="974"/>
      <c r="K74" s="974"/>
      <c r="L74" s="974"/>
      <c r="M74" s="974"/>
      <c r="N74" s="974"/>
      <c r="O74" s="974"/>
      <c r="P74" s="974"/>
      <c r="Q74" s="974"/>
      <c r="R74" s="974"/>
      <c r="S74" s="974"/>
      <c r="T74" s="974"/>
      <c r="U74" s="974"/>
      <c r="V74" s="974"/>
      <c r="W74" s="974"/>
      <c r="X74" s="974"/>
      <c r="Y74" s="974"/>
      <c r="Z74" s="976"/>
      <c r="AA74" s="974"/>
      <c r="AB74" s="974"/>
      <c r="AC74" s="974"/>
      <c r="AD74" s="974"/>
      <c r="AE74" s="974"/>
      <c r="AF74" s="974"/>
      <c r="AG74" s="974"/>
      <c r="AH74" s="974"/>
      <c r="AI74" s="974"/>
      <c r="AJ74" s="974"/>
      <c r="AK74" s="974"/>
      <c r="AL74" s="974"/>
      <c r="AM74" s="974"/>
      <c r="AN74" s="974"/>
      <c r="AO74" s="974"/>
      <c r="AP74" s="974"/>
      <c r="AQ74" s="974"/>
      <c r="AR74" s="974"/>
      <c r="AS74" s="974"/>
      <c r="AT74" s="974"/>
      <c r="AU74" s="974"/>
      <c r="AV74" s="974"/>
      <c r="AW74" s="974"/>
      <c r="AX74" s="976"/>
      <c r="AY74" s="976"/>
      <c r="AZ74" s="976"/>
      <c r="BA74" s="976"/>
      <c r="BB74" s="976"/>
      <c r="BC74" s="977"/>
      <c r="BD74" s="978"/>
      <c r="BE74" s="978"/>
      <c r="BF74" s="962"/>
      <c r="BG74" s="971"/>
      <c r="BH74" s="972"/>
      <c r="BI74" s="974"/>
      <c r="BJ74" s="974"/>
      <c r="BK74" s="974"/>
      <c r="BL74" s="974"/>
      <c r="BM74" s="974"/>
      <c r="BN74" s="974"/>
      <c r="BO74" s="974"/>
      <c r="BP74" s="974"/>
      <c r="BQ74" s="974"/>
      <c r="BR74" s="974"/>
      <c r="BS74" s="974"/>
      <c r="BT74" s="974"/>
      <c r="BU74" s="974"/>
      <c r="BV74" s="974"/>
      <c r="BW74" s="974"/>
      <c r="BX74" s="974"/>
      <c r="BY74" s="974"/>
      <c r="BZ74" s="974"/>
      <c r="CA74" s="974"/>
    </row>
    <row r="75" spans="1:79" ht="80.099999999999994" customHeight="1">
      <c r="A75" s="962"/>
      <c r="B75" s="971"/>
      <c r="C75" s="972"/>
      <c r="D75" s="979"/>
      <c r="E75" s="973"/>
      <c r="F75" s="973"/>
      <c r="G75" s="974"/>
      <c r="H75" s="974"/>
      <c r="I75" s="974"/>
      <c r="J75" s="974"/>
      <c r="K75" s="974"/>
      <c r="L75" s="974"/>
      <c r="M75" s="974"/>
      <c r="N75" s="974"/>
      <c r="O75" s="974"/>
      <c r="P75" s="974"/>
      <c r="Q75" s="974"/>
      <c r="R75" s="974"/>
      <c r="S75" s="974"/>
      <c r="T75" s="974"/>
      <c r="U75" s="974"/>
      <c r="V75" s="974"/>
      <c r="W75" s="974"/>
      <c r="X75" s="974"/>
      <c r="Y75" s="974"/>
      <c r="Z75" s="976"/>
      <c r="AA75" s="974"/>
      <c r="AB75" s="974"/>
      <c r="AC75" s="974"/>
      <c r="AD75" s="974"/>
      <c r="AE75" s="974"/>
      <c r="AF75" s="974"/>
      <c r="AG75" s="974"/>
      <c r="AH75" s="974"/>
      <c r="AI75" s="974"/>
      <c r="AJ75" s="974"/>
      <c r="AK75" s="974"/>
      <c r="AL75" s="974"/>
      <c r="AM75" s="974"/>
      <c r="AN75" s="974"/>
      <c r="AO75" s="974"/>
      <c r="AP75" s="974"/>
      <c r="AQ75" s="974"/>
      <c r="AR75" s="974"/>
      <c r="AS75" s="974"/>
      <c r="AT75" s="974"/>
      <c r="AU75" s="974"/>
      <c r="AV75" s="974"/>
      <c r="AW75" s="974"/>
      <c r="AX75" s="976"/>
      <c r="AY75" s="976"/>
      <c r="AZ75" s="976"/>
      <c r="BA75" s="976"/>
      <c r="BB75" s="976"/>
      <c r="BC75" s="977"/>
      <c r="BD75" s="978"/>
      <c r="BE75" s="978"/>
      <c r="BF75" s="962"/>
      <c r="BG75" s="971"/>
      <c r="BH75" s="972"/>
      <c r="BI75" s="974"/>
      <c r="BJ75" s="974"/>
      <c r="BK75" s="974"/>
      <c r="BL75" s="974"/>
      <c r="BM75" s="974"/>
      <c r="BN75" s="974"/>
      <c r="BO75" s="974"/>
      <c r="BP75" s="974"/>
      <c r="BQ75" s="974"/>
      <c r="BR75" s="974"/>
      <c r="BS75" s="974"/>
      <c r="BT75" s="974"/>
      <c r="BU75" s="974"/>
      <c r="BV75" s="974"/>
      <c r="BW75" s="974"/>
      <c r="BX75" s="974"/>
      <c r="BY75" s="974"/>
      <c r="BZ75" s="974"/>
      <c r="CA75" s="974"/>
    </row>
    <row r="76" spans="1:79" ht="80.099999999999994" customHeight="1">
      <c r="A76" s="962"/>
      <c r="B76" s="971"/>
      <c r="C76" s="972"/>
      <c r="D76" s="979"/>
      <c r="E76" s="973"/>
      <c r="F76" s="973"/>
      <c r="G76" s="974"/>
      <c r="H76" s="974"/>
      <c r="I76" s="974"/>
      <c r="J76" s="974"/>
      <c r="K76" s="974"/>
      <c r="L76" s="974"/>
      <c r="M76" s="974"/>
      <c r="N76" s="974"/>
      <c r="O76" s="974"/>
      <c r="P76" s="974"/>
      <c r="Q76" s="974"/>
      <c r="R76" s="974"/>
      <c r="S76" s="974"/>
      <c r="T76" s="974"/>
      <c r="U76" s="974"/>
      <c r="V76" s="974"/>
      <c r="W76" s="974"/>
      <c r="X76" s="974"/>
      <c r="Y76" s="974"/>
      <c r="Z76" s="976"/>
      <c r="AA76" s="974"/>
      <c r="AB76" s="974"/>
      <c r="AC76" s="974"/>
      <c r="AD76" s="974"/>
      <c r="AE76" s="974"/>
      <c r="AF76" s="974"/>
      <c r="AG76" s="974"/>
      <c r="AH76" s="974"/>
      <c r="AI76" s="974"/>
      <c r="AJ76" s="974"/>
      <c r="AK76" s="974"/>
      <c r="AL76" s="974"/>
      <c r="AM76" s="974"/>
      <c r="AN76" s="974"/>
      <c r="AO76" s="974"/>
      <c r="AP76" s="974"/>
      <c r="AQ76" s="974"/>
      <c r="AR76" s="974"/>
      <c r="AS76" s="974"/>
      <c r="AT76" s="974"/>
      <c r="AU76" s="974"/>
      <c r="AV76" s="974"/>
      <c r="AW76" s="974"/>
      <c r="AX76" s="976"/>
      <c r="AY76" s="976"/>
      <c r="AZ76" s="976"/>
      <c r="BA76" s="976"/>
      <c r="BB76" s="976"/>
      <c r="BC76" s="977"/>
      <c r="BD76" s="978"/>
      <c r="BE76" s="978"/>
      <c r="BF76" s="962"/>
      <c r="BG76" s="971"/>
      <c r="BH76" s="972"/>
      <c r="BI76" s="974"/>
      <c r="BJ76" s="974"/>
      <c r="BK76" s="974"/>
      <c r="BL76" s="974"/>
      <c r="BM76" s="974"/>
      <c r="BN76" s="974"/>
      <c r="BO76" s="974"/>
      <c r="BP76" s="974"/>
      <c r="BQ76" s="974"/>
      <c r="BR76" s="974"/>
      <c r="BS76" s="974"/>
      <c r="BT76" s="974"/>
      <c r="BU76" s="974"/>
      <c r="BV76" s="974"/>
      <c r="BW76" s="974"/>
      <c r="BX76" s="974"/>
      <c r="BY76" s="974"/>
      <c r="BZ76" s="974"/>
      <c r="CA76" s="974"/>
    </row>
    <row r="77" spans="1:79" ht="80.099999999999994" customHeight="1">
      <c r="A77" s="962"/>
      <c r="B77" s="971"/>
      <c r="C77" s="972"/>
      <c r="D77" s="979"/>
      <c r="E77" s="973"/>
      <c r="F77" s="973"/>
      <c r="G77" s="974"/>
      <c r="H77" s="974"/>
      <c r="I77" s="974"/>
      <c r="J77" s="974"/>
      <c r="K77" s="974"/>
      <c r="L77" s="974"/>
      <c r="M77" s="974"/>
      <c r="N77" s="974"/>
      <c r="O77" s="974"/>
      <c r="P77" s="974"/>
      <c r="Q77" s="974"/>
      <c r="R77" s="974"/>
      <c r="S77" s="974"/>
      <c r="T77" s="974"/>
      <c r="U77" s="974"/>
      <c r="V77" s="974"/>
      <c r="W77" s="974"/>
      <c r="X77" s="974"/>
      <c r="Y77" s="974"/>
      <c r="Z77" s="976"/>
      <c r="AA77" s="974"/>
      <c r="AB77" s="974"/>
      <c r="AC77" s="974"/>
      <c r="AD77" s="974"/>
      <c r="AE77" s="974"/>
      <c r="AF77" s="974"/>
      <c r="AG77" s="974"/>
      <c r="AH77" s="974"/>
      <c r="AI77" s="974"/>
      <c r="AJ77" s="974"/>
      <c r="AK77" s="974"/>
      <c r="AL77" s="974"/>
      <c r="AM77" s="974"/>
      <c r="AN77" s="974"/>
      <c r="AO77" s="974"/>
      <c r="AP77" s="974"/>
      <c r="AQ77" s="974"/>
      <c r="AR77" s="974"/>
      <c r="AS77" s="974"/>
      <c r="AT77" s="974"/>
      <c r="AU77" s="974"/>
      <c r="AV77" s="974"/>
      <c r="AW77" s="974"/>
      <c r="AX77" s="976"/>
      <c r="AY77" s="976"/>
      <c r="AZ77" s="976"/>
      <c r="BA77" s="976"/>
      <c r="BB77" s="976"/>
      <c r="BC77" s="977"/>
      <c r="BD77" s="978"/>
      <c r="BE77" s="978"/>
      <c r="BF77" s="962"/>
      <c r="BG77" s="971"/>
      <c r="BH77" s="972"/>
      <c r="BI77" s="974"/>
      <c r="BJ77" s="974"/>
      <c r="BK77" s="974"/>
      <c r="BL77" s="974"/>
      <c r="BM77" s="974"/>
      <c r="BN77" s="974"/>
      <c r="BO77" s="974"/>
      <c r="BP77" s="974"/>
      <c r="BQ77" s="974"/>
      <c r="BR77" s="974"/>
      <c r="BS77" s="974"/>
      <c r="BT77" s="974"/>
      <c r="BU77" s="974"/>
      <c r="BV77" s="974"/>
      <c r="BW77" s="974"/>
      <c r="BX77" s="974"/>
      <c r="BY77" s="974"/>
      <c r="BZ77" s="974"/>
      <c r="CA77" s="974"/>
    </row>
    <row r="78" spans="1:79" ht="80.099999999999994" customHeight="1">
      <c r="A78" s="963"/>
      <c r="B78" s="971"/>
      <c r="C78" s="972"/>
      <c r="D78" s="979"/>
      <c r="E78" s="973"/>
      <c r="F78" s="973"/>
      <c r="G78" s="974"/>
      <c r="H78" s="974"/>
      <c r="I78" s="974"/>
      <c r="J78" s="974"/>
      <c r="K78" s="974"/>
      <c r="L78" s="974"/>
      <c r="M78" s="974"/>
      <c r="N78" s="974"/>
      <c r="O78" s="974"/>
      <c r="P78" s="974"/>
      <c r="Q78" s="974"/>
      <c r="R78" s="974"/>
      <c r="S78" s="974"/>
      <c r="T78" s="974"/>
      <c r="U78" s="974"/>
      <c r="V78" s="974"/>
      <c r="W78" s="974"/>
      <c r="X78" s="974"/>
      <c r="Y78" s="974"/>
      <c r="Z78" s="980"/>
      <c r="AA78" s="974"/>
      <c r="AB78" s="974"/>
      <c r="AC78" s="974"/>
      <c r="AD78" s="974"/>
      <c r="AE78" s="974"/>
      <c r="AF78" s="974"/>
      <c r="AG78" s="974"/>
      <c r="AH78" s="974"/>
      <c r="AI78" s="974"/>
      <c r="AJ78" s="974"/>
      <c r="AK78" s="974"/>
      <c r="AL78" s="974"/>
      <c r="AM78" s="974"/>
      <c r="AN78" s="974"/>
      <c r="AO78" s="974"/>
      <c r="AP78" s="974"/>
      <c r="AQ78" s="974"/>
      <c r="AR78" s="974"/>
      <c r="AS78" s="974"/>
      <c r="AT78" s="974"/>
      <c r="AU78" s="974"/>
      <c r="AV78" s="974"/>
      <c r="AW78" s="974"/>
      <c r="AX78" s="976"/>
      <c r="AY78" s="976"/>
      <c r="AZ78" s="976"/>
      <c r="BA78" s="980"/>
      <c r="BB78" s="976"/>
      <c r="BC78" s="977"/>
      <c r="BD78" s="978"/>
      <c r="BE78" s="978"/>
      <c r="BF78" s="968"/>
      <c r="BG78" s="968"/>
      <c r="BH78" s="972"/>
      <c r="BI78" s="974"/>
      <c r="BJ78" s="974"/>
      <c r="BK78" s="974"/>
      <c r="BL78" s="974"/>
      <c r="BM78" s="974"/>
      <c r="BN78" s="974"/>
      <c r="BO78" s="974"/>
      <c r="BP78" s="974"/>
      <c r="BQ78" s="974"/>
      <c r="BR78" s="974"/>
      <c r="BS78" s="974"/>
      <c r="BT78" s="974"/>
      <c r="BU78" s="974"/>
      <c r="BV78" s="974"/>
      <c r="BW78" s="974"/>
      <c r="BX78" s="974"/>
      <c r="BY78" s="974"/>
      <c r="BZ78" s="974"/>
      <c r="CA78" s="974"/>
    </row>
    <row r="79" spans="1:79" ht="45">
      <c r="I79" s="344">
        <v>89</v>
      </c>
      <c r="J79" s="344"/>
      <c r="AW79" s="344">
        <v>199</v>
      </c>
    </row>
    <row r="80" spans="1:79" ht="45">
      <c r="I80" s="344">
        <v>68</v>
      </c>
      <c r="J80" s="344"/>
      <c r="AW80" s="344">
        <v>343</v>
      </c>
    </row>
    <row r="81" spans="9:49" ht="45">
      <c r="I81" s="344">
        <v>64</v>
      </c>
      <c r="J81" s="344"/>
      <c r="AW81" s="344">
        <v>275</v>
      </c>
    </row>
    <row r="82" spans="9:49" ht="45">
      <c r="I82" s="344">
        <v>51</v>
      </c>
      <c r="J82" s="344"/>
      <c r="AW82" s="344">
        <v>110</v>
      </c>
    </row>
    <row r="83" spans="9:49" ht="45">
      <c r="I83" s="344">
        <v>98</v>
      </c>
      <c r="J83" s="344"/>
      <c r="AW83" s="344">
        <v>219</v>
      </c>
    </row>
    <row r="84" spans="9:49" ht="45">
      <c r="I84" s="344">
        <v>9</v>
      </c>
      <c r="J84" s="344"/>
      <c r="AW84" s="344">
        <v>20</v>
      </c>
    </row>
    <row r="85" spans="9:49" ht="45">
      <c r="I85" s="344">
        <v>15</v>
      </c>
      <c r="J85" s="344"/>
      <c r="AW85" s="344">
        <v>41</v>
      </c>
    </row>
    <row r="86" spans="9:49" ht="45">
      <c r="I86" s="344">
        <v>58</v>
      </c>
      <c r="J86" s="344"/>
      <c r="AW86" s="344">
        <v>107</v>
      </c>
    </row>
    <row r="87" spans="9:49" ht="45">
      <c r="I87" s="344">
        <v>452</v>
      </c>
      <c r="J87" s="344"/>
      <c r="AW87" s="344">
        <v>1314</v>
      </c>
    </row>
    <row r="88" spans="9:49" ht="45">
      <c r="I88" s="344"/>
      <c r="J88" s="344"/>
    </row>
    <row r="89" spans="9:49" ht="45">
      <c r="I89" s="344"/>
      <c r="J89" s="344"/>
    </row>
    <row r="90" spans="9:49" ht="45">
      <c r="I90" s="344"/>
      <c r="J90" s="344"/>
    </row>
    <row r="91" spans="9:49" ht="45">
      <c r="I91" s="344"/>
      <c r="J91" s="344"/>
    </row>
    <row r="92" spans="9:49" ht="45">
      <c r="I92" s="344"/>
      <c r="J92" s="344"/>
    </row>
    <row r="93" spans="9:49" ht="45">
      <c r="I93" s="344"/>
      <c r="J93" s="344"/>
    </row>
    <row r="94" spans="9:49" ht="45">
      <c r="I94" s="344"/>
      <c r="J94" s="344"/>
    </row>
    <row r="95" spans="9:49" ht="45">
      <c r="I95" s="344"/>
      <c r="J95" s="344"/>
    </row>
    <row r="96" spans="9:49" ht="45">
      <c r="I96" s="344"/>
      <c r="J96" s="344"/>
    </row>
    <row r="97" spans="9:10" ht="45">
      <c r="I97" s="344"/>
      <c r="J97" s="344"/>
    </row>
    <row r="98" spans="9:10" ht="45">
      <c r="I98" s="344"/>
      <c r="J98" s="344"/>
    </row>
    <row r="99" spans="9:10" ht="45">
      <c r="I99" s="344"/>
      <c r="J99" s="344"/>
    </row>
    <row r="100" spans="9:10" ht="45">
      <c r="I100" s="344"/>
      <c r="J100" s="344"/>
    </row>
    <row r="101" spans="9:10" ht="45">
      <c r="I101" s="344"/>
      <c r="J101" s="344"/>
    </row>
  </sheetData>
  <mergeCells count="260">
    <mergeCell ref="E4:E5"/>
    <mergeCell ref="K36:M36"/>
    <mergeCell ref="N36:P36"/>
    <mergeCell ref="Q36:S36"/>
    <mergeCell ref="T36:V36"/>
    <mergeCell ref="T20:V20"/>
    <mergeCell ref="G3:I4"/>
    <mergeCell ref="T68:V68"/>
    <mergeCell ref="AG36:AH36"/>
    <mergeCell ref="F68:F69"/>
    <mergeCell ref="Z68:Z69"/>
    <mergeCell ref="AA68:AB68"/>
    <mergeCell ref="AC68:AD68"/>
    <mergeCell ref="BY68:CA68"/>
    <mergeCell ref="BF78:BG78"/>
    <mergeCell ref="BM68:BN68"/>
    <mergeCell ref="BO68:BP68"/>
    <mergeCell ref="BQ68:BR68"/>
    <mergeCell ref="BS68:BT68"/>
    <mergeCell ref="BG68:BG69"/>
    <mergeCell ref="BH68:BH69"/>
    <mergeCell ref="BK68:BL68"/>
    <mergeCell ref="BI68:BJ68"/>
    <mergeCell ref="AE68:AF68"/>
    <mergeCell ref="BB68:BB69"/>
    <mergeCell ref="BC68:BC69"/>
    <mergeCell ref="BD68:BD69"/>
    <mergeCell ref="BF68:BF69"/>
    <mergeCell ref="BU68:BV68"/>
    <mergeCell ref="BA68:BA69"/>
    <mergeCell ref="BW68:BX68"/>
    <mergeCell ref="AR68:AR69"/>
    <mergeCell ref="AS68:AW68"/>
    <mergeCell ref="AZ68:AZ69"/>
    <mergeCell ref="A66:B66"/>
    <mergeCell ref="G66:S66"/>
    <mergeCell ref="AA66:AI66"/>
    <mergeCell ref="AJ66:AR67"/>
    <mergeCell ref="BF66:BG66"/>
    <mergeCell ref="A67:B67"/>
    <mergeCell ref="G67:I68"/>
    <mergeCell ref="K67:S67"/>
    <mergeCell ref="AA67:AI67"/>
    <mergeCell ref="BF67:BG67"/>
    <mergeCell ref="A68:A69"/>
    <mergeCell ref="B68:B69"/>
    <mergeCell ref="C68:C69"/>
    <mergeCell ref="D68:D69"/>
    <mergeCell ref="K68:M68"/>
    <mergeCell ref="N68:P68"/>
    <mergeCell ref="Q68:S68"/>
    <mergeCell ref="AI68:AI69"/>
    <mergeCell ref="AJ68:AK68"/>
    <mergeCell ref="AL68:AM68"/>
    <mergeCell ref="AN68:AO68"/>
    <mergeCell ref="E68:E69"/>
    <mergeCell ref="W68:W69"/>
    <mergeCell ref="BY52:CA52"/>
    <mergeCell ref="A62:B62"/>
    <mergeCell ref="BF62:BG62"/>
    <mergeCell ref="BM52:BN52"/>
    <mergeCell ref="BO52:BP52"/>
    <mergeCell ref="BQ52:BR52"/>
    <mergeCell ref="BS52:BT52"/>
    <mergeCell ref="BG52:BG53"/>
    <mergeCell ref="A65:B65"/>
    <mergeCell ref="BF65:BG65"/>
    <mergeCell ref="BH52:BH53"/>
    <mergeCell ref="BI52:BJ52"/>
    <mergeCell ref="BK52:BL52"/>
    <mergeCell ref="BB52:BB53"/>
    <mergeCell ref="BC52:BC53"/>
    <mergeCell ref="BD52:BD53"/>
    <mergeCell ref="BF52:BF53"/>
    <mergeCell ref="BU52:BV52"/>
    <mergeCell ref="BW52:BX52"/>
    <mergeCell ref="AI52:AI53"/>
    <mergeCell ref="AJ52:AK52"/>
    <mergeCell ref="AL52:AM52"/>
    <mergeCell ref="AN52:AO52"/>
    <mergeCell ref="AR52:AR53"/>
    <mergeCell ref="AS52:AW52"/>
    <mergeCell ref="AX52:AX53"/>
    <mergeCell ref="BA52:BA53"/>
    <mergeCell ref="AZ52:AZ53"/>
    <mergeCell ref="A49:B49"/>
    <mergeCell ref="BF49:BG49"/>
    <mergeCell ref="A50:B50"/>
    <mergeCell ref="G50:S50"/>
    <mergeCell ref="AA50:AI50"/>
    <mergeCell ref="AJ50:AR51"/>
    <mergeCell ref="BF50:BG50"/>
    <mergeCell ref="A51:B51"/>
    <mergeCell ref="G51:I52"/>
    <mergeCell ref="K51:S51"/>
    <mergeCell ref="AA51:AI51"/>
    <mergeCell ref="BF51:BG51"/>
    <mergeCell ref="A52:A53"/>
    <mergeCell ref="B52:B53"/>
    <mergeCell ref="C52:C53"/>
    <mergeCell ref="D52:D53"/>
    <mergeCell ref="K52:M52"/>
    <mergeCell ref="N52:P52"/>
    <mergeCell ref="Q52:S52"/>
    <mergeCell ref="T52:V52"/>
    <mergeCell ref="Z52:Z53"/>
    <mergeCell ref="AA52:AB52"/>
    <mergeCell ref="AC52:AD52"/>
    <mergeCell ref="AE52:AF52"/>
    <mergeCell ref="BU36:BV36"/>
    <mergeCell ref="BW36:BX36"/>
    <mergeCell ref="BY36:CA36"/>
    <mergeCell ref="A46:B46"/>
    <mergeCell ref="BF46:BG46"/>
    <mergeCell ref="BM36:BN36"/>
    <mergeCell ref="BO36:BP36"/>
    <mergeCell ref="BQ36:BR36"/>
    <mergeCell ref="BS36:BT36"/>
    <mergeCell ref="BG36:BG37"/>
    <mergeCell ref="AP36:AQ36"/>
    <mergeCell ref="AZ36:AZ37"/>
    <mergeCell ref="AX36:AX37"/>
    <mergeCell ref="BA36:BA37"/>
    <mergeCell ref="BH36:BH37"/>
    <mergeCell ref="BI36:BJ36"/>
    <mergeCell ref="BK36:BL36"/>
    <mergeCell ref="BB36:BB37"/>
    <mergeCell ref="BC36:BC37"/>
    <mergeCell ref="BD36:BD37"/>
    <mergeCell ref="BF36:BF37"/>
    <mergeCell ref="A34:B34"/>
    <mergeCell ref="G34:S34"/>
    <mergeCell ref="AA34:AI34"/>
    <mergeCell ref="AJ34:AR35"/>
    <mergeCell ref="BF34:BG34"/>
    <mergeCell ref="A35:B35"/>
    <mergeCell ref="G35:I36"/>
    <mergeCell ref="K35:S35"/>
    <mergeCell ref="AA35:AI35"/>
    <mergeCell ref="BF35:BG35"/>
    <mergeCell ref="A36:A37"/>
    <mergeCell ref="B36:B37"/>
    <mergeCell ref="C36:C37"/>
    <mergeCell ref="D36:D37"/>
    <mergeCell ref="Z36:Z37"/>
    <mergeCell ref="AA36:AB36"/>
    <mergeCell ref="AC36:AD36"/>
    <mergeCell ref="AE36:AF36"/>
    <mergeCell ref="AI36:AI37"/>
    <mergeCell ref="AJ36:AK36"/>
    <mergeCell ref="AL36:AM36"/>
    <mergeCell ref="AN36:AO36"/>
    <mergeCell ref="AR36:AR37"/>
    <mergeCell ref="AS36:AW36"/>
    <mergeCell ref="A30:B30"/>
    <mergeCell ref="BF30:BG30"/>
    <mergeCell ref="BO20:BP20"/>
    <mergeCell ref="BQ20:BR20"/>
    <mergeCell ref="BS20:BT20"/>
    <mergeCell ref="BU20:BV20"/>
    <mergeCell ref="BH20:BH21"/>
    <mergeCell ref="BI20:BJ20"/>
    <mergeCell ref="A33:B33"/>
    <mergeCell ref="BF33:BG33"/>
    <mergeCell ref="BB20:BB21"/>
    <mergeCell ref="BK20:BL20"/>
    <mergeCell ref="BM20:BN20"/>
    <mergeCell ref="BC20:BC21"/>
    <mergeCell ref="BD20:BD21"/>
    <mergeCell ref="BF20:BF21"/>
    <mergeCell ref="BG20:BG21"/>
    <mergeCell ref="BW20:BX20"/>
    <mergeCell ref="BY20:CA20"/>
    <mergeCell ref="Z20:Z21"/>
    <mergeCell ref="AA20:AB20"/>
    <mergeCell ref="AJ20:AK20"/>
    <mergeCell ref="AL20:AM20"/>
    <mergeCell ref="AN20:AO20"/>
    <mergeCell ref="AR20:AR21"/>
    <mergeCell ref="AS20:AW20"/>
    <mergeCell ref="AX20:AX21"/>
    <mergeCell ref="BA20:BA21"/>
    <mergeCell ref="BF17:BG17"/>
    <mergeCell ref="A18:B18"/>
    <mergeCell ref="G18:S18"/>
    <mergeCell ref="AA18:AI18"/>
    <mergeCell ref="AJ18:AR19"/>
    <mergeCell ref="BF18:BG18"/>
    <mergeCell ref="A19:B19"/>
    <mergeCell ref="G19:I20"/>
    <mergeCell ref="BF19:BG19"/>
    <mergeCell ref="A20:A21"/>
    <mergeCell ref="B20:B21"/>
    <mergeCell ref="C20:C21"/>
    <mergeCell ref="D20:D21"/>
    <mergeCell ref="K20:M20"/>
    <mergeCell ref="F20:F21"/>
    <mergeCell ref="E20:E21"/>
    <mergeCell ref="AC20:AD20"/>
    <mergeCell ref="K19:S19"/>
    <mergeCell ref="AA19:AI19"/>
    <mergeCell ref="AE20:AF20"/>
    <mergeCell ref="AI20:AI21"/>
    <mergeCell ref="W20:W21"/>
    <mergeCell ref="N20:P20"/>
    <mergeCell ref="Q20:S20"/>
    <mergeCell ref="BU4:BV4"/>
    <mergeCell ref="BW4:BX4"/>
    <mergeCell ref="BY4:CA4"/>
    <mergeCell ref="BF14:BG14"/>
    <mergeCell ref="BM4:BN4"/>
    <mergeCell ref="BO4:BP4"/>
    <mergeCell ref="BQ4:BR4"/>
    <mergeCell ref="BS4:BT4"/>
    <mergeCell ref="BG4:BG5"/>
    <mergeCell ref="BH4:BH5"/>
    <mergeCell ref="AS4:AW4"/>
    <mergeCell ref="AP4:AQ4"/>
    <mergeCell ref="AX4:AX5"/>
    <mergeCell ref="BA4:BA5"/>
    <mergeCell ref="AZ4:AZ5"/>
    <mergeCell ref="BI4:BJ4"/>
    <mergeCell ref="BK4:BL4"/>
    <mergeCell ref="BB4:BB5"/>
    <mergeCell ref="BC4:BC5"/>
    <mergeCell ref="BD4:BD5"/>
    <mergeCell ref="BF4:BF5"/>
    <mergeCell ref="W4:W5"/>
    <mergeCell ref="AC4:AD4"/>
    <mergeCell ref="AE4:AF4"/>
    <mergeCell ref="AI4:AI5"/>
    <mergeCell ref="AJ4:AK4"/>
    <mergeCell ref="AG4:AH4"/>
    <mergeCell ref="AL4:AM4"/>
    <mergeCell ref="AN4:AO4"/>
    <mergeCell ref="AR4:AR5"/>
    <mergeCell ref="A14:B14"/>
    <mergeCell ref="A17:B17"/>
    <mergeCell ref="F4:F5"/>
    <mergeCell ref="A1:B1"/>
    <mergeCell ref="A4:A5"/>
    <mergeCell ref="B4:B5"/>
    <mergeCell ref="C4:C5"/>
    <mergeCell ref="D4:D5"/>
    <mergeCell ref="BF1:BG1"/>
    <mergeCell ref="A2:B2"/>
    <mergeCell ref="G2:S2"/>
    <mergeCell ref="AA2:AI2"/>
    <mergeCell ref="AJ2:AR3"/>
    <mergeCell ref="BF2:BG2"/>
    <mergeCell ref="A3:B3"/>
    <mergeCell ref="K3:S3"/>
    <mergeCell ref="AA3:AI3"/>
    <mergeCell ref="BF3:BG3"/>
    <mergeCell ref="K4:M4"/>
    <mergeCell ref="N4:P4"/>
    <mergeCell ref="Q4:S4"/>
    <mergeCell ref="T4:V4"/>
    <mergeCell ref="Z4:Z5"/>
    <mergeCell ref="AA4:AB4"/>
  </mergeCells>
  <phoneticPr fontId="19" type="noConversion"/>
  <pageMargins left="0.75" right="0.75" top="1" bottom="1" header="0.5" footer="0.5"/>
  <pageSetup paperSize="9" scale="16" orientation="portrait" r:id="rId1"/>
  <headerFooter alignWithMargins="0"/>
  <rowBreaks count="1" manualBreakCount="1">
    <brk id="30" max="16383" man="1"/>
  </rowBreaks>
  <colBreaks count="1" manualBreakCount="1">
    <brk id="4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BZ59"/>
  <sheetViews>
    <sheetView topLeftCell="AZ46" zoomScale="25" zoomScaleNormal="50" zoomScaleSheetLayoutView="30" workbookViewId="0">
      <selection activeCell="W51" sqref="W51"/>
    </sheetView>
  </sheetViews>
  <sheetFormatPr defaultRowHeight="12.75"/>
  <cols>
    <col min="1" max="1" width="25.7109375" customWidth="1"/>
    <col min="2" max="2" width="65" customWidth="1"/>
    <col min="3" max="4" width="38.140625" customWidth="1"/>
    <col min="5" max="5" width="24.42578125" customWidth="1"/>
    <col min="6" max="6" width="25.42578125" customWidth="1"/>
    <col min="7" max="7" width="27.5703125" customWidth="1"/>
    <col min="8" max="8" width="26.140625" customWidth="1"/>
    <col min="9" max="10" width="23.28515625" customWidth="1"/>
    <col min="11" max="11" width="14.5703125" customWidth="1"/>
    <col min="12" max="12" width="11.7109375" customWidth="1"/>
    <col min="13" max="13" width="24" customWidth="1"/>
    <col min="14" max="14" width="16.7109375" customWidth="1"/>
    <col min="15" max="15" width="16.140625" customWidth="1"/>
    <col min="16" max="16" width="19.28515625" customWidth="1"/>
    <col min="17" max="17" width="13.5703125" customWidth="1"/>
    <col min="18" max="18" width="15.7109375" customWidth="1"/>
    <col min="19" max="19" width="26.42578125" customWidth="1"/>
    <col min="20" max="20" width="16" customWidth="1"/>
    <col min="21" max="21" width="15.42578125" customWidth="1"/>
    <col min="22" max="22" width="22.140625" customWidth="1"/>
    <col min="23" max="23" width="34.28515625" customWidth="1"/>
    <col min="24" max="24" width="30.85546875" customWidth="1"/>
    <col min="25" max="25" width="10" customWidth="1"/>
    <col min="26" max="26" width="11.140625" customWidth="1"/>
    <col min="27" max="28" width="10" customWidth="1"/>
    <col min="29" max="29" width="16.42578125" customWidth="1"/>
    <col min="30" max="31" width="14" customWidth="1"/>
    <col min="32" max="32" width="18.28515625" customWidth="1"/>
    <col min="33" max="33" width="25.7109375" customWidth="1"/>
    <col min="35" max="35" width="9.85546875" customWidth="1"/>
    <col min="36" max="36" width="8.85546875" customWidth="1"/>
    <col min="38" max="38" width="14.28515625" customWidth="1"/>
    <col min="39" max="39" width="13.140625" customWidth="1"/>
    <col min="40" max="40" width="15" customWidth="1"/>
    <col min="41" max="41" width="21.140625" customWidth="1"/>
    <col min="42" max="42" width="24" customWidth="1"/>
    <col min="43" max="43" width="21.7109375" customWidth="1"/>
    <col min="44" max="44" width="28.7109375" customWidth="1"/>
    <col min="45" max="46" width="15" customWidth="1"/>
    <col min="47" max="47" width="25" customWidth="1"/>
    <col min="48" max="48" width="28.5703125" customWidth="1"/>
    <col min="49" max="49" width="21" customWidth="1"/>
    <col min="50" max="50" width="20.28515625" customWidth="1"/>
    <col min="51" max="51" width="22.85546875" customWidth="1"/>
    <col min="52" max="52" width="26.85546875" customWidth="1"/>
    <col min="53" max="53" width="18.5703125" customWidth="1"/>
    <col min="54" max="55" width="28.28515625" customWidth="1"/>
    <col min="56" max="57" width="25.7109375" customWidth="1"/>
    <col min="58" max="58" width="69.7109375" customWidth="1"/>
    <col min="59" max="59" width="39.28515625" customWidth="1"/>
    <col min="60" max="60" width="12.85546875" customWidth="1"/>
    <col min="61" max="61" width="12.140625" customWidth="1"/>
    <col min="62" max="62" width="15.28515625" customWidth="1"/>
    <col min="63" max="63" width="14.5703125" customWidth="1"/>
    <col min="64" max="64" width="12.85546875" customWidth="1"/>
    <col min="65" max="65" width="14.28515625" customWidth="1"/>
    <col min="66" max="66" width="11.140625" customWidth="1"/>
    <col min="67" max="67" width="13.140625" customWidth="1"/>
    <col min="68" max="68" width="11.85546875" customWidth="1"/>
    <col min="69" max="69" width="13.5703125" customWidth="1"/>
    <col min="70" max="70" width="12.85546875" customWidth="1"/>
    <col min="71" max="71" width="13.140625" customWidth="1"/>
    <col min="72" max="72" width="12.85546875" customWidth="1"/>
    <col min="73" max="73" width="14.5703125" customWidth="1"/>
    <col min="74" max="75" width="13.28515625" customWidth="1"/>
    <col min="76" max="76" width="14.5703125" customWidth="1"/>
    <col min="77" max="77" width="14.7109375" customWidth="1"/>
    <col min="78" max="78" width="17.5703125" customWidth="1"/>
  </cols>
  <sheetData>
    <row r="1" spans="1:78" ht="80.099999999999994" customHeight="1">
      <c r="A1" s="807" t="s">
        <v>40</v>
      </c>
      <c r="B1" s="808"/>
      <c r="C1" s="101"/>
      <c r="D1" s="102">
        <f>E8-50</f>
        <v>450</v>
      </c>
      <c r="E1" s="103">
        <f>50/4</f>
        <v>12.5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809" t="s">
        <v>40</v>
      </c>
      <c r="BF1" s="810"/>
      <c r="BG1" s="101"/>
      <c r="BH1" s="103"/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</row>
    <row r="2" spans="1:78" ht="80.099999999999994" customHeight="1">
      <c r="A2" s="741" t="s">
        <v>24</v>
      </c>
      <c r="B2" s="741"/>
      <c r="C2" s="82"/>
      <c r="D2" s="83">
        <f>E6*4</f>
        <v>932</v>
      </c>
      <c r="E2" s="83">
        <f>E8*4</f>
        <v>2000</v>
      </c>
      <c r="F2" s="83">
        <f>F8*4</f>
        <v>920</v>
      </c>
      <c r="G2" s="742" t="s">
        <v>34</v>
      </c>
      <c r="H2" s="742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84"/>
      <c r="U2" s="84"/>
      <c r="V2" s="84"/>
      <c r="W2" s="84"/>
      <c r="X2" s="85"/>
      <c r="Y2" s="742" t="s">
        <v>28</v>
      </c>
      <c r="Z2" s="742"/>
      <c r="AA2" s="742"/>
      <c r="AB2" s="742"/>
      <c r="AC2" s="742"/>
      <c r="AD2" s="742"/>
      <c r="AE2" s="742"/>
      <c r="AF2" s="742"/>
      <c r="AG2" s="742"/>
      <c r="AH2" s="742" t="s">
        <v>35</v>
      </c>
      <c r="AI2" s="742"/>
      <c r="AJ2" s="742"/>
      <c r="AK2" s="742"/>
      <c r="AL2" s="742"/>
      <c r="AM2" s="742"/>
      <c r="AN2" s="742"/>
      <c r="AO2" s="742"/>
      <c r="AP2" s="742"/>
      <c r="AQ2" s="86"/>
      <c r="AR2" s="87"/>
      <c r="AS2" s="87"/>
      <c r="AT2" s="87"/>
      <c r="AU2" s="87"/>
      <c r="AV2" s="87"/>
      <c r="AW2" s="87">
        <f>42+53</f>
        <v>95</v>
      </c>
      <c r="AX2" s="87"/>
      <c r="AY2" s="87"/>
      <c r="AZ2" s="87"/>
      <c r="BA2" s="87"/>
      <c r="BB2" s="88"/>
      <c r="BC2" s="87"/>
      <c r="BD2" s="87"/>
      <c r="BE2" s="811" t="s">
        <v>24</v>
      </c>
      <c r="BF2" s="812"/>
      <c r="BG2" s="89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</row>
    <row r="3" spans="1:78" ht="80.099999999999994" customHeight="1">
      <c r="A3" s="734" t="s">
        <v>2</v>
      </c>
      <c r="B3" s="734"/>
      <c r="C3" s="91"/>
      <c r="D3" s="92"/>
      <c r="E3" s="92"/>
      <c r="F3" s="92"/>
      <c r="G3" s="742" t="s">
        <v>10</v>
      </c>
      <c r="H3" s="742"/>
      <c r="I3" s="742"/>
      <c r="J3" s="50"/>
      <c r="K3" s="742" t="s">
        <v>29</v>
      </c>
      <c r="L3" s="742"/>
      <c r="M3" s="742"/>
      <c r="N3" s="742"/>
      <c r="O3" s="742"/>
      <c r="P3" s="742"/>
      <c r="Q3" s="742"/>
      <c r="R3" s="742"/>
      <c r="S3" s="742"/>
      <c r="T3" s="93"/>
      <c r="U3" s="93"/>
      <c r="V3" s="93"/>
      <c r="W3" s="93"/>
      <c r="X3" s="94"/>
      <c r="Y3" s="742" t="s">
        <v>12</v>
      </c>
      <c r="Z3" s="742"/>
      <c r="AA3" s="742"/>
      <c r="AB3" s="742"/>
      <c r="AC3" s="742"/>
      <c r="AD3" s="742"/>
      <c r="AE3" s="742"/>
      <c r="AF3" s="742"/>
      <c r="AG3" s="742"/>
      <c r="AH3" s="742"/>
      <c r="AI3" s="742"/>
      <c r="AJ3" s="742"/>
      <c r="AK3" s="742"/>
      <c r="AL3" s="742"/>
      <c r="AM3" s="742"/>
      <c r="AN3" s="742"/>
      <c r="AO3" s="742"/>
      <c r="AP3" s="742"/>
      <c r="AQ3" s="91"/>
      <c r="AR3" s="95"/>
      <c r="AS3" s="95"/>
      <c r="AT3" s="95"/>
      <c r="AU3" s="95"/>
      <c r="AV3" s="96"/>
      <c r="AW3" s="96">
        <f>AW2/2</f>
        <v>47.5</v>
      </c>
      <c r="AX3" s="96"/>
      <c r="AY3" s="96"/>
      <c r="AZ3" s="96"/>
      <c r="BA3" s="96"/>
      <c r="BB3" s="97"/>
      <c r="BC3" s="96"/>
      <c r="BD3" s="96"/>
      <c r="BE3" s="813" t="s">
        <v>3</v>
      </c>
      <c r="BF3" s="814"/>
      <c r="BG3" s="98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</row>
    <row r="4" spans="1:78" ht="80.099999999999994" customHeight="1">
      <c r="A4" s="734" t="s">
        <v>0</v>
      </c>
      <c r="B4" s="815" t="s">
        <v>42</v>
      </c>
      <c r="C4" s="815" t="s">
        <v>43</v>
      </c>
      <c r="D4" s="734" t="s">
        <v>44</v>
      </c>
      <c r="E4" s="805" t="s">
        <v>135</v>
      </c>
      <c r="F4" s="805" t="s">
        <v>134</v>
      </c>
      <c r="G4" s="742"/>
      <c r="H4" s="742"/>
      <c r="I4" s="742"/>
      <c r="J4" s="50"/>
      <c r="K4" s="742" t="s">
        <v>11</v>
      </c>
      <c r="L4" s="742"/>
      <c r="M4" s="742"/>
      <c r="N4" s="742" t="s">
        <v>38</v>
      </c>
      <c r="O4" s="742"/>
      <c r="P4" s="742"/>
      <c r="Q4" s="742" t="s">
        <v>39</v>
      </c>
      <c r="R4" s="742"/>
      <c r="S4" s="742"/>
      <c r="T4" s="817" t="s">
        <v>47</v>
      </c>
      <c r="U4" s="818"/>
      <c r="V4" s="819"/>
      <c r="W4" s="742" t="s">
        <v>126</v>
      </c>
      <c r="X4" s="742" t="s">
        <v>13</v>
      </c>
      <c r="Y4" s="734" t="s">
        <v>30</v>
      </c>
      <c r="Z4" s="734"/>
      <c r="AA4" s="734" t="s">
        <v>23</v>
      </c>
      <c r="AB4" s="734"/>
      <c r="AC4" s="734" t="s">
        <v>31</v>
      </c>
      <c r="AD4" s="734"/>
      <c r="AE4" s="248"/>
      <c r="AF4" s="248"/>
      <c r="AG4" s="734" t="s">
        <v>32</v>
      </c>
      <c r="AH4" s="734" t="s">
        <v>30</v>
      </c>
      <c r="AI4" s="734"/>
      <c r="AJ4" s="734" t="s">
        <v>23</v>
      </c>
      <c r="AK4" s="734"/>
      <c r="AL4" s="734" t="s">
        <v>31</v>
      </c>
      <c r="AM4" s="734"/>
      <c r="AN4" s="248"/>
      <c r="AO4" s="248"/>
      <c r="AP4" s="734" t="s">
        <v>32</v>
      </c>
      <c r="AQ4" s="742" t="s">
        <v>33</v>
      </c>
      <c r="AR4" s="742"/>
      <c r="AS4" s="742"/>
      <c r="AT4" s="742"/>
      <c r="AU4" s="742"/>
      <c r="AV4" s="743" t="s">
        <v>22</v>
      </c>
      <c r="AW4" s="337"/>
      <c r="AX4" s="862" t="s">
        <v>132</v>
      </c>
      <c r="AY4" s="742" t="s">
        <v>14</v>
      </c>
      <c r="AZ4" s="742" t="s">
        <v>18</v>
      </c>
      <c r="BA4" s="742" t="s">
        <v>19</v>
      </c>
      <c r="BB4" s="742" t="s">
        <v>20</v>
      </c>
      <c r="BC4" s="80"/>
      <c r="BD4" s="80"/>
      <c r="BE4" s="814" t="s">
        <v>0</v>
      </c>
      <c r="BF4" s="815" t="s">
        <v>42</v>
      </c>
      <c r="BG4" s="815" t="s">
        <v>43</v>
      </c>
      <c r="BH4" s="820" t="s">
        <v>140</v>
      </c>
      <c r="BI4" s="820"/>
      <c r="BJ4" s="744" t="s">
        <v>141</v>
      </c>
      <c r="BK4" s="744"/>
      <c r="BL4" s="734" t="s">
        <v>4</v>
      </c>
      <c r="BM4" s="734"/>
      <c r="BN4" s="734" t="s">
        <v>5</v>
      </c>
      <c r="BO4" s="734"/>
      <c r="BP4" s="734" t="s">
        <v>6</v>
      </c>
      <c r="BQ4" s="734"/>
      <c r="BR4" s="734" t="s">
        <v>7</v>
      </c>
      <c r="BS4" s="734"/>
      <c r="BT4" s="734" t="s">
        <v>8</v>
      </c>
      <c r="BU4" s="734"/>
      <c r="BV4" s="734" t="s">
        <v>9</v>
      </c>
      <c r="BW4" s="734"/>
      <c r="BX4" s="734" t="s">
        <v>21</v>
      </c>
      <c r="BY4" s="734"/>
      <c r="BZ4" s="734"/>
    </row>
    <row r="5" spans="1:78" ht="80.099999999999994" customHeight="1">
      <c r="A5" s="734"/>
      <c r="B5" s="816"/>
      <c r="C5" s="816"/>
      <c r="D5" s="734"/>
      <c r="E5" s="806"/>
      <c r="F5" s="806"/>
      <c r="G5" s="50" t="s">
        <v>16</v>
      </c>
      <c r="H5" s="50" t="s">
        <v>17</v>
      </c>
      <c r="I5" s="50" t="s">
        <v>32</v>
      </c>
      <c r="J5" s="50"/>
      <c r="K5" s="50" t="s">
        <v>16</v>
      </c>
      <c r="L5" s="50" t="s">
        <v>17</v>
      </c>
      <c r="M5" s="50" t="s">
        <v>32</v>
      </c>
      <c r="N5" s="50" t="s">
        <v>16</v>
      </c>
      <c r="O5" s="50" t="s">
        <v>17</v>
      </c>
      <c r="P5" s="50" t="s">
        <v>32</v>
      </c>
      <c r="Q5" s="50" t="s">
        <v>16</v>
      </c>
      <c r="R5" s="50" t="s">
        <v>17</v>
      </c>
      <c r="S5" s="50" t="s">
        <v>32</v>
      </c>
      <c r="T5" s="50" t="s">
        <v>16</v>
      </c>
      <c r="U5" s="50" t="s">
        <v>17</v>
      </c>
      <c r="V5" s="50" t="s">
        <v>32</v>
      </c>
      <c r="W5" s="742"/>
      <c r="X5" s="742"/>
      <c r="Y5" s="50" t="s">
        <v>16</v>
      </c>
      <c r="Z5" s="50" t="s">
        <v>17</v>
      </c>
      <c r="AA5" s="50" t="s">
        <v>16</v>
      </c>
      <c r="AB5" s="50" t="s">
        <v>17</v>
      </c>
      <c r="AC5" s="50" t="s">
        <v>16</v>
      </c>
      <c r="AD5" s="50" t="s">
        <v>17</v>
      </c>
      <c r="AE5" s="50"/>
      <c r="AF5" s="50"/>
      <c r="AG5" s="734"/>
      <c r="AH5" s="50" t="s">
        <v>16</v>
      </c>
      <c r="AI5" s="50" t="s">
        <v>17</v>
      </c>
      <c r="AJ5" s="50" t="s">
        <v>16</v>
      </c>
      <c r="AK5" s="50" t="s">
        <v>17</v>
      </c>
      <c r="AL5" s="50" t="s">
        <v>16</v>
      </c>
      <c r="AM5" s="50" t="s">
        <v>17</v>
      </c>
      <c r="AN5" s="50"/>
      <c r="AO5" s="50"/>
      <c r="AP5" s="734"/>
      <c r="AQ5" s="50" t="s">
        <v>16</v>
      </c>
      <c r="AR5" s="50" t="s">
        <v>17</v>
      </c>
      <c r="AS5" s="50"/>
      <c r="AT5" s="50"/>
      <c r="AU5" s="50" t="s">
        <v>32</v>
      </c>
      <c r="AV5" s="743"/>
      <c r="AW5" s="338"/>
      <c r="AX5" s="863"/>
      <c r="AY5" s="742"/>
      <c r="AZ5" s="742"/>
      <c r="BA5" s="742"/>
      <c r="BB5" s="742"/>
      <c r="BC5" s="80"/>
      <c r="BD5" s="80"/>
      <c r="BE5" s="814"/>
      <c r="BF5" s="816"/>
      <c r="BG5" s="816"/>
      <c r="BH5" s="225" t="s">
        <v>16</v>
      </c>
      <c r="BI5" s="225" t="s">
        <v>17</v>
      </c>
      <c r="BJ5" s="50" t="s">
        <v>16</v>
      </c>
      <c r="BK5" s="50" t="s">
        <v>17</v>
      </c>
      <c r="BL5" s="50" t="s">
        <v>16</v>
      </c>
      <c r="BM5" s="50" t="s">
        <v>17</v>
      </c>
      <c r="BN5" s="50" t="s">
        <v>16</v>
      </c>
      <c r="BO5" s="50" t="s">
        <v>17</v>
      </c>
      <c r="BP5" s="50" t="s">
        <v>16</v>
      </c>
      <c r="BQ5" s="50" t="s">
        <v>17</v>
      </c>
      <c r="BR5" s="50" t="s">
        <v>16</v>
      </c>
      <c r="BS5" s="50" t="s">
        <v>17</v>
      </c>
      <c r="BT5" s="50" t="s">
        <v>16</v>
      </c>
      <c r="BU5" s="50" t="s">
        <v>17</v>
      </c>
      <c r="BV5" s="50" t="s">
        <v>16</v>
      </c>
      <c r="BW5" s="50" t="s">
        <v>17</v>
      </c>
      <c r="BX5" s="50" t="s">
        <v>16</v>
      </c>
      <c r="BY5" s="50" t="s">
        <v>17</v>
      </c>
      <c r="BZ5" s="79" t="s">
        <v>32</v>
      </c>
    </row>
    <row r="6" spans="1:78" ht="80.099999999999994" customHeight="1">
      <c r="A6" s="104">
        <v>1</v>
      </c>
      <c r="B6" s="99" t="s">
        <v>116</v>
      </c>
      <c r="C6" s="100" t="s">
        <v>117</v>
      </c>
      <c r="D6" s="72">
        <v>500000</v>
      </c>
      <c r="E6" s="72">
        <v>233</v>
      </c>
      <c r="F6" s="72">
        <v>110</v>
      </c>
      <c r="G6" s="105">
        <v>72</v>
      </c>
      <c r="H6" s="105">
        <v>38</v>
      </c>
      <c r="I6" s="173">
        <f>SUM(G6:H6)</f>
        <v>110</v>
      </c>
      <c r="J6" s="173">
        <v>110</v>
      </c>
      <c r="K6" s="105">
        <v>3</v>
      </c>
      <c r="L6" s="105">
        <v>2</v>
      </c>
      <c r="M6" s="104">
        <f>SUM(K6:L6)</f>
        <v>5</v>
      </c>
      <c r="N6" s="105">
        <v>0</v>
      </c>
      <c r="O6" s="105">
        <v>1</v>
      </c>
      <c r="P6" s="104">
        <f>SUM(N6:O6)</f>
        <v>1</v>
      </c>
      <c r="Q6" s="105">
        <v>4</v>
      </c>
      <c r="R6" s="105">
        <v>0</v>
      </c>
      <c r="S6" s="104">
        <f>SUM(Q6:R6)</f>
        <v>4</v>
      </c>
      <c r="T6" s="104"/>
      <c r="U6" s="104"/>
      <c r="V6" s="104"/>
      <c r="W6" s="106">
        <f>I6/F6</f>
        <v>1</v>
      </c>
      <c r="X6" s="107">
        <f>I6*4/(D6*0.0008)</f>
        <v>1.1000000000000001</v>
      </c>
      <c r="Y6" s="108"/>
      <c r="Z6" s="108"/>
      <c r="AA6" s="108"/>
      <c r="AB6" s="105"/>
      <c r="AC6" s="105">
        <v>8</v>
      </c>
      <c r="AD6" s="105">
        <v>12</v>
      </c>
      <c r="AE6" s="105"/>
      <c r="AF6" s="105"/>
      <c r="AG6" s="109">
        <f>AC6+AD6</f>
        <v>20</v>
      </c>
      <c r="AH6" s="108"/>
      <c r="AI6" s="110"/>
      <c r="AJ6" s="110"/>
      <c r="AK6" s="105"/>
      <c r="AL6" s="105">
        <v>21</v>
      </c>
      <c r="AM6" s="105">
        <v>22</v>
      </c>
      <c r="AN6" s="105"/>
      <c r="AO6" s="105"/>
      <c r="AP6" s="109">
        <f>AL6+AM6</f>
        <v>43</v>
      </c>
      <c r="AQ6" s="110">
        <f t="shared" ref="AQ6:AR9" si="0">AL6+AJ6+AH6+AC6+AA6+Y6+T6+Q6+N6+K6+G6</f>
        <v>108</v>
      </c>
      <c r="AR6" s="110">
        <f t="shared" si="0"/>
        <v>75</v>
      </c>
      <c r="AS6" s="114">
        <v>108</v>
      </c>
      <c r="AT6" s="114">
        <v>75</v>
      </c>
      <c r="AU6" s="111">
        <f>AQ6+AR6</f>
        <v>183</v>
      </c>
      <c r="AV6" s="107">
        <f>I6/(I6+AG6)</f>
        <v>0.84615384615384615</v>
      </c>
      <c r="AW6" s="107">
        <v>0.85</v>
      </c>
      <c r="AX6" s="107">
        <f>AU6/E6</f>
        <v>0.78540772532188841</v>
      </c>
      <c r="AY6" s="107">
        <f>AU6*4/(D6*0.00177)</f>
        <v>0.82711864406779656</v>
      </c>
      <c r="AZ6" s="107">
        <f>(M6+P6+S6)/AU6</f>
        <v>5.4644808743169397E-2</v>
      </c>
      <c r="BA6" s="112">
        <f>I6*4/D6*100000</f>
        <v>88</v>
      </c>
      <c r="BB6" s="113">
        <f>AU6*4/D6*100000</f>
        <v>146.4</v>
      </c>
      <c r="BC6" s="113"/>
      <c r="BD6" s="113"/>
      <c r="BE6" s="104">
        <v>1</v>
      </c>
      <c r="BF6" s="99" t="s">
        <v>116</v>
      </c>
      <c r="BG6" s="100" t="s">
        <v>117</v>
      </c>
      <c r="BH6" s="226">
        <v>0</v>
      </c>
      <c r="BI6" s="226">
        <v>0</v>
      </c>
      <c r="BJ6" s="105">
        <v>3</v>
      </c>
      <c r="BK6" s="105">
        <v>2</v>
      </c>
      <c r="BL6" s="105">
        <v>28</v>
      </c>
      <c r="BM6" s="105">
        <v>16</v>
      </c>
      <c r="BN6" s="105">
        <v>13</v>
      </c>
      <c r="BO6" s="105">
        <v>8</v>
      </c>
      <c r="BP6" s="105">
        <v>12</v>
      </c>
      <c r="BQ6" s="105">
        <v>6</v>
      </c>
      <c r="BR6" s="105">
        <v>7</v>
      </c>
      <c r="BS6" s="105">
        <v>5</v>
      </c>
      <c r="BT6" s="105">
        <v>3</v>
      </c>
      <c r="BU6" s="105">
        <v>1</v>
      </c>
      <c r="BV6" s="105">
        <v>6</v>
      </c>
      <c r="BW6" s="105">
        <v>0</v>
      </c>
      <c r="BX6" s="110">
        <f t="shared" ref="BX6:BY10" si="1">BV6+BT6+BR6+BP6+BN6+BL6+BJ6+BH6</f>
        <v>72</v>
      </c>
      <c r="BY6" s="110">
        <f t="shared" si="1"/>
        <v>38</v>
      </c>
      <c r="BZ6" s="114">
        <f>BY6+BX6</f>
        <v>110</v>
      </c>
    </row>
    <row r="7" spans="1:78" ht="80.099999999999994" customHeight="1">
      <c r="A7" s="104">
        <v>2</v>
      </c>
      <c r="B7" s="99" t="s">
        <v>118</v>
      </c>
      <c r="C7" s="100" t="s">
        <v>80</v>
      </c>
      <c r="D7" s="72">
        <v>300000</v>
      </c>
      <c r="E7" s="72">
        <v>235</v>
      </c>
      <c r="F7" s="72">
        <v>100</v>
      </c>
      <c r="G7" s="115">
        <v>17</v>
      </c>
      <c r="H7" s="115">
        <v>23</v>
      </c>
      <c r="I7" s="173">
        <f>SUM(G7:H7)</f>
        <v>40</v>
      </c>
      <c r="J7" s="173">
        <v>40</v>
      </c>
      <c r="K7" s="115">
        <v>1</v>
      </c>
      <c r="L7" s="115">
        <v>0</v>
      </c>
      <c r="M7" s="104">
        <f>SUM(K7:L7)</f>
        <v>1</v>
      </c>
      <c r="N7" s="115">
        <v>0</v>
      </c>
      <c r="O7" s="115">
        <v>0</v>
      </c>
      <c r="P7" s="104">
        <f>SUM(N7:O7)</f>
        <v>0</v>
      </c>
      <c r="Q7" s="115">
        <v>4</v>
      </c>
      <c r="R7" s="115">
        <v>0</v>
      </c>
      <c r="S7" s="104">
        <f>SUM(Q7:R7)</f>
        <v>4</v>
      </c>
      <c r="T7" s="104"/>
      <c r="U7" s="104"/>
      <c r="V7" s="104"/>
      <c r="W7" s="106">
        <f>I7/F7</f>
        <v>0.4</v>
      </c>
      <c r="X7" s="106">
        <f>I7*4/(D7*0.0008)</f>
        <v>0.66666666666666663</v>
      </c>
      <c r="Y7" s="109"/>
      <c r="Z7" s="109"/>
      <c r="AA7" s="109"/>
      <c r="AB7" s="115"/>
      <c r="AC7" s="115">
        <v>14</v>
      </c>
      <c r="AD7" s="115">
        <v>21</v>
      </c>
      <c r="AE7" s="115"/>
      <c r="AF7" s="115"/>
      <c r="AG7" s="109">
        <f>AC7+AD7</f>
        <v>35</v>
      </c>
      <c r="AH7" s="109"/>
      <c r="AI7" s="104"/>
      <c r="AJ7" s="104"/>
      <c r="AK7" s="115"/>
      <c r="AL7" s="115">
        <v>10</v>
      </c>
      <c r="AM7" s="115">
        <v>18</v>
      </c>
      <c r="AN7" s="115"/>
      <c r="AO7" s="115"/>
      <c r="AP7" s="109">
        <f>AL7+AM7</f>
        <v>28</v>
      </c>
      <c r="AQ7" s="110">
        <f t="shared" si="0"/>
        <v>46</v>
      </c>
      <c r="AR7" s="110">
        <f t="shared" si="0"/>
        <v>62</v>
      </c>
      <c r="AS7" s="114">
        <v>46</v>
      </c>
      <c r="AT7" s="114">
        <v>62</v>
      </c>
      <c r="AU7" s="111">
        <f>AQ7+AR7</f>
        <v>108</v>
      </c>
      <c r="AV7" s="107">
        <f>I7/(I7+AG7)</f>
        <v>0.53333333333333333</v>
      </c>
      <c r="AW7" s="107">
        <v>0.53</v>
      </c>
      <c r="AX7" s="107">
        <f>AU7/E7</f>
        <v>0.45957446808510638</v>
      </c>
      <c r="AY7" s="106">
        <f>AU7*4/(D7*0.00177)</f>
        <v>0.81355932203389836</v>
      </c>
      <c r="AZ7" s="106">
        <f>(M7+P7+S7)/AU7</f>
        <v>4.6296296296296294E-2</v>
      </c>
      <c r="BA7" s="116">
        <f>I7*4/D7*100000</f>
        <v>53.333333333333336</v>
      </c>
      <c r="BB7" s="117">
        <f>AU7*4/D7*100000</f>
        <v>144</v>
      </c>
      <c r="BC7" s="117"/>
      <c r="BD7" s="117"/>
      <c r="BE7" s="104">
        <v>2</v>
      </c>
      <c r="BF7" s="99" t="s">
        <v>118</v>
      </c>
      <c r="BG7" s="100" t="s">
        <v>80</v>
      </c>
      <c r="BJ7" s="226">
        <v>0</v>
      </c>
      <c r="BK7" s="226">
        <v>3</v>
      </c>
      <c r="BL7" s="115">
        <v>6</v>
      </c>
      <c r="BM7" s="115">
        <v>9</v>
      </c>
      <c r="BN7" s="115">
        <v>6</v>
      </c>
      <c r="BO7" s="115">
        <v>5</v>
      </c>
      <c r="BP7" s="115">
        <v>2</v>
      </c>
      <c r="BQ7" s="115">
        <v>4</v>
      </c>
      <c r="BR7" s="115">
        <v>2</v>
      </c>
      <c r="BS7" s="115">
        <v>1</v>
      </c>
      <c r="BT7" s="115">
        <v>0</v>
      </c>
      <c r="BU7" s="115">
        <v>1</v>
      </c>
      <c r="BV7" s="115">
        <v>1</v>
      </c>
      <c r="BW7" s="115">
        <v>0</v>
      </c>
      <c r="BX7" s="110">
        <f t="shared" si="1"/>
        <v>17</v>
      </c>
      <c r="BY7" s="110">
        <f t="shared" si="1"/>
        <v>23</v>
      </c>
      <c r="BZ7" s="114">
        <f>BY7+BX7</f>
        <v>40</v>
      </c>
    </row>
    <row r="8" spans="1:78" ht="80.099999999999994" customHeight="1">
      <c r="A8" s="104">
        <v>3</v>
      </c>
      <c r="B8" s="99" t="s">
        <v>119</v>
      </c>
      <c r="C8" s="100" t="s">
        <v>55</v>
      </c>
      <c r="D8" s="72">
        <v>200000</v>
      </c>
      <c r="E8" s="72">
        <v>500</v>
      </c>
      <c r="F8" s="72">
        <v>230</v>
      </c>
      <c r="G8" s="105">
        <v>71</v>
      </c>
      <c r="H8" s="105">
        <v>68</v>
      </c>
      <c r="I8" s="173">
        <f>SUM(G8:H8)</f>
        <v>139</v>
      </c>
      <c r="J8" s="173">
        <v>139</v>
      </c>
      <c r="K8" s="105">
        <v>9</v>
      </c>
      <c r="L8" s="105">
        <v>5</v>
      </c>
      <c r="M8" s="104">
        <f>SUM(K8:L8)</f>
        <v>14</v>
      </c>
      <c r="N8" s="105">
        <v>0</v>
      </c>
      <c r="O8" s="105">
        <v>0</v>
      </c>
      <c r="P8" s="104">
        <f>SUM(N8:O8)</f>
        <v>0</v>
      </c>
      <c r="Q8" s="105">
        <v>2</v>
      </c>
      <c r="R8" s="105">
        <v>1</v>
      </c>
      <c r="S8" s="104">
        <f>SUM(Q8:R8)</f>
        <v>3</v>
      </c>
      <c r="T8" s="104"/>
      <c r="U8" s="104"/>
      <c r="V8" s="104"/>
      <c r="W8" s="106">
        <f>I8/F8</f>
        <v>0.60434782608695647</v>
      </c>
      <c r="X8" s="107">
        <f>I8*4/(D8*0.0008)</f>
        <v>3.4750000000000001</v>
      </c>
      <c r="Y8" s="108"/>
      <c r="Z8" s="108"/>
      <c r="AA8" s="108"/>
      <c r="AB8" s="105"/>
      <c r="AC8" s="105">
        <v>23</v>
      </c>
      <c r="AD8" s="105">
        <v>24</v>
      </c>
      <c r="AE8" s="105"/>
      <c r="AF8" s="105"/>
      <c r="AG8" s="109">
        <f>AC8+AD8</f>
        <v>47</v>
      </c>
      <c r="AH8" s="108"/>
      <c r="AI8" s="110"/>
      <c r="AJ8" s="110"/>
      <c r="AK8" s="105"/>
      <c r="AL8" s="105">
        <v>15</v>
      </c>
      <c r="AM8" s="105">
        <v>18</v>
      </c>
      <c r="AN8" s="105"/>
      <c r="AO8" s="105"/>
      <c r="AP8" s="109">
        <f>AL8+AM8</f>
        <v>33</v>
      </c>
      <c r="AQ8" s="110">
        <f t="shared" si="0"/>
        <v>120</v>
      </c>
      <c r="AR8" s="110">
        <f t="shared" si="0"/>
        <v>116</v>
      </c>
      <c r="AS8" s="114">
        <v>120</v>
      </c>
      <c r="AT8" s="114">
        <v>116</v>
      </c>
      <c r="AU8" s="111">
        <f>AQ8+AR8</f>
        <v>236</v>
      </c>
      <c r="AV8" s="107">
        <f>I8/(I8+AG8)</f>
        <v>0.74731182795698925</v>
      </c>
      <c r="AW8" s="107">
        <v>0.75</v>
      </c>
      <c r="AX8" s="107">
        <f>AU8/E8</f>
        <v>0.47199999999999998</v>
      </c>
      <c r="AY8" s="107">
        <f>AU8*4/(D8*0.00177)</f>
        <v>2.6666666666666665</v>
      </c>
      <c r="AZ8" s="107">
        <f>(M8+P8+S8)/AU8</f>
        <v>7.2033898305084748E-2</v>
      </c>
      <c r="BA8" s="112">
        <f>I8*4/D8*100000</f>
        <v>278</v>
      </c>
      <c r="BB8" s="113">
        <f>AU8*4/D8*100000</f>
        <v>472</v>
      </c>
      <c r="BC8" s="113"/>
      <c r="BD8" s="113"/>
      <c r="BE8" s="104">
        <v>3</v>
      </c>
      <c r="BF8" s="99" t="s">
        <v>119</v>
      </c>
      <c r="BG8" s="100" t="s">
        <v>55</v>
      </c>
      <c r="BH8" s="226">
        <v>0</v>
      </c>
      <c r="BI8" s="226">
        <v>0</v>
      </c>
      <c r="BJ8" s="105">
        <v>0</v>
      </c>
      <c r="BK8" s="105">
        <v>10</v>
      </c>
      <c r="BL8" s="105">
        <v>30</v>
      </c>
      <c r="BM8" s="105">
        <v>27</v>
      </c>
      <c r="BN8" s="105">
        <v>17</v>
      </c>
      <c r="BO8" s="105">
        <v>13</v>
      </c>
      <c r="BP8" s="105">
        <v>12</v>
      </c>
      <c r="BQ8" s="105">
        <v>6</v>
      </c>
      <c r="BR8" s="105">
        <v>4</v>
      </c>
      <c r="BS8" s="105">
        <v>7</v>
      </c>
      <c r="BT8" s="105">
        <v>6</v>
      </c>
      <c r="BU8" s="105">
        <v>3</v>
      </c>
      <c r="BV8" s="105">
        <v>2</v>
      </c>
      <c r="BW8" s="105">
        <v>2</v>
      </c>
      <c r="BX8" s="110">
        <f t="shared" si="1"/>
        <v>71</v>
      </c>
      <c r="BY8" s="110">
        <f t="shared" si="1"/>
        <v>68</v>
      </c>
      <c r="BZ8" s="114">
        <f>BY8+BX8</f>
        <v>139</v>
      </c>
    </row>
    <row r="9" spans="1:78" ht="80.099999999999994" customHeight="1">
      <c r="A9" s="104">
        <v>4</v>
      </c>
      <c r="B9" s="99" t="s">
        <v>120</v>
      </c>
      <c r="C9" s="100" t="s">
        <v>51</v>
      </c>
      <c r="D9" s="72">
        <v>350000</v>
      </c>
      <c r="E9" s="72">
        <v>500</v>
      </c>
      <c r="F9" s="72">
        <v>230</v>
      </c>
      <c r="G9" s="115">
        <v>80</v>
      </c>
      <c r="H9" s="115">
        <v>104</v>
      </c>
      <c r="I9" s="173">
        <f>SUM(G9:H9)</f>
        <v>184</v>
      </c>
      <c r="J9" s="173">
        <v>184</v>
      </c>
      <c r="K9" s="115">
        <v>2</v>
      </c>
      <c r="L9" s="115">
        <v>1</v>
      </c>
      <c r="M9" s="104">
        <f>SUM(K9:L9)</f>
        <v>3</v>
      </c>
      <c r="N9" s="115">
        <v>0</v>
      </c>
      <c r="O9" s="115">
        <v>0</v>
      </c>
      <c r="P9" s="104">
        <f>SUM(N9:O9)</f>
        <v>0</v>
      </c>
      <c r="Q9" s="115">
        <v>0</v>
      </c>
      <c r="R9" s="115">
        <v>0</v>
      </c>
      <c r="S9" s="104">
        <f>SUM(Q9:R9)</f>
        <v>0</v>
      </c>
      <c r="T9" s="104">
        <v>0</v>
      </c>
      <c r="U9" s="104">
        <v>0</v>
      </c>
      <c r="V9" s="104">
        <v>0</v>
      </c>
      <c r="W9" s="106">
        <f>I9/F9</f>
        <v>0.8</v>
      </c>
      <c r="X9" s="106">
        <f>I9*4/(D9*0.0008)</f>
        <v>2.6285714285714286</v>
      </c>
      <c r="Y9" s="109"/>
      <c r="Z9" s="109"/>
      <c r="AA9" s="109"/>
      <c r="AB9" s="115"/>
      <c r="AC9" s="115">
        <v>41</v>
      </c>
      <c r="AD9" s="115">
        <v>87</v>
      </c>
      <c r="AE9" s="115"/>
      <c r="AF9" s="115"/>
      <c r="AG9" s="109">
        <f>AC9+AD9</f>
        <v>128</v>
      </c>
      <c r="AH9" s="109"/>
      <c r="AI9" s="104"/>
      <c r="AJ9" s="104"/>
      <c r="AK9" s="115"/>
      <c r="AL9" s="115">
        <v>30</v>
      </c>
      <c r="AM9" s="115">
        <v>49</v>
      </c>
      <c r="AN9" s="115"/>
      <c r="AO9" s="115"/>
      <c r="AP9" s="109">
        <f>AL9+AM9</f>
        <v>79</v>
      </c>
      <c r="AQ9" s="110">
        <f t="shared" si="0"/>
        <v>153</v>
      </c>
      <c r="AR9" s="110">
        <f t="shared" si="0"/>
        <v>241</v>
      </c>
      <c r="AS9" s="114">
        <v>153</v>
      </c>
      <c r="AT9" s="114">
        <v>241</v>
      </c>
      <c r="AU9" s="111">
        <f>AQ9+AR9</f>
        <v>394</v>
      </c>
      <c r="AV9" s="107">
        <f>I9/(I9+AG9)</f>
        <v>0.58974358974358976</v>
      </c>
      <c r="AW9" s="107">
        <v>0.59</v>
      </c>
      <c r="AX9" s="107">
        <f>AU9/E9</f>
        <v>0.78800000000000003</v>
      </c>
      <c r="AY9" s="106">
        <f>AU9*4/(D9*0.00177)</f>
        <v>2.5439870863599676</v>
      </c>
      <c r="AZ9" s="106">
        <f>(M9+P9+S9)/AU9</f>
        <v>7.6142131979695434E-3</v>
      </c>
      <c r="BA9" s="116">
        <f>I9*4/D9*100000</f>
        <v>210.28571428571428</v>
      </c>
      <c r="BB9" s="117">
        <f>AU9*4/D9*100000</f>
        <v>450.28571428571428</v>
      </c>
      <c r="BC9" s="117"/>
      <c r="BD9" s="117"/>
      <c r="BE9" s="104">
        <v>4</v>
      </c>
      <c r="BF9" s="99" t="s">
        <v>120</v>
      </c>
      <c r="BG9" s="100" t="s">
        <v>51</v>
      </c>
      <c r="BH9" s="226">
        <v>0</v>
      </c>
      <c r="BI9" s="226">
        <v>0</v>
      </c>
      <c r="BJ9" s="115">
        <v>3</v>
      </c>
      <c r="BK9" s="115">
        <v>7</v>
      </c>
      <c r="BL9" s="115">
        <v>34</v>
      </c>
      <c r="BM9" s="115">
        <v>51</v>
      </c>
      <c r="BN9" s="115">
        <v>19</v>
      </c>
      <c r="BO9" s="115">
        <v>22</v>
      </c>
      <c r="BP9" s="115">
        <v>3</v>
      </c>
      <c r="BQ9" s="115">
        <v>10</v>
      </c>
      <c r="BR9" s="115">
        <v>11</v>
      </c>
      <c r="BS9" s="115">
        <v>6</v>
      </c>
      <c r="BT9" s="115">
        <v>8</v>
      </c>
      <c r="BU9" s="115">
        <v>3</v>
      </c>
      <c r="BV9" s="115">
        <v>2</v>
      </c>
      <c r="BW9" s="115">
        <v>5</v>
      </c>
      <c r="BX9" s="110">
        <f t="shared" si="1"/>
        <v>80</v>
      </c>
      <c r="BY9" s="110">
        <f t="shared" si="1"/>
        <v>104</v>
      </c>
      <c r="BZ9" s="114">
        <f>BY9+BX9</f>
        <v>184</v>
      </c>
    </row>
    <row r="10" spans="1:78" ht="80.099999999999994" customHeight="1">
      <c r="A10" s="235">
        <v>5</v>
      </c>
      <c r="B10" s="236" t="s">
        <v>121</v>
      </c>
      <c r="C10" s="237" t="s">
        <v>122</v>
      </c>
      <c r="D10" s="238">
        <v>1750000</v>
      </c>
      <c r="E10" s="238">
        <f t="shared" ref="E10:V10" si="2">SUM(E6:E9)</f>
        <v>1468</v>
      </c>
      <c r="F10" s="238">
        <f t="shared" si="2"/>
        <v>670</v>
      </c>
      <c r="G10" s="239">
        <f t="shared" si="2"/>
        <v>240</v>
      </c>
      <c r="H10" s="239">
        <f t="shared" si="2"/>
        <v>233</v>
      </c>
      <c r="I10" s="603">
        <f t="shared" si="2"/>
        <v>473</v>
      </c>
      <c r="J10" s="603">
        <v>473</v>
      </c>
      <c r="K10" s="239">
        <f t="shared" si="2"/>
        <v>15</v>
      </c>
      <c r="L10" s="239">
        <f t="shared" si="2"/>
        <v>8</v>
      </c>
      <c r="M10" s="235">
        <f t="shared" si="2"/>
        <v>23</v>
      </c>
      <c r="N10" s="239">
        <f t="shared" si="2"/>
        <v>0</v>
      </c>
      <c r="O10" s="239">
        <f t="shared" si="2"/>
        <v>1</v>
      </c>
      <c r="P10" s="235">
        <f t="shared" si="2"/>
        <v>1</v>
      </c>
      <c r="Q10" s="239">
        <f t="shared" si="2"/>
        <v>10</v>
      </c>
      <c r="R10" s="239">
        <f t="shared" si="2"/>
        <v>1</v>
      </c>
      <c r="S10" s="235">
        <f t="shared" si="2"/>
        <v>11</v>
      </c>
      <c r="T10" s="239">
        <f t="shared" si="2"/>
        <v>0</v>
      </c>
      <c r="U10" s="239">
        <f t="shared" si="2"/>
        <v>0</v>
      </c>
      <c r="V10" s="239">
        <f t="shared" si="2"/>
        <v>0</v>
      </c>
      <c r="W10" s="240">
        <f>I10/F10</f>
        <v>0.70597014925373136</v>
      </c>
      <c r="X10" s="240">
        <f>I10*4/(D10*0.0008)</f>
        <v>1.3514285714285714</v>
      </c>
      <c r="Y10" s="241"/>
      <c r="Z10" s="241"/>
      <c r="AA10" s="241"/>
      <c r="AB10" s="239"/>
      <c r="AC10" s="239">
        <f>SUM(AC6:AC9)</f>
        <v>86</v>
      </c>
      <c r="AD10" s="239">
        <f>SUM(AD6:AD9)</f>
        <v>144</v>
      </c>
      <c r="AE10" s="239"/>
      <c r="AF10" s="239"/>
      <c r="AG10" s="109">
        <f>SUM(AG6:AG9)</f>
        <v>230</v>
      </c>
      <c r="AH10" s="241"/>
      <c r="AI10" s="235"/>
      <c r="AJ10" s="235"/>
      <c r="AK10" s="239"/>
      <c r="AL10" s="239">
        <f>SUM(AL6:AL9)</f>
        <v>76</v>
      </c>
      <c r="AM10" s="239">
        <f>SUM(AM6:AM9)</f>
        <v>107</v>
      </c>
      <c r="AN10" s="239"/>
      <c r="AO10" s="239"/>
      <c r="AP10" s="241">
        <f>SUM(AP6:AP9)</f>
        <v>183</v>
      </c>
      <c r="AQ10" s="235">
        <f>SUM(AQ6:AQ9)</f>
        <v>427</v>
      </c>
      <c r="AR10" s="235">
        <f>SUM(AR6:AR9)</f>
        <v>494</v>
      </c>
      <c r="AS10" s="343">
        <f>SUM(AS6:AS9)</f>
        <v>427</v>
      </c>
      <c r="AT10" s="343">
        <f>SUM(AT6:AT9)</f>
        <v>494</v>
      </c>
      <c r="AU10" s="111">
        <f>AQ10+AR10</f>
        <v>921</v>
      </c>
      <c r="AV10" s="107">
        <f>I10/(I10+AG10)</f>
        <v>0.67283072546230438</v>
      </c>
      <c r="AW10" s="107">
        <v>0.67</v>
      </c>
      <c r="AX10" s="240">
        <f>AU10/E10</f>
        <v>0.62738419618528607</v>
      </c>
      <c r="AY10" s="240">
        <f>AU10*4/(D10*0.00177)</f>
        <v>1.1893462469733656</v>
      </c>
      <c r="AZ10" s="240">
        <f>(M10+P10+S10)/AU10</f>
        <v>3.8002171552660155E-2</v>
      </c>
      <c r="BA10" s="242">
        <f>I10*4/D10*100000</f>
        <v>108.11428571428571</v>
      </c>
      <c r="BB10" s="243">
        <f>AU10*4/D10*100000</f>
        <v>210.51428571428571</v>
      </c>
      <c r="BC10" s="243"/>
      <c r="BD10" s="243"/>
      <c r="BE10" s="235">
        <v>5</v>
      </c>
      <c r="BF10" s="236" t="s">
        <v>121</v>
      </c>
      <c r="BG10" s="237" t="s">
        <v>122</v>
      </c>
      <c r="BH10" s="239">
        <f t="shared" ref="BH10:BW10" si="3">SUM(BH6:BH9)</f>
        <v>0</v>
      </c>
      <c r="BI10" s="239">
        <f t="shared" si="3"/>
        <v>0</v>
      </c>
      <c r="BJ10" s="239">
        <f t="shared" si="3"/>
        <v>6</v>
      </c>
      <c r="BK10" s="239">
        <f t="shared" si="3"/>
        <v>22</v>
      </c>
      <c r="BL10" s="239">
        <f t="shared" si="3"/>
        <v>98</v>
      </c>
      <c r="BM10" s="239">
        <f t="shared" si="3"/>
        <v>103</v>
      </c>
      <c r="BN10" s="239">
        <f t="shared" si="3"/>
        <v>55</v>
      </c>
      <c r="BO10" s="239">
        <f t="shared" si="3"/>
        <v>48</v>
      </c>
      <c r="BP10" s="239">
        <f t="shared" si="3"/>
        <v>29</v>
      </c>
      <c r="BQ10" s="239">
        <f t="shared" si="3"/>
        <v>26</v>
      </c>
      <c r="BR10" s="239">
        <f t="shared" si="3"/>
        <v>24</v>
      </c>
      <c r="BS10" s="239">
        <f t="shared" si="3"/>
        <v>19</v>
      </c>
      <c r="BT10" s="239">
        <f t="shared" si="3"/>
        <v>17</v>
      </c>
      <c r="BU10" s="239">
        <f t="shared" si="3"/>
        <v>8</v>
      </c>
      <c r="BV10" s="239">
        <f t="shared" si="3"/>
        <v>11</v>
      </c>
      <c r="BW10" s="239">
        <f t="shared" si="3"/>
        <v>7</v>
      </c>
      <c r="BX10" s="235">
        <f t="shared" si="1"/>
        <v>240</v>
      </c>
      <c r="BY10" s="235">
        <f t="shared" si="1"/>
        <v>233</v>
      </c>
      <c r="BZ10" s="235">
        <f>BX10+BY10</f>
        <v>473</v>
      </c>
    </row>
    <row r="11" spans="1:78" ht="80.099999999999994" customHeight="1">
      <c r="A11" s="118"/>
      <c r="B11" s="118"/>
      <c r="C11" s="118"/>
      <c r="D11" s="118"/>
      <c r="E11" s="118"/>
      <c r="F11" s="118"/>
      <c r="G11" s="118">
        <v>240</v>
      </c>
      <c r="H11" s="118">
        <v>233</v>
      </c>
      <c r="I11" s="118"/>
      <c r="J11" s="118"/>
      <c r="K11" s="118">
        <v>15</v>
      </c>
      <c r="L11" s="118">
        <v>8</v>
      </c>
      <c r="M11" s="118">
        <v>23</v>
      </c>
      <c r="N11" s="118">
        <v>0</v>
      </c>
      <c r="O11" s="118">
        <v>1</v>
      </c>
      <c r="P11" s="118">
        <v>1</v>
      </c>
      <c r="Q11" s="118">
        <v>10</v>
      </c>
      <c r="R11" s="118">
        <v>1</v>
      </c>
      <c r="S11" s="118">
        <v>11</v>
      </c>
      <c r="T11" s="118"/>
      <c r="U11" s="118"/>
      <c r="V11" s="118"/>
      <c r="W11" s="118"/>
      <c r="X11" s="118"/>
      <c r="Y11" s="118"/>
      <c r="Z11" s="118"/>
      <c r="AA11" s="118"/>
      <c r="AB11" s="118"/>
      <c r="AC11" s="118">
        <v>86</v>
      </c>
      <c r="AD11" s="118">
        <v>144</v>
      </c>
      <c r="AE11" s="118"/>
      <c r="AF11" s="118"/>
      <c r="AG11" s="118"/>
      <c r="AH11" s="118"/>
      <c r="AI11" s="118"/>
      <c r="AJ11" s="118"/>
      <c r="AK11" s="118"/>
      <c r="AL11" s="118">
        <v>76</v>
      </c>
      <c r="AM11" s="118">
        <v>107</v>
      </c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</row>
    <row r="12" spans="1:78" ht="80.099999999999994" customHeight="1">
      <c r="A12" s="118"/>
      <c r="B12" s="118"/>
      <c r="C12" s="118"/>
      <c r="D12" s="118"/>
      <c r="E12" s="118">
        <f>E10*4</f>
        <v>5872</v>
      </c>
      <c r="F12" s="118">
        <f>F10*4</f>
        <v>2680</v>
      </c>
      <c r="G12" s="118"/>
      <c r="H12" s="118"/>
      <c r="I12" s="118"/>
      <c r="J12" s="118"/>
      <c r="K12" s="118"/>
      <c r="L12" s="118"/>
      <c r="M12">
        <v>9</v>
      </c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</row>
    <row r="13" spans="1:78" ht="80.099999999999994" customHeight="1">
      <c r="A13" s="807" t="s">
        <v>40</v>
      </c>
      <c r="B13" s="808"/>
      <c r="C13" s="101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809" t="s">
        <v>40</v>
      </c>
      <c r="BF13" s="810"/>
      <c r="BG13" s="101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</row>
    <row r="14" spans="1:78" ht="80.099999999999994" customHeight="1">
      <c r="A14" s="821" t="s">
        <v>106</v>
      </c>
      <c r="B14" s="821"/>
      <c r="C14" s="82"/>
      <c r="D14" s="83"/>
      <c r="E14" s="83"/>
      <c r="F14" s="83"/>
      <c r="G14" s="742" t="s">
        <v>34</v>
      </c>
      <c r="H14" s="742"/>
      <c r="I14" s="742"/>
      <c r="J14" s="742"/>
      <c r="K14" s="742"/>
      <c r="L14" s="742"/>
      <c r="M14" s="742"/>
      <c r="N14" s="742"/>
      <c r="O14" s="742"/>
      <c r="P14" s="742"/>
      <c r="Q14" s="742"/>
      <c r="R14" s="742"/>
      <c r="S14" s="742"/>
      <c r="T14" s="84"/>
      <c r="U14" s="84"/>
      <c r="V14" s="84"/>
      <c r="W14" s="84"/>
      <c r="X14" s="85"/>
      <c r="Y14" s="742" t="s">
        <v>28</v>
      </c>
      <c r="Z14" s="742"/>
      <c r="AA14" s="742"/>
      <c r="AB14" s="742"/>
      <c r="AC14" s="742"/>
      <c r="AD14" s="742"/>
      <c r="AE14" s="742"/>
      <c r="AF14" s="742"/>
      <c r="AG14" s="742"/>
      <c r="AH14" s="742" t="s">
        <v>35</v>
      </c>
      <c r="AI14" s="742"/>
      <c r="AJ14" s="742"/>
      <c r="AK14" s="742"/>
      <c r="AL14" s="742"/>
      <c r="AM14" s="742"/>
      <c r="AN14" s="742"/>
      <c r="AO14" s="742"/>
      <c r="AP14" s="742"/>
      <c r="AQ14" s="86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8"/>
      <c r="BC14" s="87"/>
      <c r="BD14" s="87"/>
      <c r="BE14" s="811" t="s">
        <v>106</v>
      </c>
      <c r="BF14" s="812"/>
      <c r="BG14" s="89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</row>
    <row r="15" spans="1:78" ht="80.099999999999994" customHeight="1">
      <c r="A15" s="734" t="s">
        <v>2</v>
      </c>
      <c r="B15" s="734"/>
      <c r="C15" s="91"/>
      <c r="D15" s="92"/>
      <c r="E15" s="92"/>
      <c r="F15" s="92"/>
      <c r="G15" s="742" t="s">
        <v>10</v>
      </c>
      <c r="H15" s="742"/>
      <c r="I15" s="742"/>
      <c r="J15" s="50"/>
      <c r="K15" s="742" t="s">
        <v>29</v>
      </c>
      <c r="L15" s="742"/>
      <c r="M15" s="742"/>
      <c r="N15" s="742"/>
      <c r="O15" s="742"/>
      <c r="P15" s="742"/>
      <c r="Q15" s="742"/>
      <c r="R15" s="742"/>
      <c r="S15" s="742"/>
      <c r="T15" s="93"/>
      <c r="U15" s="93"/>
      <c r="V15" s="93"/>
      <c r="W15" s="93"/>
      <c r="X15" s="94"/>
      <c r="Y15" s="742" t="s">
        <v>12</v>
      </c>
      <c r="Z15" s="742"/>
      <c r="AA15" s="742"/>
      <c r="AB15" s="742"/>
      <c r="AC15" s="742"/>
      <c r="AD15" s="742"/>
      <c r="AE15" s="742"/>
      <c r="AF15" s="742"/>
      <c r="AG15" s="742"/>
      <c r="AH15" s="742"/>
      <c r="AI15" s="742"/>
      <c r="AJ15" s="742"/>
      <c r="AK15" s="742"/>
      <c r="AL15" s="742"/>
      <c r="AM15" s="742"/>
      <c r="AN15" s="742"/>
      <c r="AO15" s="742"/>
      <c r="AP15" s="742"/>
      <c r="AQ15" s="91"/>
      <c r="AR15" s="95"/>
      <c r="AS15" s="95"/>
      <c r="AT15" s="95"/>
      <c r="AU15" s="95"/>
      <c r="AV15" s="96"/>
      <c r="AW15" s="96"/>
      <c r="AX15" s="96"/>
      <c r="AY15" s="96"/>
      <c r="AZ15" s="96"/>
      <c r="BA15" s="96"/>
      <c r="BB15" s="97"/>
      <c r="BC15" s="96"/>
      <c r="BD15" s="96"/>
      <c r="BE15" s="813" t="s">
        <v>3</v>
      </c>
      <c r="BF15" s="814"/>
      <c r="BG15" s="98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</row>
    <row r="16" spans="1:78" ht="80.099999999999994" customHeight="1">
      <c r="A16" s="734" t="s">
        <v>0</v>
      </c>
      <c r="B16" s="815" t="s">
        <v>42</v>
      </c>
      <c r="C16" s="815" t="s">
        <v>43</v>
      </c>
      <c r="D16" s="734" t="s">
        <v>44</v>
      </c>
      <c r="E16" s="805" t="s">
        <v>146</v>
      </c>
      <c r="F16" s="805" t="s">
        <v>129</v>
      </c>
      <c r="G16" s="742"/>
      <c r="H16" s="742"/>
      <c r="I16" s="742"/>
      <c r="J16" s="50"/>
      <c r="K16" s="742" t="s">
        <v>11</v>
      </c>
      <c r="L16" s="742"/>
      <c r="M16" s="742"/>
      <c r="N16" s="742" t="s">
        <v>38</v>
      </c>
      <c r="O16" s="742"/>
      <c r="P16" s="742"/>
      <c r="Q16" s="742" t="s">
        <v>39</v>
      </c>
      <c r="R16" s="742"/>
      <c r="S16" s="742"/>
      <c r="T16" s="817" t="s">
        <v>47</v>
      </c>
      <c r="U16" s="818"/>
      <c r="V16" s="819"/>
      <c r="W16" s="742" t="s">
        <v>126</v>
      </c>
      <c r="X16" s="742" t="s">
        <v>13</v>
      </c>
      <c r="Y16" s="734" t="s">
        <v>30</v>
      </c>
      <c r="Z16" s="734"/>
      <c r="AA16" s="734" t="s">
        <v>23</v>
      </c>
      <c r="AB16" s="734"/>
      <c r="AC16" s="734" t="s">
        <v>31</v>
      </c>
      <c r="AD16" s="734"/>
      <c r="AE16" s="248"/>
      <c r="AF16" s="248"/>
      <c r="AG16" s="734" t="s">
        <v>32</v>
      </c>
      <c r="AH16" s="734" t="s">
        <v>30</v>
      </c>
      <c r="AI16" s="734"/>
      <c r="AJ16" s="734" t="s">
        <v>23</v>
      </c>
      <c r="AK16" s="734"/>
      <c r="AL16" s="734" t="s">
        <v>31</v>
      </c>
      <c r="AM16" s="734"/>
      <c r="AN16" s="248"/>
      <c r="AO16" s="248"/>
      <c r="AP16" s="734" t="s">
        <v>32</v>
      </c>
      <c r="AQ16" s="742" t="s">
        <v>33</v>
      </c>
      <c r="AR16" s="742"/>
      <c r="AS16" s="742"/>
      <c r="AT16" s="742"/>
      <c r="AU16" s="742"/>
      <c r="AV16" s="743" t="s">
        <v>22</v>
      </c>
      <c r="AW16" s="81"/>
      <c r="AX16" s="742" t="s">
        <v>145</v>
      </c>
      <c r="AY16" s="742" t="s">
        <v>14</v>
      </c>
      <c r="AZ16" s="742" t="s">
        <v>18</v>
      </c>
      <c r="BA16" s="742" t="s">
        <v>19</v>
      </c>
      <c r="BB16" s="742" t="s">
        <v>20</v>
      </c>
      <c r="BC16" s="80"/>
      <c r="BD16" s="80"/>
      <c r="BE16" s="814" t="s">
        <v>0</v>
      </c>
      <c r="BF16" s="815" t="s">
        <v>42</v>
      </c>
      <c r="BG16" s="815" t="s">
        <v>43</v>
      </c>
      <c r="BH16" s="734" t="s">
        <v>36</v>
      </c>
      <c r="BI16" s="734"/>
      <c r="BJ16" s="744" t="s">
        <v>141</v>
      </c>
      <c r="BK16" s="744"/>
      <c r="BL16" s="734" t="s">
        <v>4</v>
      </c>
      <c r="BM16" s="734"/>
      <c r="BN16" s="734" t="s">
        <v>5</v>
      </c>
      <c r="BO16" s="734"/>
      <c r="BP16" s="734" t="s">
        <v>6</v>
      </c>
      <c r="BQ16" s="734"/>
      <c r="BR16" s="734" t="s">
        <v>7</v>
      </c>
      <c r="BS16" s="734"/>
      <c r="BT16" s="734" t="s">
        <v>8</v>
      </c>
      <c r="BU16" s="734"/>
      <c r="BV16" s="734" t="s">
        <v>9</v>
      </c>
      <c r="BW16" s="734"/>
      <c r="BX16" s="734" t="s">
        <v>21</v>
      </c>
      <c r="BY16" s="734"/>
      <c r="BZ16" s="734"/>
    </row>
    <row r="17" spans="1:78" ht="80.099999999999994" customHeight="1">
      <c r="A17" s="734"/>
      <c r="B17" s="816"/>
      <c r="C17" s="816"/>
      <c r="D17" s="734"/>
      <c r="E17" s="806"/>
      <c r="F17" s="806"/>
      <c r="G17" s="50" t="s">
        <v>16</v>
      </c>
      <c r="H17" s="50" t="s">
        <v>17</v>
      </c>
      <c r="I17" s="50" t="s">
        <v>32</v>
      </c>
      <c r="J17" s="50"/>
      <c r="K17" s="50" t="s">
        <v>16</v>
      </c>
      <c r="L17" s="50" t="s">
        <v>17</v>
      </c>
      <c r="M17" s="50" t="s">
        <v>32</v>
      </c>
      <c r="N17" s="50" t="s">
        <v>16</v>
      </c>
      <c r="O17" s="50" t="s">
        <v>17</v>
      </c>
      <c r="P17" s="50" t="s">
        <v>32</v>
      </c>
      <c r="Q17" s="50" t="s">
        <v>16</v>
      </c>
      <c r="R17" s="50" t="s">
        <v>17</v>
      </c>
      <c r="S17" s="50" t="s">
        <v>32</v>
      </c>
      <c r="T17" s="50" t="s">
        <v>16</v>
      </c>
      <c r="U17" s="50" t="s">
        <v>17</v>
      </c>
      <c r="V17" s="50" t="s">
        <v>32</v>
      </c>
      <c r="W17" s="742"/>
      <c r="X17" s="742"/>
      <c r="Y17" s="50" t="s">
        <v>16</v>
      </c>
      <c r="Z17" s="50" t="s">
        <v>17</v>
      </c>
      <c r="AA17" s="50" t="s">
        <v>16</v>
      </c>
      <c r="AB17" s="50" t="s">
        <v>17</v>
      </c>
      <c r="AC17" s="50" t="s">
        <v>16</v>
      </c>
      <c r="AD17" s="50" t="s">
        <v>17</v>
      </c>
      <c r="AE17" s="50"/>
      <c r="AF17" s="50"/>
      <c r="AG17" s="734"/>
      <c r="AH17" s="50" t="s">
        <v>16</v>
      </c>
      <c r="AI17" s="50" t="s">
        <v>17</v>
      </c>
      <c r="AJ17" s="50" t="s">
        <v>16</v>
      </c>
      <c r="AK17" s="50" t="s">
        <v>17</v>
      </c>
      <c r="AL17" s="50" t="s">
        <v>16</v>
      </c>
      <c r="AM17" s="50" t="s">
        <v>17</v>
      </c>
      <c r="AN17" s="50"/>
      <c r="AO17" s="50"/>
      <c r="AP17" s="734"/>
      <c r="AQ17" s="50" t="s">
        <v>16</v>
      </c>
      <c r="AR17" s="50" t="s">
        <v>17</v>
      </c>
      <c r="AS17" s="50"/>
      <c r="AT17" s="50"/>
      <c r="AU17" s="50" t="s">
        <v>32</v>
      </c>
      <c r="AV17" s="743"/>
      <c r="AW17" s="81"/>
      <c r="AX17" s="742"/>
      <c r="AY17" s="742"/>
      <c r="AZ17" s="742"/>
      <c r="BA17" s="742"/>
      <c r="BB17" s="742"/>
      <c r="BC17" s="80"/>
      <c r="BD17" s="80"/>
      <c r="BE17" s="814"/>
      <c r="BF17" s="816"/>
      <c r="BG17" s="816"/>
      <c r="BH17" s="50" t="s">
        <v>16</v>
      </c>
      <c r="BI17" s="50" t="s">
        <v>17</v>
      </c>
      <c r="BJ17" s="50" t="s">
        <v>16</v>
      </c>
      <c r="BK17" s="50" t="s">
        <v>17</v>
      </c>
      <c r="BL17" s="50" t="s">
        <v>16</v>
      </c>
      <c r="BM17" s="50" t="s">
        <v>17</v>
      </c>
      <c r="BN17" s="50" t="s">
        <v>16</v>
      </c>
      <c r="BO17" s="50" t="s">
        <v>17</v>
      </c>
      <c r="BP17" s="50" t="s">
        <v>16</v>
      </c>
      <c r="BQ17" s="50" t="s">
        <v>17</v>
      </c>
      <c r="BR17" s="50" t="s">
        <v>16</v>
      </c>
      <c r="BS17" s="50" t="s">
        <v>17</v>
      </c>
      <c r="BT17" s="50" t="s">
        <v>16</v>
      </c>
      <c r="BU17" s="50" t="s">
        <v>17</v>
      </c>
      <c r="BV17" s="50" t="s">
        <v>16</v>
      </c>
      <c r="BW17" s="50" t="s">
        <v>17</v>
      </c>
      <c r="BX17" s="50" t="s">
        <v>16</v>
      </c>
      <c r="BY17" s="50" t="s">
        <v>17</v>
      </c>
      <c r="BZ17" s="79" t="s">
        <v>32</v>
      </c>
    </row>
    <row r="18" spans="1:78" ht="80.099999999999994" customHeight="1">
      <c r="A18" s="104">
        <v>1</v>
      </c>
      <c r="B18" s="99" t="s">
        <v>116</v>
      </c>
      <c r="C18" s="100" t="s">
        <v>117</v>
      </c>
      <c r="D18" s="72">
        <v>500000</v>
      </c>
      <c r="E18" s="72">
        <f>(F18*2)+F18*0.25</f>
        <v>225</v>
      </c>
      <c r="F18" s="72">
        <v>100</v>
      </c>
      <c r="G18" s="105">
        <v>66</v>
      </c>
      <c r="H18" s="105">
        <v>42</v>
      </c>
      <c r="I18" s="173">
        <f>SUM(G18:H18)</f>
        <v>108</v>
      </c>
      <c r="J18" s="173">
        <v>108</v>
      </c>
      <c r="K18" s="105">
        <v>2</v>
      </c>
      <c r="L18" s="105">
        <v>2</v>
      </c>
      <c r="M18" s="104">
        <f>SUM(K18:L18)</f>
        <v>4</v>
      </c>
      <c r="N18" s="105">
        <v>0</v>
      </c>
      <c r="O18" s="105">
        <v>0</v>
      </c>
      <c r="P18" s="104">
        <f>SUM(N18:O18)</f>
        <v>0</v>
      </c>
      <c r="Q18" s="105">
        <v>1</v>
      </c>
      <c r="R18" s="105">
        <v>0</v>
      </c>
      <c r="S18" s="104">
        <f>SUM(Q18:R18)</f>
        <v>1</v>
      </c>
      <c r="T18" s="104"/>
      <c r="U18" s="104"/>
      <c r="V18" s="104"/>
      <c r="W18" s="106">
        <f>I18/F18</f>
        <v>1.08</v>
      </c>
      <c r="X18" s="107">
        <f>I18*4/(D18*0.0008)</f>
        <v>1.08</v>
      </c>
      <c r="Y18" s="108"/>
      <c r="Z18" s="108"/>
      <c r="AA18" s="108"/>
      <c r="AB18" s="105"/>
      <c r="AC18" s="105">
        <v>9</v>
      </c>
      <c r="AD18" s="105">
        <v>11</v>
      </c>
      <c r="AE18" s="105"/>
      <c r="AF18" s="105"/>
      <c r="AG18" s="109">
        <f>AC18+AD18</f>
        <v>20</v>
      </c>
      <c r="AH18" s="108"/>
      <c r="AI18" s="110"/>
      <c r="AJ18" s="110"/>
      <c r="AK18" s="105"/>
      <c r="AL18" s="105">
        <v>21</v>
      </c>
      <c r="AM18" s="105">
        <v>32</v>
      </c>
      <c r="AN18" s="105"/>
      <c r="AO18" s="105"/>
      <c r="AP18" s="109">
        <f>AL18+AM18</f>
        <v>53</v>
      </c>
      <c r="AQ18" s="110">
        <f t="shared" ref="AQ18:AR22" si="4">AL18+AJ18+AH18+AC18+AA18+Y18+T18+Q18+N18+K18+G18</f>
        <v>99</v>
      </c>
      <c r="AR18" s="110">
        <f t="shared" si="4"/>
        <v>87</v>
      </c>
      <c r="AS18" s="110">
        <v>99</v>
      </c>
      <c r="AT18" s="110">
        <v>87</v>
      </c>
      <c r="AU18" s="109">
        <f>AQ18+AR18</f>
        <v>186</v>
      </c>
      <c r="AV18" s="107">
        <f>I18/(I18+AG18)</f>
        <v>0.84375</v>
      </c>
      <c r="AW18" s="107">
        <v>0.84</v>
      </c>
      <c r="AX18" s="107">
        <f>AU18/E18</f>
        <v>0.82666666666666666</v>
      </c>
      <c r="AY18" s="107">
        <f>AU18*4/(D18*0.00177)</f>
        <v>0.84067796610169487</v>
      </c>
      <c r="AZ18" s="107">
        <f>(M18+P18+S18)/AU18</f>
        <v>2.6881720430107527E-2</v>
      </c>
      <c r="BA18" s="112">
        <f>I18*4/D18*100000</f>
        <v>86.399999999999991</v>
      </c>
      <c r="BB18" s="113">
        <f>AU18*4/D18*100000</f>
        <v>148.79999999999998</v>
      </c>
      <c r="BC18" s="113"/>
      <c r="BD18" s="113"/>
      <c r="BE18" s="104">
        <v>1</v>
      </c>
      <c r="BF18" s="99" t="s">
        <v>116</v>
      </c>
      <c r="BG18" s="100" t="s">
        <v>117</v>
      </c>
      <c r="BH18" s="226">
        <v>0</v>
      </c>
      <c r="BI18" s="226">
        <v>0</v>
      </c>
      <c r="BJ18" s="105">
        <v>0</v>
      </c>
      <c r="BK18" s="105">
        <v>0</v>
      </c>
      <c r="BL18" s="105">
        <v>10</v>
      </c>
      <c r="BM18" s="105">
        <v>19</v>
      </c>
      <c r="BN18" s="105">
        <v>20</v>
      </c>
      <c r="BO18" s="105">
        <v>5</v>
      </c>
      <c r="BP18" s="105">
        <v>14</v>
      </c>
      <c r="BQ18" s="105">
        <v>8</v>
      </c>
      <c r="BR18" s="105">
        <v>12</v>
      </c>
      <c r="BS18" s="105">
        <v>5</v>
      </c>
      <c r="BT18" s="105">
        <v>4</v>
      </c>
      <c r="BU18" s="105">
        <v>4</v>
      </c>
      <c r="BV18" s="105">
        <v>6</v>
      </c>
      <c r="BW18" s="105">
        <v>1</v>
      </c>
      <c r="BX18" s="110">
        <f t="shared" ref="BX18:BY22" si="5">BV18+BT18+BR18+BP18+BN18+BL18+BJ18+BH18</f>
        <v>66</v>
      </c>
      <c r="BY18" s="110">
        <f t="shared" si="5"/>
        <v>42</v>
      </c>
      <c r="BZ18" s="114">
        <f>BY18+BX18</f>
        <v>108</v>
      </c>
    </row>
    <row r="19" spans="1:78" ht="80.099999999999994" customHeight="1">
      <c r="A19" s="104">
        <v>2</v>
      </c>
      <c r="B19" s="99" t="s">
        <v>118</v>
      </c>
      <c r="C19" s="100" t="s">
        <v>80</v>
      </c>
      <c r="D19" s="72">
        <v>300000</v>
      </c>
      <c r="E19" s="72">
        <f>(F19*2)+F19*0.25</f>
        <v>225</v>
      </c>
      <c r="F19" s="72">
        <v>100</v>
      </c>
      <c r="G19" s="115">
        <v>18</v>
      </c>
      <c r="H19" s="115">
        <v>20</v>
      </c>
      <c r="I19" s="173">
        <f>SUM(G19:H19)</f>
        <v>38</v>
      </c>
      <c r="J19" s="173">
        <v>38</v>
      </c>
      <c r="K19" s="115">
        <v>5</v>
      </c>
      <c r="L19" s="115">
        <v>2</v>
      </c>
      <c r="M19" s="104">
        <f>SUM(K19:L19)</f>
        <v>7</v>
      </c>
      <c r="N19" s="115">
        <v>0</v>
      </c>
      <c r="O19" s="115">
        <v>0</v>
      </c>
      <c r="P19" s="104">
        <f>SUM(N19:O19)</f>
        <v>0</v>
      </c>
      <c r="Q19" s="115">
        <v>1</v>
      </c>
      <c r="R19" s="115">
        <v>0</v>
      </c>
      <c r="S19" s="104">
        <f>SUM(Q19:R19)</f>
        <v>1</v>
      </c>
      <c r="T19" s="104"/>
      <c r="U19" s="104"/>
      <c r="V19" s="104"/>
      <c r="W19" s="106">
        <f>I19/F19</f>
        <v>0.38</v>
      </c>
      <c r="X19" s="106">
        <f>I19*4/(D19*0.0008)</f>
        <v>0.6333333333333333</v>
      </c>
      <c r="Y19" s="109"/>
      <c r="Z19" s="109"/>
      <c r="AA19" s="109"/>
      <c r="AB19" s="115"/>
      <c r="AC19" s="115">
        <v>16</v>
      </c>
      <c r="AD19" s="115">
        <v>37</v>
      </c>
      <c r="AE19" s="115"/>
      <c r="AF19" s="115"/>
      <c r="AG19" s="109">
        <f>AC19+AD19</f>
        <v>53</v>
      </c>
      <c r="AH19" s="109"/>
      <c r="AI19" s="104"/>
      <c r="AJ19" s="104"/>
      <c r="AK19" s="115"/>
      <c r="AL19" s="115">
        <v>11</v>
      </c>
      <c r="AM19" s="115">
        <v>26</v>
      </c>
      <c r="AN19" s="115"/>
      <c r="AO19" s="115"/>
      <c r="AP19" s="109">
        <f>AL19+AM19</f>
        <v>37</v>
      </c>
      <c r="AQ19" s="110">
        <f t="shared" si="4"/>
        <v>51</v>
      </c>
      <c r="AR19" s="110">
        <f t="shared" si="4"/>
        <v>85</v>
      </c>
      <c r="AS19" s="110">
        <v>51</v>
      </c>
      <c r="AT19" s="110">
        <v>85</v>
      </c>
      <c r="AU19" s="109">
        <f>AQ19+AR19</f>
        <v>136</v>
      </c>
      <c r="AV19" s="107">
        <f>I19/(I19+AG19)</f>
        <v>0.4175824175824176</v>
      </c>
      <c r="AW19" s="107">
        <v>0.42</v>
      </c>
      <c r="AX19" s="107">
        <f>AU19/E19</f>
        <v>0.60444444444444445</v>
      </c>
      <c r="AY19" s="107">
        <f>AU19*4/(D19*0.00177)</f>
        <v>1.024482109227872</v>
      </c>
      <c r="AZ19" s="107">
        <f>(M19+P19+S19)/AU19</f>
        <v>5.8823529411764705E-2</v>
      </c>
      <c r="BA19" s="112">
        <f>I19*4/D19*100000</f>
        <v>50.666666666666664</v>
      </c>
      <c r="BB19" s="113">
        <f>AU19*4/D19*100000</f>
        <v>181.33333333333331</v>
      </c>
      <c r="BC19" s="113"/>
      <c r="BD19" s="117"/>
      <c r="BE19" s="104">
        <v>2</v>
      </c>
      <c r="BF19" s="99" t="s">
        <v>118</v>
      </c>
      <c r="BG19" s="100" t="s">
        <v>80</v>
      </c>
      <c r="BH19" s="226">
        <v>0</v>
      </c>
      <c r="BI19" s="226">
        <v>0</v>
      </c>
      <c r="BJ19" s="115">
        <v>0</v>
      </c>
      <c r="BK19" s="115">
        <v>2</v>
      </c>
      <c r="BL19" s="115">
        <v>7</v>
      </c>
      <c r="BM19" s="115">
        <v>6</v>
      </c>
      <c r="BN19" s="115">
        <v>4</v>
      </c>
      <c r="BO19" s="115">
        <v>4</v>
      </c>
      <c r="BP19" s="115">
        <v>4</v>
      </c>
      <c r="BQ19" s="115">
        <v>3</v>
      </c>
      <c r="BR19" s="115">
        <v>1</v>
      </c>
      <c r="BS19" s="115">
        <v>2</v>
      </c>
      <c r="BT19" s="115">
        <v>1</v>
      </c>
      <c r="BU19" s="115">
        <v>2</v>
      </c>
      <c r="BV19" s="115">
        <v>1</v>
      </c>
      <c r="BW19" s="115">
        <v>1</v>
      </c>
      <c r="BX19" s="104">
        <f t="shared" si="5"/>
        <v>18</v>
      </c>
      <c r="BY19" s="104">
        <f t="shared" si="5"/>
        <v>20</v>
      </c>
      <c r="BZ19" s="111">
        <f>BY19+BX19</f>
        <v>38</v>
      </c>
    </row>
    <row r="20" spans="1:78" ht="80.099999999999994" customHeight="1">
      <c r="A20" s="104">
        <v>3</v>
      </c>
      <c r="B20" s="99" t="s">
        <v>119</v>
      </c>
      <c r="C20" s="100" t="s">
        <v>55</v>
      </c>
      <c r="D20" s="72">
        <v>200000</v>
      </c>
      <c r="E20" s="72">
        <f>(F20*2)+F20*0.25</f>
        <v>495</v>
      </c>
      <c r="F20" s="72">
        <v>220</v>
      </c>
      <c r="G20" s="105">
        <v>72</v>
      </c>
      <c r="H20" s="105">
        <v>78</v>
      </c>
      <c r="I20" s="173">
        <f>SUM(G20:H20)</f>
        <v>150</v>
      </c>
      <c r="J20" s="173">
        <v>150</v>
      </c>
      <c r="K20" s="105">
        <v>5</v>
      </c>
      <c r="L20" s="105">
        <v>5</v>
      </c>
      <c r="M20" s="104">
        <f>SUM(K20:L20)</f>
        <v>10</v>
      </c>
      <c r="N20" s="105">
        <v>1</v>
      </c>
      <c r="O20" s="105">
        <v>0</v>
      </c>
      <c r="P20" s="104">
        <f>SUM(N20:O20)</f>
        <v>1</v>
      </c>
      <c r="Q20" s="105">
        <v>3</v>
      </c>
      <c r="R20" s="105">
        <v>0</v>
      </c>
      <c r="S20" s="104">
        <f>SUM(Q20:R20)</f>
        <v>3</v>
      </c>
      <c r="T20" s="104"/>
      <c r="U20" s="104"/>
      <c r="V20" s="104"/>
      <c r="W20" s="106">
        <f>I20/F20</f>
        <v>0.68181818181818177</v>
      </c>
      <c r="X20" s="107">
        <f>I20*4/(D20*0.0008)</f>
        <v>3.75</v>
      </c>
      <c r="Y20" s="108"/>
      <c r="Z20" s="108"/>
      <c r="AA20" s="108"/>
      <c r="AB20" s="105"/>
      <c r="AC20" s="105">
        <v>16</v>
      </c>
      <c r="AD20" s="105">
        <v>27</v>
      </c>
      <c r="AE20" s="105"/>
      <c r="AF20" s="105"/>
      <c r="AG20" s="109">
        <f>AC20+AD20</f>
        <v>43</v>
      </c>
      <c r="AH20" s="108"/>
      <c r="AI20" s="110"/>
      <c r="AJ20" s="110"/>
      <c r="AK20" s="105"/>
      <c r="AL20" s="105">
        <v>21</v>
      </c>
      <c r="AM20" s="105">
        <v>25</v>
      </c>
      <c r="AN20" s="105"/>
      <c r="AO20" s="105"/>
      <c r="AP20" s="109">
        <f>AL20+AM20</f>
        <v>46</v>
      </c>
      <c r="AQ20" s="110">
        <f t="shared" si="4"/>
        <v>118</v>
      </c>
      <c r="AR20" s="110">
        <f t="shared" si="4"/>
        <v>135</v>
      </c>
      <c r="AS20" s="110">
        <v>118</v>
      </c>
      <c r="AT20" s="110">
        <v>135</v>
      </c>
      <c r="AU20" s="109">
        <f>AQ20+AR20</f>
        <v>253</v>
      </c>
      <c r="AV20" s="107">
        <f>I20/(I20+AG20)</f>
        <v>0.77720207253886009</v>
      </c>
      <c r="AW20" s="107">
        <v>0.78</v>
      </c>
      <c r="AX20" s="107">
        <f>AU20/E20</f>
        <v>0.51111111111111107</v>
      </c>
      <c r="AY20" s="107">
        <f>AU20*4/(D20*0.00177)</f>
        <v>2.8587570621468927</v>
      </c>
      <c r="AZ20" s="107">
        <f>(M20+P20+S20)/AU20</f>
        <v>5.533596837944664E-2</v>
      </c>
      <c r="BA20" s="112">
        <f>I20*4/D20*100000</f>
        <v>300</v>
      </c>
      <c r="BB20" s="113">
        <f>AU20*4/D20*100000</f>
        <v>506</v>
      </c>
      <c r="BC20" s="113"/>
      <c r="BD20" s="113"/>
      <c r="BE20" s="104">
        <v>3</v>
      </c>
      <c r="BF20" s="99" t="s">
        <v>119</v>
      </c>
      <c r="BG20" s="100" t="s">
        <v>55</v>
      </c>
      <c r="BH20" s="226">
        <v>0</v>
      </c>
      <c r="BI20" s="226">
        <v>0</v>
      </c>
      <c r="BJ20" s="105">
        <v>4</v>
      </c>
      <c r="BK20" s="105">
        <v>5</v>
      </c>
      <c r="BL20" s="105">
        <v>20</v>
      </c>
      <c r="BM20" s="105">
        <v>41</v>
      </c>
      <c r="BN20" s="105">
        <v>17</v>
      </c>
      <c r="BO20" s="105">
        <v>17</v>
      </c>
      <c r="BP20" s="105">
        <v>9</v>
      </c>
      <c r="BQ20" s="105">
        <v>11</v>
      </c>
      <c r="BR20" s="105">
        <v>7</v>
      </c>
      <c r="BS20" s="105">
        <v>3</v>
      </c>
      <c r="BT20" s="105">
        <v>9</v>
      </c>
      <c r="BU20" s="105">
        <v>0</v>
      </c>
      <c r="BV20" s="105">
        <v>6</v>
      </c>
      <c r="BW20" s="105">
        <v>1</v>
      </c>
      <c r="BX20" s="110">
        <f t="shared" si="5"/>
        <v>72</v>
      </c>
      <c r="BY20" s="110">
        <f t="shared" si="5"/>
        <v>78</v>
      </c>
      <c r="BZ20" s="114">
        <f>BY20+BX20</f>
        <v>150</v>
      </c>
    </row>
    <row r="21" spans="1:78" ht="80.099999999999994" customHeight="1">
      <c r="A21" s="104">
        <v>4</v>
      </c>
      <c r="B21" s="99" t="s">
        <v>120</v>
      </c>
      <c r="C21" s="100" t="s">
        <v>51</v>
      </c>
      <c r="D21" s="72">
        <v>350000</v>
      </c>
      <c r="E21" s="72">
        <f>(F21*2)+F21*0.25</f>
        <v>495</v>
      </c>
      <c r="F21" s="72">
        <v>220</v>
      </c>
      <c r="G21" s="115">
        <v>77</v>
      </c>
      <c r="H21" s="115">
        <v>92</v>
      </c>
      <c r="I21" s="173">
        <f>SUM(G21:H21)</f>
        <v>169</v>
      </c>
      <c r="J21" s="173">
        <v>169</v>
      </c>
      <c r="K21" s="115">
        <v>0</v>
      </c>
      <c r="L21" s="115">
        <v>2</v>
      </c>
      <c r="M21" s="104">
        <f>SUM(K21:L21)</f>
        <v>2</v>
      </c>
      <c r="N21" s="115">
        <v>0</v>
      </c>
      <c r="O21" s="115">
        <v>0</v>
      </c>
      <c r="P21" s="104">
        <f>SUM(N21:O21)</f>
        <v>0</v>
      </c>
      <c r="Q21" s="115">
        <v>1</v>
      </c>
      <c r="R21" s="115">
        <v>0</v>
      </c>
      <c r="S21" s="104">
        <f>SUM(Q21:R21)</f>
        <v>1</v>
      </c>
      <c r="T21" s="104"/>
      <c r="U21" s="104"/>
      <c r="V21" s="104"/>
      <c r="W21" s="106">
        <f>I21/F21</f>
        <v>0.76818181818181819</v>
      </c>
      <c r="X21" s="106">
        <f>I21*4/(D21*0.0008)</f>
        <v>2.4142857142857141</v>
      </c>
      <c r="Y21" s="109"/>
      <c r="Z21" s="109"/>
      <c r="AA21" s="109"/>
      <c r="AB21" s="115"/>
      <c r="AC21" s="115">
        <v>48</v>
      </c>
      <c r="AD21" s="115">
        <v>77</v>
      </c>
      <c r="AE21" s="115"/>
      <c r="AF21" s="115"/>
      <c r="AG21" s="109">
        <f>AC21+AD21</f>
        <v>125</v>
      </c>
      <c r="AH21" s="109"/>
      <c r="AI21" s="104"/>
      <c r="AJ21" s="104"/>
      <c r="AK21" s="115"/>
      <c r="AL21" s="115">
        <v>26</v>
      </c>
      <c r="AM21" s="115">
        <v>61</v>
      </c>
      <c r="AN21" s="115"/>
      <c r="AO21" s="115"/>
      <c r="AP21" s="109">
        <f>AL21+AM21</f>
        <v>87</v>
      </c>
      <c r="AQ21" s="110">
        <f t="shared" si="4"/>
        <v>152</v>
      </c>
      <c r="AR21" s="110">
        <f t="shared" si="4"/>
        <v>232</v>
      </c>
      <c r="AS21" s="110">
        <v>152</v>
      </c>
      <c r="AT21" s="110">
        <v>232</v>
      </c>
      <c r="AU21" s="109">
        <f>AQ21+AR21</f>
        <v>384</v>
      </c>
      <c r="AV21" s="107">
        <f>I21/(I21+AG21)</f>
        <v>0.57482993197278909</v>
      </c>
      <c r="AW21" s="107">
        <v>0.56999999999999995</v>
      </c>
      <c r="AX21" s="107">
        <f>AU21/E21</f>
        <v>0.77575757575757576</v>
      </c>
      <c r="AY21" s="107">
        <f>AU21*4/(D21*0.00177)</f>
        <v>2.4794188861985473</v>
      </c>
      <c r="AZ21" s="107">
        <f>(M21+P21+S21)/AU21</f>
        <v>7.8125E-3</v>
      </c>
      <c r="BA21" s="112">
        <f>I21*4/D21*100000</f>
        <v>193.14285714285714</v>
      </c>
      <c r="BB21" s="113">
        <f>AU21*4/D21*100000</f>
        <v>438.85714285714283</v>
      </c>
      <c r="BC21" s="113"/>
      <c r="BD21" s="117"/>
      <c r="BE21" s="104">
        <v>4</v>
      </c>
      <c r="BF21" s="99" t="s">
        <v>120</v>
      </c>
      <c r="BG21" s="100" t="s">
        <v>51</v>
      </c>
      <c r="BH21" s="226">
        <v>0</v>
      </c>
      <c r="BI21" s="226">
        <v>0</v>
      </c>
      <c r="BJ21" s="105">
        <v>0</v>
      </c>
      <c r="BK21" s="105">
        <v>15</v>
      </c>
      <c r="BL21" s="105">
        <v>24</v>
      </c>
      <c r="BM21" s="105">
        <v>39</v>
      </c>
      <c r="BN21" s="105">
        <v>16</v>
      </c>
      <c r="BO21" s="105">
        <v>15</v>
      </c>
      <c r="BP21" s="105">
        <v>15</v>
      </c>
      <c r="BQ21" s="105">
        <v>7</v>
      </c>
      <c r="BR21" s="105">
        <v>10</v>
      </c>
      <c r="BS21" s="105">
        <v>10</v>
      </c>
      <c r="BT21" s="105">
        <v>9</v>
      </c>
      <c r="BU21" s="105">
        <v>6</v>
      </c>
      <c r="BV21" s="105">
        <v>3</v>
      </c>
      <c r="BW21" s="105">
        <v>0</v>
      </c>
      <c r="BX21" s="104">
        <f t="shared" si="5"/>
        <v>77</v>
      </c>
      <c r="BY21" s="104">
        <f t="shared" si="5"/>
        <v>92</v>
      </c>
      <c r="BZ21" s="111">
        <f>BY21+BX21</f>
        <v>169</v>
      </c>
    </row>
    <row r="22" spans="1:78" ht="80.099999999999994" customHeight="1">
      <c r="A22" s="268">
        <v>5</v>
      </c>
      <c r="B22" s="269" t="s">
        <v>121</v>
      </c>
      <c r="C22" s="270" t="s">
        <v>122</v>
      </c>
      <c r="D22" s="271">
        <v>1750000</v>
      </c>
      <c r="E22" s="271">
        <f>(F22*2)+F22*0.25</f>
        <v>1440</v>
      </c>
      <c r="F22" s="271">
        <f>SUM(F18:F21)</f>
        <v>640</v>
      </c>
      <c r="G22" s="226">
        <f>G18+G19+G20+G21</f>
        <v>233</v>
      </c>
      <c r="H22" s="226">
        <f>H18+H19+H20+H21</f>
        <v>232</v>
      </c>
      <c r="I22" s="277">
        <f>SUM(G22:H22)</f>
        <v>465</v>
      </c>
      <c r="J22" s="277">
        <v>465</v>
      </c>
      <c r="K22" s="226">
        <f>K18+K19+K20+K21</f>
        <v>12</v>
      </c>
      <c r="L22" s="226">
        <f>L18+L19+L20+L21</f>
        <v>11</v>
      </c>
      <c r="M22" s="268">
        <f>SUM(K22:L22)</f>
        <v>23</v>
      </c>
      <c r="N22" s="226">
        <f>N18+N19+N20+N21</f>
        <v>1</v>
      </c>
      <c r="O22" s="226">
        <f>O18+O19+O20+O21</f>
        <v>0</v>
      </c>
      <c r="P22" s="268">
        <f>SUM(N22:O22)</f>
        <v>1</v>
      </c>
      <c r="Q22" s="226">
        <f>Q18+Q19+Q20+Q21</f>
        <v>6</v>
      </c>
      <c r="R22" s="226">
        <f>R18+R19+R20+R21</f>
        <v>0</v>
      </c>
      <c r="S22" s="268">
        <f>SUM(Q22:R22)</f>
        <v>6</v>
      </c>
      <c r="T22" s="226">
        <f>T18+T19+T20+T21</f>
        <v>0</v>
      </c>
      <c r="U22" s="226">
        <f>U18+U19+U20+U21</f>
        <v>0</v>
      </c>
      <c r="V22" s="226">
        <f>V18+V19+V20+V21</f>
        <v>0</v>
      </c>
      <c r="W22" s="272">
        <f>I22/F22</f>
        <v>0.7265625</v>
      </c>
      <c r="X22" s="272">
        <f>I22*4/(D22*0.0008)</f>
        <v>1.3285714285714285</v>
      </c>
      <c r="Y22" s="226">
        <f t="shared" ref="Y22:AD22" si="6">Y18+Y19+Y20+Y21</f>
        <v>0</v>
      </c>
      <c r="Z22" s="226">
        <f t="shared" si="6"/>
        <v>0</v>
      </c>
      <c r="AA22" s="226">
        <f t="shared" si="6"/>
        <v>0</v>
      </c>
      <c r="AB22" s="226">
        <f t="shared" si="6"/>
        <v>0</v>
      </c>
      <c r="AC22" s="226">
        <f t="shared" si="6"/>
        <v>89</v>
      </c>
      <c r="AD22" s="226">
        <f t="shared" si="6"/>
        <v>152</v>
      </c>
      <c r="AE22" s="226"/>
      <c r="AF22" s="226"/>
      <c r="AG22" s="273">
        <f>AC22+AD22</f>
        <v>241</v>
      </c>
      <c r="AH22" s="226">
        <f t="shared" ref="AH22:AM22" si="7">AH18+AH19+AH20+AH21</f>
        <v>0</v>
      </c>
      <c r="AI22" s="226">
        <f t="shared" si="7"/>
        <v>0</v>
      </c>
      <c r="AJ22" s="226">
        <f t="shared" si="7"/>
        <v>0</v>
      </c>
      <c r="AK22" s="226">
        <f t="shared" si="7"/>
        <v>0</v>
      </c>
      <c r="AL22" s="226">
        <f t="shared" si="7"/>
        <v>79</v>
      </c>
      <c r="AM22" s="226">
        <f t="shared" si="7"/>
        <v>144</v>
      </c>
      <c r="AN22" s="226"/>
      <c r="AO22" s="226"/>
      <c r="AP22" s="273">
        <f>AL22+AM22</f>
        <v>223</v>
      </c>
      <c r="AQ22" s="268">
        <f t="shared" si="4"/>
        <v>420</v>
      </c>
      <c r="AR22" s="268">
        <f t="shared" si="4"/>
        <v>539</v>
      </c>
      <c r="AS22" s="268">
        <v>420</v>
      </c>
      <c r="AT22" s="268">
        <v>539</v>
      </c>
      <c r="AU22" s="273">
        <f>AQ22+AR22</f>
        <v>959</v>
      </c>
      <c r="AV22" s="272">
        <f>I22/(I22+AG22)</f>
        <v>0.65864022662889521</v>
      </c>
      <c r="AW22" s="272">
        <v>0.66</v>
      </c>
      <c r="AX22" s="272">
        <f>AU22/E22</f>
        <v>0.66597222222222219</v>
      </c>
      <c r="AY22" s="272">
        <f>AU22*4/(D22*0.00177)</f>
        <v>1.2384180790960453</v>
      </c>
      <c r="AZ22" s="272">
        <f>(M22+P22+S22)/AU22</f>
        <v>3.1282586027111578E-2</v>
      </c>
      <c r="BA22" s="274">
        <f>I22*4/D22*100000</f>
        <v>106.28571428571429</v>
      </c>
      <c r="BB22" s="275">
        <f>AU22*4/D22*100000</f>
        <v>219.2</v>
      </c>
      <c r="BC22" s="275"/>
      <c r="BD22" s="275"/>
      <c r="BE22" s="268">
        <v>5</v>
      </c>
      <c r="BF22" s="269" t="s">
        <v>121</v>
      </c>
      <c r="BG22" s="270" t="s">
        <v>122</v>
      </c>
      <c r="BH22" s="226">
        <v>0</v>
      </c>
      <c r="BI22" s="226">
        <v>0</v>
      </c>
      <c r="BJ22" s="226">
        <f t="shared" ref="BJ22:BW22" si="8">BJ18+BJ19+BJ20+BJ21</f>
        <v>4</v>
      </c>
      <c r="BK22" s="226">
        <f t="shared" si="8"/>
        <v>22</v>
      </c>
      <c r="BL22" s="226">
        <f t="shared" si="8"/>
        <v>61</v>
      </c>
      <c r="BM22" s="226">
        <f t="shared" si="8"/>
        <v>105</v>
      </c>
      <c r="BN22" s="226">
        <f t="shared" si="8"/>
        <v>57</v>
      </c>
      <c r="BO22" s="226">
        <f t="shared" si="8"/>
        <v>41</v>
      </c>
      <c r="BP22" s="226">
        <f t="shared" si="8"/>
        <v>42</v>
      </c>
      <c r="BQ22" s="226">
        <f t="shared" si="8"/>
        <v>29</v>
      </c>
      <c r="BR22" s="226">
        <f t="shared" si="8"/>
        <v>30</v>
      </c>
      <c r="BS22" s="226">
        <f t="shared" si="8"/>
        <v>20</v>
      </c>
      <c r="BT22" s="226">
        <f t="shared" si="8"/>
        <v>23</v>
      </c>
      <c r="BU22" s="226">
        <f t="shared" si="8"/>
        <v>12</v>
      </c>
      <c r="BV22" s="226">
        <f t="shared" si="8"/>
        <v>16</v>
      </c>
      <c r="BW22" s="226">
        <f t="shared" si="8"/>
        <v>3</v>
      </c>
      <c r="BX22" s="268">
        <f t="shared" si="5"/>
        <v>233</v>
      </c>
      <c r="BY22" s="268">
        <f t="shared" si="5"/>
        <v>232</v>
      </c>
      <c r="BZ22" s="276">
        <f>BY22+BX22</f>
        <v>465</v>
      </c>
    </row>
    <row r="23" spans="1:78" ht="80.099999999999994" customHeight="1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</row>
    <row r="24" spans="1:78" ht="80.099999999999994" customHeight="1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>
        <f>47+51</f>
        <v>98</v>
      </c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</row>
    <row r="25" spans="1:78" ht="80.099999999999994" customHeight="1">
      <c r="A25" s="822" t="s">
        <v>40</v>
      </c>
      <c r="B25" s="823"/>
      <c r="C25" s="547"/>
      <c r="D25" s="330"/>
      <c r="E25" s="330"/>
      <c r="F25" s="330"/>
      <c r="G25" s="330"/>
      <c r="H25" s="330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Y25" s="330"/>
      <c r="Z25" s="330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T25" s="330"/>
      <c r="AU25" s="330"/>
      <c r="AV25" s="330"/>
      <c r="AW25" s="330"/>
      <c r="AX25" s="330">
        <f>AX24/2</f>
        <v>49</v>
      </c>
      <c r="AY25" s="330"/>
      <c r="AZ25" s="330"/>
      <c r="BA25" s="330"/>
      <c r="BB25" s="330"/>
      <c r="BC25" s="330"/>
      <c r="BD25" s="330"/>
      <c r="BE25" s="824" t="s">
        <v>40</v>
      </c>
      <c r="BF25" s="825"/>
      <c r="BG25" s="547"/>
      <c r="BH25" s="330"/>
      <c r="BI25" s="330"/>
      <c r="BJ25" s="330"/>
      <c r="BK25" s="330"/>
      <c r="BL25" s="330"/>
      <c r="BM25" s="330"/>
      <c r="BN25" s="330"/>
      <c r="BO25" s="330"/>
      <c r="BP25" s="330"/>
      <c r="BQ25" s="330"/>
      <c r="BR25" s="330"/>
      <c r="BS25" s="330"/>
      <c r="BT25" s="330"/>
      <c r="BU25" s="330"/>
      <c r="BV25" s="330"/>
      <c r="BW25" s="330"/>
      <c r="BX25" s="330"/>
      <c r="BY25" s="330"/>
      <c r="BZ25" s="330"/>
    </row>
    <row r="26" spans="1:78" ht="80.099999999999994" customHeight="1">
      <c r="A26" s="826" t="s">
        <v>105</v>
      </c>
      <c r="B26" s="826"/>
      <c r="C26" s="548"/>
      <c r="D26" s="549"/>
      <c r="E26" s="549"/>
      <c r="F26" s="549"/>
      <c r="G26" s="827" t="s">
        <v>34</v>
      </c>
      <c r="H26" s="827"/>
      <c r="I26" s="827"/>
      <c r="J26" s="827"/>
      <c r="K26" s="827"/>
      <c r="L26" s="827"/>
      <c r="M26" s="827"/>
      <c r="N26" s="827"/>
      <c r="O26" s="827"/>
      <c r="P26" s="827"/>
      <c r="Q26" s="827"/>
      <c r="R26" s="827"/>
      <c r="S26" s="827"/>
      <c r="T26" s="550"/>
      <c r="U26" s="550"/>
      <c r="V26" s="550"/>
      <c r="W26" s="550"/>
      <c r="X26" s="551"/>
      <c r="Y26" s="827" t="s">
        <v>28</v>
      </c>
      <c r="Z26" s="827"/>
      <c r="AA26" s="827"/>
      <c r="AB26" s="827"/>
      <c r="AC26" s="827"/>
      <c r="AD26" s="827"/>
      <c r="AE26" s="827"/>
      <c r="AF26" s="827"/>
      <c r="AG26" s="827"/>
      <c r="AH26" s="827" t="s">
        <v>35</v>
      </c>
      <c r="AI26" s="827"/>
      <c r="AJ26" s="827"/>
      <c r="AK26" s="827"/>
      <c r="AL26" s="827"/>
      <c r="AM26" s="827"/>
      <c r="AN26" s="827"/>
      <c r="AO26" s="827"/>
      <c r="AP26" s="827"/>
      <c r="AQ26" s="552"/>
      <c r="AR26" s="553"/>
      <c r="AS26" s="553"/>
      <c r="AT26" s="553"/>
      <c r="AU26" s="553"/>
      <c r="AV26" s="553"/>
      <c r="AW26" s="553"/>
      <c r="AX26" s="553"/>
      <c r="AY26" s="553"/>
      <c r="AZ26" s="553"/>
      <c r="BA26" s="553"/>
      <c r="BB26" s="554"/>
      <c r="BC26" s="553"/>
      <c r="BD26" s="553"/>
      <c r="BE26" s="828" t="s">
        <v>105</v>
      </c>
      <c r="BF26" s="829"/>
      <c r="BG26" s="555"/>
      <c r="BH26" s="556"/>
      <c r="BI26" s="556"/>
      <c r="BJ26" s="556"/>
      <c r="BK26" s="556"/>
      <c r="BL26" s="556"/>
      <c r="BM26" s="556"/>
      <c r="BN26" s="556"/>
      <c r="BO26" s="556"/>
      <c r="BP26" s="556"/>
      <c r="BQ26" s="556"/>
      <c r="BR26" s="556"/>
      <c r="BS26" s="556"/>
      <c r="BT26" s="556"/>
      <c r="BU26" s="556"/>
      <c r="BV26" s="556"/>
      <c r="BW26" s="556"/>
      <c r="BX26" s="556"/>
      <c r="BY26" s="556"/>
      <c r="BZ26" s="556"/>
    </row>
    <row r="27" spans="1:78" ht="80.099999999999994" customHeight="1">
      <c r="A27" s="830" t="s">
        <v>2</v>
      </c>
      <c r="B27" s="830"/>
      <c r="C27" s="557"/>
      <c r="D27" s="549"/>
      <c r="E27" s="549"/>
      <c r="F27" s="549"/>
      <c r="G27" s="827" t="s">
        <v>10</v>
      </c>
      <c r="H27" s="827"/>
      <c r="I27" s="827"/>
      <c r="J27" s="546"/>
      <c r="K27" s="827" t="s">
        <v>29</v>
      </c>
      <c r="L27" s="827"/>
      <c r="M27" s="827"/>
      <c r="N27" s="827"/>
      <c r="O27" s="827"/>
      <c r="P27" s="827"/>
      <c r="Q27" s="827"/>
      <c r="R27" s="827"/>
      <c r="S27" s="827"/>
      <c r="T27" s="539"/>
      <c r="U27" s="539"/>
      <c r="V27" s="539"/>
      <c r="W27" s="539"/>
      <c r="X27" s="539"/>
      <c r="Y27" s="827" t="s">
        <v>12</v>
      </c>
      <c r="Z27" s="827"/>
      <c r="AA27" s="827"/>
      <c r="AB27" s="827"/>
      <c r="AC27" s="827"/>
      <c r="AD27" s="827"/>
      <c r="AE27" s="827"/>
      <c r="AF27" s="827"/>
      <c r="AG27" s="827"/>
      <c r="AH27" s="827"/>
      <c r="AI27" s="827"/>
      <c r="AJ27" s="827"/>
      <c r="AK27" s="827"/>
      <c r="AL27" s="827"/>
      <c r="AM27" s="827"/>
      <c r="AN27" s="827"/>
      <c r="AO27" s="827"/>
      <c r="AP27" s="827"/>
      <c r="AQ27" s="557"/>
      <c r="AR27" s="558"/>
      <c r="AS27" s="558"/>
      <c r="AT27" s="558"/>
      <c r="AU27" s="558"/>
      <c r="AV27" s="558"/>
      <c r="AW27" s="558"/>
      <c r="AX27" s="558"/>
      <c r="AY27" s="558"/>
      <c r="AZ27" s="558"/>
      <c r="BA27" s="558"/>
      <c r="BB27" s="559"/>
      <c r="BC27" s="558"/>
      <c r="BD27" s="558"/>
      <c r="BE27" s="831" t="s">
        <v>3</v>
      </c>
      <c r="BF27" s="832"/>
      <c r="BG27" s="560"/>
      <c r="BH27" s="556"/>
      <c r="BI27" s="556"/>
      <c r="BJ27" s="556"/>
      <c r="BK27" s="556"/>
      <c r="BL27" s="556"/>
      <c r="BM27" s="556"/>
      <c r="BN27" s="556"/>
      <c r="BO27" s="556"/>
      <c r="BP27" s="556"/>
      <c r="BQ27" s="556"/>
      <c r="BR27" s="556"/>
      <c r="BS27" s="556"/>
      <c r="BT27" s="556"/>
      <c r="BU27" s="556"/>
      <c r="BV27" s="556"/>
      <c r="BW27" s="556"/>
      <c r="BX27" s="556"/>
      <c r="BY27" s="556"/>
      <c r="BZ27" s="556"/>
    </row>
    <row r="28" spans="1:78" ht="80.099999999999994" customHeight="1">
      <c r="A28" s="830" t="s">
        <v>0</v>
      </c>
      <c r="B28" s="833" t="s">
        <v>42</v>
      </c>
      <c r="C28" s="833" t="s">
        <v>43</v>
      </c>
      <c r="D28" s="830" t="s">
        <v>44</v>
      </c>
      <c r="E28" s="543"/>
      <c r="F28" s="835" t="s">
        <v>115</v>
      </c>
      <c r="G28" s="827"/>
      <c r="H28" s="827"/>
      <c r="I28" s="827"/>
      <c r="J28" s="546"/>
      <c r="K28" s="827" t="s">
        <v>11</v>
      </c>
      <c r="L28" s="827"/>
      <c r="M28" s="827"/>
      <c r="N28" s="827" t="s">
        <v>38</v>
      </c>
      <c r="O28" s="827"/>
      <c r="P28" s="827"/>
      <c r="Q28" s="827" t="s">
        <v>39</v>
      </c>
      <c r="R28" s="827"/>
      <c r="S28" s="827"/>
      <c r="T28" s="837" t="s">
        <v>47</v>
      </c>
      <c r="U28" s="838"/>
      <c r="V28" s="839"/>
      <c r="W28" s="840" t="s">
        <v>142</v>
      </c>
      <c r="X28" s="827" t="s">
        <v>13</v>
      </c>
      <c r="Y28" s="830" t="s">
        <v>30</v>
      </c>
      <c r="Z28" s="830"/>
      <c r="AA28" s="830" t="s">
        <v>23</v>
      </c>
      <c r="AB28" s="830"/>
      <c r="AC28" s="830" t="s">
        <v>31</v>
      </c>
      <c r="AD28" s="830"/>
      <c r="AE28" s="831" t="s">
        <v>1</v>
      </c>
      <c r="AF28" s="832"/>
      <c r="AG28" s="830" t="s">
        <v>32</v>
      </c>
      <c r="AH28" s="830" t="s">
        <v>30</v>
      </c>
      <c r="AI28" s="830"/>
      <c r="AJ28" s="830" t="s">
        <v>23</v>
      </c>
      <c r="AK28" s="830"/>
      <c r="AL28" s="830" t="s">
        <v>31</v>
      </c>
      <c r="AM28" s="830"/>
      <c r="AN28" s="831" t="s">
        <v>1</v>
      </c>
      <c r="AO28" s="832"/>
      <c r="AP28" s="830" t="s">
        <v>32</v>
      </c>
      <c r="AQ28" s="827" t="s">
        <v>33</v>
      </c>
      <c r="AR28" s="827"/>
      <c r="AS28" s="827"/>
      <c r="AT28" s="827"/>
      <c r="AU28" s="827"/>
      <c r="AV28" s="842" t="s">
        <v>22</v>
      </c>
      <c r="AW28" s="540"/>
      <c r="AX28" s="843" t="s">
        <v>163</v>
      </c>
      <c r="AY28" s="827" t="s">
        <v>14</v>
      </c>
      <c r="AZ28" s="827" t="s">
        <v>18</v>
      </c>
      <c r="BA28" s="827" t="s">
        <v>19</v>
      </c>
      <c r="BB28" s="827" t="s">
        <v>20</v>
      </c>
      <c r="BC28" s="545"/>
      <c r="BD28" s="545"/>
      <c r="BE28" s="832" t="s">
        <v>0</v>
      </c>
      <c r="BF28" s="833" t="s">
        <v>42</v>
      </c>
      <c r="BG28" s="833" t="s">
        <v>43</v>
      </c>
      <c r="BH28" s="830" t="s">
        <v>36</v>
      </c>
      <c r="BI28" s="830"/>
      <c r="BJ28" s="845" t="s">
        <v>37</v>
      </c>
      <c r="BK28" s="845"/>
      <c r="BL28" s="830" t="s">
        <v>4</v>
      </c>
      <c r="BM28" s="830"/>
      <c r="BN28" s="830" t="s">
        <v>5</v>
      </c>
      <c r="BO28" s="830"/>
      <c r="BP28" s="830" t="s">
        <v>6</v>
      </c>
      <c r="BQ28" s="830"/>
      <c r="BR28" s="830" t="s">
        <v>7</v>
      </c>
      <c r="BS28" s="830"/>
      <c r="BT28" s="830" t="s">
        <v>8</v>
      </c>
      <c r="BU28" s="830"/>
      <c r="BV28" s="830" t="s">
        <v>9</v>
      </c>
      <c r="BW28" s="830"/>
      <c r="BX28" s="830" t="s">
        <v>21</v>
      </c>
      <c r="BY28" s="830"/>
      <c r="BZ28" s="830"/>
    </row>
    <row r="29" spans="1:78" ht="80.099999999999994" customHeight="1">
      <c r="A29" s="830"/>
      <c r="B29" s="834"/>
      <c r="C29" s="834"/>
      <c r="D29" s="830"/>
      <c r="E29" s="544"/>
      <c r="F29" s="836"/>
      <c r="G29" s="546" t="s">
        <v>16</v>
      </c>
      <c r="H29" s="546" t="s">
        <v>17</v>
      </c>
      <c r="I29" s="546" t="s">
        <v>32</v>
      </c>
      <c r="J29" s="546"/>
      <c r="K29" s="546" t="s">
        <v>16</v>
      </c>
      <c r="L29" s="546" t="s">
        <v>17</v>
      </c>
      <c r="M29" s="546" t="s">
        <v>32</v>
      </c>
      <c r="N29" s="546" t="s">
        <v>16</v>
      </c>
      <c r="O29" s="546" t="s">
        <v>17</v>
      </c>
      <c r="P29" s="546" t="s">
        <v>32</v>
      </c>
      <c r="Q29" s="546" t="s">
        <v>16</v>
      </c>
      <c r="R29" s="546" t="s">
        <v>17</v>
      </c>
      <c r="S29" s="546" t="s">
        <v>32</v>
      </c>
      <c r="T29" s="546" t="s">
        <v>16</v>
      </c>
      <c r="U29" s="546" t="s">
        <v>17</v>
      </c>
      <c r="V29" s="546" t="s">
        <v>32</v>
      </c>
      <c r="W29" s="841"/>
      <c r="X29" s="827"/>
      <c r="Y29" s="546" t="s">
        <v>16</v>
      </c>
      <c r="Z29" s="546" t="s">
        <v>17</v>
      </c>
      <c r="AA29" s="546" t="s">
        <v>16</v>
      </c>
      <c r="AB29" s="546" t="s">
        <v>17</v>
      </c>
      <c r="AC29" s="546" t="s">
        <v>16</v>
      </c>
      <c r="AD29" s="546" t="s">
        <v>17</v>
      </c>
      <c r="AE29" s="546" t="s">
        <v>16</v>
      </c>
      <c r="AF29" s="546" t="s">
        <v>17</v>
      </c>
      <c r="AG29" s="830"/>
      <c r="AH29" s="546" t="s">
        <v>16</v>
      </c>
      <c r="AI29" s="546" t="s">
        <v>17</v>
      </c>
      <c r="AJ29" s="546" t="s">
        <v>16</v>
      </c>
      <c r="AK29" s="546" t="s">
        <v>17</v>
      </c>
      <c r="AL29" s="546" t="s">
        <v>16</v>
      </c>
      <c r="AM29" s="546" t="s">
        <v>17</v>
      </c>
      <c r="AN29" s="546" t="s">
        <v>16</v>
      </c>
      <c r="AO29" s="546" t="s">
        <v>17</v>
      </c>
      <c r="AP29" s="830"/>
      <c r="AQ29" s="546" t="s">
        <v>16</v>
      </c>
      <c r="AR29" s="546" t="s">
        <v>17</v>
      </c>
      <c r="AS29" s="546"/>
      <c r="AT29" s="546"/>
      <c r="AU29" s="546" t="s">
        <v>32</v>
      </c>
      <c r="AV29" s="842"/>
      <c r="AW29" s="541"/>
      <c r="AX29" s="844"/>
      <c r="AY29" s="827"/>
      <c r="AZ29" s="827"/>
      <c r="BA29" s="827"/>
      <c r="BB29" s="827"/>
      <c r="BC29" s="545"/>
      <c r="BD29" s="545"/>
      <c r="BE29" s="832"/>
      <c r="BF29" s="834"/>
      <c r="BG29" s="834"/>
      <c r="BH29" s="546" t="s">
        <v>16</v>
      </c>
      <c r="BI29" s="546" t="s">
        <v>17</v>
      </c>
      <c r="BJ29" s="546" t="s">
        <v>16</v>
      </c>
      <c r="BK29" s="546" t="s">
        <v>17</v>
      </c>
      <c r="BL29" s="546" t="s">
        <v>16</v>
      </c>
      <c r="BM29" s="546" t="s">
        <v>17</v>
      </c>
      <c r="BN29" s="546" t="s">
        <v>16</v>
      </c>
      <c r="BO29" s="546" t="s">
        <v>17</v>
      </c>
      <c r="BP29" s="546" t="s">
        <v>16</v>
      </c>
      <c r="BQ29" s="546" t="s">
        <v>17</v>
      </c>
      <c r="BR29" s="546" t="s">
        <v>16</v>
      </c>
      <c r="BS29" s="546" t="s">
        <v>17</v>
      </c>
      <c r="BT29" s="546" t="s">
        <v>16</v>
      </c>
      <c r="BU29" s="546" t="s">
        <v>17</v>
      </c>
      <c r="BV29" s="546" t="s">
        <v>16</v>
      </c>
      <c r="BW29" s="546" t="s">
        <v>17</v>
      </c>
      <c r="BX29" s="546" t="s">
        <v>16</v>
      </c>
      <c r="BY29" s="546" t="s">
        <v>17</v>
      </c>
      <c r="BZ29" s="542" t="s">
        <v>32</v>
      </c>
    </row>
    <row r="30" spans="1:78" ht="141.75" customHeight="1">
      <c r="A30" s="332">
        <v>1</v>
      </c>
      <c r="B30" s="289" t="s">
        <v>116</v>
      </c>
      <c r="C30" s="288" t="s">
        <v>117</v>
      </c>
      <c r="D30" s="561">
        <v>500000</v>
      </c>
      <c r="E30" s="561">
        <f>(F30*2)+F30*0.25</f>
        <v>225</v>
      </c>
      <c r="F30" s="561">
        <v>100</v>
      </c>
      <c r="G30" s="562">
        <v>48</v>
      </c>
      <c r="H30" s="562">
        <v>38</v>
      </c>
      <c r="I30" s="332">
        <f>SUM(G30:H30)</f>
        <v>86</v>
      </c>
      <c r="J30" s="332">
        <v>86</v>
      </c>
      <c r="K30" s="562">
        <v>6</v>
      </c>
      <c r="L30" s="562">
        <v>1</v>
      </c>
      <c r="M30" s="332">
        <f>SUM(K30:L30)</f>
        <v>7</v>
      </c>
      <c r="N30" s="562">
        <v>0</v>
      </c>
      <c r="O30" s="562">
        <v>0</v>
      </c>
      <c r="P30" s="332">
        <f>SUM(N30:O30)</f>
        <v>0</v>
      </c>
      <c r="Q30" s="562">
        <v>4</v>
      </c>
      <c r="R30" s="562">
        <v>1</v>
      </c>
      <c r="S30" s="332">
        <f>SUM(Q30:R30)</f>
        <v>5</v>
      </c>
      <c r="T30" s="332"/>
      <c r="U30" s="332"/>
      <c r="V30" s="332"/>
      <c r="W30" s="563">
        <f>I30/F30</f>
        <v>0.86</v>
      </c>
      <c r="X30" s="563">
        <f>I30*4/(D30*0.0008)</f>
        <v>0.86</v>
      </c>
      <c r="Y30" s="564"/>
      <c r="Z30" s="564"/>
      <c r="AA30" s="564"/>
      <c r="AB30" s="562"/>
      <c r="AC30" s="562"/>
      <c r="AD30" s="562"/>
      <c r="AE30" s="562">
        <v>17</v>
      </c>
      <c r="AF30" s="562">
        <v>20</v>
      </c>
      <c r="AG30" s="564">
        <f>AE30+AF30</f>
        <v>37</v>
      </c>
      <c r="AH30" s="564"/>
      <c r="AI30" s="332"/>
      <c r="AJ30" s="332"/>
      <c r="AK30" s="562"/>
      <c r="AL30" s="562"/>
      <c r="AM30" s="562"/>
      <c r="AN30" s="562">
        <v>14</v>
      </c>
      <c r="AO30" s="562">
        <v>27</v>
      </c>
      <c r="AP30" s="564">
        <f>AN30+AO30</f>
        <v>41</v>
      </c>
      <c r="AQ30" s="332">
        <f t="shared" ref="AQ30:AR34" si="9">AN30+AE30+T30+Q30+N30+K30+G30</f>
        <v>89</v>
      </c>
      <c r="AR30" s="332">
        <f t="shared" si="9"/>
        <v>87</v>
      </c>
      <c r="AS30" s="565">
        <v>89</v>
      </c>
      <c r="AT30" s="565">
        <v>87</v>
      </c>
      <c r="AU30" s="565">
        <f>SUM(AQ30:AR30)</f>
        <v>176</v>
      </c>
      <c r="AV30" s="563">
        <f>I30/(I30+AG30)</f>
        <v>0.69918699186991873</v>
      </c>
      <c r="AW30" s="563">
        <v>0.7</v>
      </c>
      <c r="AX30" s="563">
        <f>AU30/E30</f>
        <v>0.78222222222222226</v>
      </c>
      <c r="AY30" s="563">
        <f>AU30*4/(D30*0.00177)</f>
        <v>0.79548022598870061</v>
      </c>
      <c r="AZ30" s="563">
        <f>(M30+P30+S30)/AU30</f>
        <v>6.8181818181818177E-2</v>
      </c>
      <c r="BA30" s="566">
        <f>I30*4/D30*100000</f>
        <v>68.8</v>
      </c>
      <c r="BB30" s="567">
        <f>AU30*4/D30*100000</f>
        <v>140.79999999999998</v>
      </c>
      <c r="BC30" s="567"/>
      <c r="BD30" s="567"/>
      <c r="BE30" s="332">
        <v>1</v>
      </c>
      <c r="BF30" s="289" t="s">
        <v>116</v>
      </c>
      <c r="BG30" s="288" t="s">
        <v>117</v>
      </c>
      <c r="BH30" s="572"/>
      <c r="BI30" s="572"/>
      <c r="BJ30" s="572">
        <v>0</v>
      </c>
      <c r="BK30" s="572">
        <v>4</v>
      </c>
      <c r="BL30" s="562">
        <v>10</v>
      </c>
      <c r="BM30" s="562">
        <v>19</v>
      </c>
      <c r="BN30" s="562">
        <v>17</v>
      </c>
      <c r="BO30" s="562">
        <v>7</v>
      </c>
      <c r="BP30" s="562">
        <v>5</v>
      </c>
      <c r="BQ30" s="562">
        <v>4</v>
      </c>
      <c r="BR30" s="562">
        <v>8</v>
      </c>
      <c r="BS30" s="562">
        <v>2</v>
      </c>
      <c r="BT30" s="562">
        <v>4</v>
      </c>
      <c r="BU30" s="562">
        <v>0</v>
      </c>
      <c r="BV30" s="562">
        <v>4</v>
      </c>
      <c r="BW30" s="562">
        <v>2</v>
      </c>
      <c r="BX30" s="332">
        <f>BV30+BT30+BR30+BP30+BN30+BL30+BJ30+BH30</f>
        <v>48</v>
      </c>
      <c r="BY30" s="332">
        <f>BW30+BU30+BS30+BQ30+BO30+BM30+BK30+BI30</f>
        <v>38</v>
      </c>
      <c r="BZ30" s="565">
        <f>BY30+BX30</f>
        <v>86</v>
      </c>
    </row>
    <row r="31" spans="1:78" ht="104.25" customHeight="1">
      <c r="A31" s="332">
        <v>2</v>
      </c>
      <c r="B31" s="289" t="s">
        <v>118</v>
      </c>
      <c r="C31" s="288" t="s">
        <v>80</v>
      </c>
      <c r="D31" s="561">
        <v>300000</v>
      </c>
      <c r="E31" s="561">
        <f>(F31*2)+F31*0.25</f>
        <v>225</v>
      </c>
      <c r="F31" s="561">
        <v>100</v>
      </c>
      <c r="G31" s="562">
        <v>11</v>
      </c>
      <c r="H31" s="562">
        <v>9</v>
      </c>
      <c r="I31" s="332">
        <f>SUM(G31:H31)</f>
        <v>20</v>
      </c>
      <c r="J31" s="332">
        <v>20</v>
      </c>
      <c r="K31" s="562">
        <v>3</v>
      </c>
      <c r="L31" s="562">
        <v>3</v>
      </c>
      <c r="M31" s="332">
        <f>SUM(K31:L31)</f>
        <v>6</v>
      </c>
      <c r="N31" s="562">
        <v>1</v>
      </c>
      <c r="O31" s="562">
        <v>1</v>
      </c>
      <c r="P31" s="332">
        <f>SUM(N31:O31)</f>
        <v>2</v>
      </c>
      <c r="Q31" s="562">
        <v>1</v>
      </c>
      <c r="R31" s="562">
        <v>1</v>
      </c>
      <c r="S31" s="332">
        <f>SUM(Q31:R31)</f>
        <v>2</v>
      </c>
      <c r="T31" s="332"/>
      <c r="U31" s="332"/>
      <c r="V31" s="332"/>
      <c r="W31" s="563">
        <f>I31/F31</f>
        <v>0.2</v>
      </c>
      <c r="X31" s="563">
        <f>I31*4/(D31*0.0008)</f>
        <v>0.33333333333333331</v>
      </c>
      <c r="Y31" s="564"/>
      <c r="Z31" s="564"/>
      <c r="AA31" s="564"/>
      <c r="AB31" s="562"/>
      <c r="AC31" s="562"/>
      <c r="AD31" s="562"/>
      <c r="AE31" s="562">
        <v>11</v>
      </c>
      <c r="AF31" s="562">
        <v>22</v>
      </c>
      <c r="AG31" s="564">
        <f>AE31+AF31</f>
        <v>33</v>
      </c>
      <c r="AH31" s="564"/>
      <c r="AI31" s="332"/>
      <c r="AJ31" s="332"/>
      <c r="AK31" s="562"/>
      <c r="AL31" s="562"/>
      <c r="AM31" s="562"/>
      <c r="AN31" s="562">
        <v>8</v>
      </c>
      <c r="AO31" s="562">
        <v>15</v>
      </c>
      <c r="AP31" s="564">
        <f>AN31+AO31</f>
        <v>23</v>
      </c>
      <c r="AQ31" s="332">
        <f t="shared" si="9"/>
        <v>35</v>
      </c>
      <c r="AR31" s="332">
        <f t="shared" si="9"/>
        <v>51</v>
      </c>
      <c r="AS31" s="565">
        <v>35</v>
      </c>
      <c r="AT31" s="565">
        <v>51</v>
      </c>
      <c r="AU31" s="565">
        <f>SUM(AQ31:AR31)</f>
        <v>86</v>
      </c>
      <c r="AV31" s="563">
        <f>I31/(I31+AG31)</f>
        <v>0.37735849056603776</v>
      </c>
      <c r="AW31" s="563">
        <v>0.38</v>
      </c>
      <c r="AX31" s="563">
        <f>AU31/E31</f>
        <v>0.38222222222222224</v>
      </c>
      <c r="AY31" s="563">
        <f>AU31*4/(D31*0.00177)</f>
        <v>0.64783427495291901</v>
      </c>
      <c r="AZ31" s="563">
        <f>(M31+P31+S31)/AU31</f>
        <v>0.11627906976744186</v>
      </c>
      <c r="BA31" s="566">
        <f>I31*4/D31*100000</f>
        <v>26.666666666666668</v>
      </c>
      <c r="BB31" s="567">
        <f>AU31*4/D31*100000</f>
        <v>114.66666666666667</v>
      </c>
      <c r="BC31" s="567"/>
      <c r="BD31" s="567"/>
      <c r="BE31" s="332">
        <v>2</v>
      </c>
      <c r="BF31" s="289" t="s">
        <v>118</v>
      </c>
      <c r="BG31" s="288" t="s">
        <v>80</v>
      </c>
      <c r="BH31" s="572">
        <v>0</v>
      </c>
      <c r="BI31" s="572">
        <v>0</v>
      </c>
      <c r="BJ31" s="562">
        <v>0</v>
      </c>
      <c r="BK31" s="562">
        <v>1</v>
      </c>
      <c r="BL31" s="562">
        <v>3</v>
      </c>
      <c r="BM31" s="562">
        <v>2</v>
      </c>
      <c r="BN31" s="562">
        <v>5</v>
      </c>
      <c r="BO31" s="562">
        <v>0</v>
      </c>
      <c r="BP31" s="562">
        <v>2</v>
      </c>
      <c r="BQ31" s="562">
        <v>2</v>
      </c>
      <c r="BR31" s="562">
        <v>0</v>
      </c>
      <c r="BS31" s="562">
        <v>0</v>
      </c>
      <c r="BT31" s="562">
        <v>0</v>
      </c>
      <c r="BU31" s="562">
        <v>3</v>
      </c>
      <c r="BV31" s="562">
        <v>1</v>
      </c>
      <c r="BW31" s="562">
        <v>1</v>
      </c>
      <c r="BX31" s="332">
        <f t="shared" ref="BX31:BY33" si="10">BV31+BT31+BR31+BP31+BN31+BL31+BJ31+BH31</f>
        <v>11</v>
      </c>
      <c r="BY31" s="332">
        <f t="shared" si="10"/>
        <v>9</v>
      </c>
      <c r="BZ31" s="565">
        <f>BY31+BX31</f>
        <v>20</v>
      </c>
    </row>
    <row r="32" spans="1:78" ht="120.75" customHeight="1">
      <c r="A32" s="332">
        <v>3</v>
      </c>
      <c r="B32" s="289" t="s">
        <v>119</v>
      </c>
      <c r="C32" s="288" t="s">
        <v>55</v>
      </c>
      <c r="D32" s="561">
        <v>250000</v>
      </c>
      <c r="E32" s="561">
        <f>(F32*2)+F32*0.25</f>
        <v>495</v>
      </c>
      <c r="F32" s="561">
        <v>220</v>
      </c>
      <c r="G32" s="562">
        <v>69</v>
      </c>
      <c r="H32" s="562">
        <v>73</v>
      </c>
      <c r="I32" s="332">
        <f>SUM(G32:H32)</f>
        <v>142</v>
      </c>
      <c r="J32" s="332">
        <v>142</v>
      </c>
      <c r="K32" s="562">
        <v>3</v>
      </c>
      <c r="L32" s="562">
        <v>10</v>
      </c>
      <c r="M32" s="332">
        <f>SUM(K32:L32)</f>
        <v>13</v>
      </c>
      <c r="N32" s="562">
        <v>0</v>
      </c>
      <c r="O32" s="562">
        <v>0</v>
      </c>
      <c r="P32" s="332">
        <f>SUM(N32:O32)</f>
        <v>0</v>
      </c>
      <c r="Q32" s="562">
        <v>2</v>
      </c>
      <c r="R32" s="562">
        <v>0</v>
      </c>
      <c r="S32" s="332">
        <f>SUM(Q32:R32)</f>
        <v>2</v>
      </c>
      <c r="T32" s="332"/>
      <c r="U32" s="332"/>
      <c r="V32" s="332"/>
      <c r="W32" s="563">
        <f>I32/F32</f>
        <v>0.6454545454545455</v>
      </c>
      <c r="X32" s="563">
        <f>I32*4/(D32*0.0008)</f>
        <v>2.84</v>
      </c>
      <c r="Y32" s="564"/>
      <c r="Z32" s="564"/>
      <c r="AA32" s="564"/>
      <c r="AB32" s="562"/>
      <c r="AC32" s="562"/>
      <c r="AD32" s="562"/>
      <c r="AE32" s="562">
        <v>20</v>
      </c>
      <c r="AF32" s="562">
        <v>14</v>
      </c>
      <c r="AG32" s="564">
        <f>AE32+AF32</f>
        <v>34</v>
      </c>
      <c r="AH32" s="564"/>
      <c r="AI32" s="332"/>
      <c r="AJ32" s="332"/>
      <c r="AK32" s="562"/>
      <c r="AL32" s="562"/>
      <c r="AM32" s="562"/>
      <c r="AN32" s="562">
        <v>13</v>
      </c>
      <c r="AO32" s="562">
        <v>21</v>
      </c>
      <c r="AP32" s="564">
        <f>AN32+AO32</f>
        <v>34</v>
      </c>
      <c r="AQ32" s="332">
        <f t="shared" si="9"/>
        <v>107</v>
      </c>
      <c r="AR32" s="332">
        <f t="shared" si="9"/>
        <v>118</v>
      </c>
      <c r="AS32" s="565">
        <v>107</v>
      </c>
      <c r="AT32" s="565">
        <v>118</v>
      </c>
      <c r="AU32" s="565">
        <f>SUM(AQ32:AR32)</f>
        <v>225</v>
      </c>
      <c r="AV32" s="563">
        <f>I32/(I32+AG32)</f>
        <v>0.80681818181818177</v>
      </c>
      <c r="AW32" s="563">
        <v>0.81</v>
      </c>
      <c r="AX32" s="563">
        <f>AU32/E32</f>
        <v>0.45454545454545453</v>
      </c>
      <c r="AY32" s="563">
        <f>AU32*4/(D32*0.00177)</f>
        <v>2.0338983050847457</v>
      </c>
      <c r="AZ32" s="563">
        <f>(M32+P32+S32)/AU32</f>
        <v>6.6666666666666666E-2</v>
      </c>
      <c r="BA32" s="566">
        <f>I32*4/D32*100000</f>
        <v>227.20000000000002</v>
      </c>
      <c r="BB32" s="567">
        <f>AU32*4/D32*100000</f>
        <v>360</v>
      </c>
      <c r="BC32" s="567"/>
      <c r="BD32" s="567"/>
      <c r="BE32" s="332">
        <v>3</v>
      </c>
      <c r="BF32" s="289" t="s">
        <v>119</v>
      </c>
      <c r="BG32" s="288" t="s">
        <v>55</v>
      </c>
      <c r="BH32" s="572">
        <v>0</v>
      </c>
      <c r="BI32" s="572">
        <v>0</v>
      </c>
      <c r="BJ32" s="562">
        <v>2</v>
      </c>
      <c r="BK32" s="562">
        <v>6</v>
      </c>
      <c r="BL32" s="562">
        <v>22</v>
      </c>
      <c r="BM32" s="562">
        <v>28</v>
      </c>
      <c r="BN32" s="562">
        <v>22</v>
      </c>
      <c r="BO32" s="562">
        <v>14</v>
      </c>
      <c r="BP32" s="562">
        <v>7</v>
      </c>
      <c r="BQ32" s="562">
        <v>10</v>
      </c>
      <c r="BR32" s="562">
        <v>9</v>
      </c>
      <c r="BS32" s="562">
        <v>6</v>
      </c>
      <c r="BT32" s="562">
        <v>5</v>
      </c>
      <c r="BU32" s="562">
        <v>5</v>
      </c>
      <c r="BV32" s="562">
        <v>4</v>
      </c>
      <c r="BW32" s="562">
        <v>2</v>
      </c>
      <c r="BX32" s="332">
        <f t="shared" si="10"/>
        <v>71</v>
      </c>
      <c r="BY32" s="332">
        <f t="shared" si="10"/>
        <v>71</v>
      </c>
      <c r="BZ32" s="565">
        <f>BY32+BX32</f>
        <v>142</v>
      </c>
    </row>
    <row r="33" spans="1:78" ht="126.75" customHeight="1">
      <c r="A33" s="332">
        <v>4</v>
      </c>
      <c r="B33" s="289" t="s">
        <v>120</v>
      </c>
      <c r="C33" s="288" t="s">
        <v>51</v>
      </c>
      <c r="D33" s="561">
        <v>350000</v>
      </c>
      <c r="E33" s="561">
        <f>(F33*2)+F33*0.25</f>
        <v>495</v>
      </c>
      <c r="F33" s="561">
        <v>220</v>
      </c>
      <c r="G33" s="562">
        <v>56</v>
      </c>
      <c r="H33" s="562">
        <v>78</v>
      </c>
      <c r="I33" s="332">
        <f>SUM(G33:H33)</f>
        <v>134</v>
      </c>
      <c r="J33" s="332">
        <v>134</v>
      </c>
      <c r="K33" s="562">
        <v>8</v>
      </c>
      <c r="L33" s="562">
        <v>7</v>
      </c>
      <c r="M33" s="332">
        <f>SUM(K33:L33)</f>
        <v>15</v>
      </c>
      <c r="N33" s="562">
        <v>0</v>
      </c>
      <c r="O33" s="562">
        <v>0</v>
      </c>
      <c r="P33" s="332">
        <f>SUM(N33:O33)</f>
        <v>0</v>
      </c>
      <c r="Q33" s="562">
        <v>3</v>
      </c>
      <c r="R33" s="562">
        <v>1</v>
      </c>
      <c r="S33" s="332">
        <f>SUM(Q33:R33)</f>
        <v>4</v>
      </c>
      <c r="T33" s="332"/>
      <c r="U33" s="332"/>
      <c r="V33" s="332"/>
      <c r="W33" s="563">
        <f>I33/F33</f>
        <v>0.60909090909090913</v>
      </c>
      <c r="X33" s="563">
        <f>I33*4/(D33*0.0008)</f>
        <v>1.9142857142857144</v>
      </c>
      <c r="Y33" s="564"/>
      <c r="Z33" s="564"/>
      <c r="AA33" s="564"/>
      <c r="AB33" s="562"/>
      <c r="AC33" s="562"/>
      <c r="AD33" s="562"/>
      <c r="AE33" s="562">
        <v>36</v>
      </c>
      <c r="AF33" s="562">
        <v>43</v>
      </c>
      <c r="AG33" s="564">
        <f>AE33+AF33</f>
        <v>79</v>
      </c>
      <c r="AH33" s="564"/>
      <c r="AI33" s="332"/>
      <c r="AJ33" s="332"/>
      <c r="AK33" s="562"/>
      <c r="AL33" s="562"/>
      <c r="AM33" s="562"/>
      <c r="AN33" s="562">
        <v>19</v>
      </c>
      <c r="AO33" s="562">
        <v>42</v>
      </c>
      <c r="AP33" s="564">
        <f>AN33+AO33</f>
        <v>61</v>
      </c>
      <c r="AQ33" s="332">
        <f t="shared" si="9"/>
        <v>122</v>
      </c>
      <c r="AR33" s="332">
        <f t="shared" si="9"/>
        <v>171</v>
      </c>
      <c r="AS33" s="565">
        <v>122</v>
      </c>
      <c r="AT33" s="565">
        <v>171</v>
      </c>
      <c r="AU33" s="565">
        <f>SUM(AQ33:AR33)</f>
        <v>293</v>
      </c>
      <c r="AV33" s="563">
        <f>I33/(I33+AG33)</f>
        <v>0.62910798122065725</v>
      </c>
      <c r="AW33" s="563">
        <v>6.63</v>
      </c>
      <c r="AX33" s="563">
        <f>AU33/E33</f>
        <v>0.59191919191919196</v>
      </c>
      <c r="AY33" s="563">
        <f>AU33*4/(D33*0.00177)</f>
        <v>1.8918482647296206</v>
      </c>
      <c r="AZ33" s="563">
        <f>(M33+P33+S33)/AU33</f>
        <v>6.4846416382252553E-2</v>
      </c>
      <c r="BA33" s="566">
        <f>I33*4/D33*100000</f>
        <v>153.14285714285714</v>
      </c>
      <c r="BB33" s="567">
        <f>AU33*4/D33*100000</f>
        <v>334.85714285714289</v>
      </c>
      <c r="BC33" s="567"/>
      <c r="BD33" s="567"/>
      <c r="BE33" s="332">
        <v>4</v>
      </c>
      <c r="BF33" s="289" t="s">
        <v>120</v>
      </c>
      <c r="BG33" s="288" t="s">
        <v>51</v>
      </c>
      <c r="BH33" s="572">
        <v>0</v>
      </c>
      <c r="BI33" s="572">
        <v>0</v>
      </c>
      <c r="BJ33" s="562">
        <v>0</v>
      </c>
      <c r="BK33" s="562">
        <v>4</v>
      </c>
      <c r="BL33" s="562">
        <v>19</v>
      </c>
      <c r="BM33" s="562">
        <v>41</v>
      </c>
      <c r="BN33" s="562">
        <v>10</v>
      </c>
      <c r="BO33" s="562">
        <v>13</v>
      </c>
      <c r="BP33" s="562">
        <v>9</v>
      </c>
      <c r="BQ33" s="562">
        <v>11</v>
      </c>
      <c r="BR33" s="562">
        <v>3</v>
      </c>
      <c r="BS33" s="562">
        <v>4</v>
      </c>
      <c r="BT33" s="562">
        <v>8</v>
      </c>
      <c r="BU33" s="562">
        <v>3</v>
      </c>
      <c r="BV33" s="562">
        <v>7</v>
      </c>
      <c r="BW33" s="562">
        <v>2</v>
      </c>
      <c r="BX33" s="332">
        <f t="shared" si="10"/>
        <v>56</v>
      </c>
      <c r="BY33" s="332">
        <f t="shared" si="10"/>
        <v>78</v>
      </c>
      <c r="BZ33" s="565">
        <f>BY33+BX33</f>
        <v>134</v>
      </c>
    </row>
    <row r="34" spans="1:78" ht="80.099999999999994" customHeight="1">
      <c r="A34" s="333">
        <v>5</v>
      </c>
      <c r="B34" s="511" t="s">
        <v>121</v>
      </c>
      <c r="C34" s="568" t="s">
        <v>122</v>
      </c>
      <c r="D34" s="532">
        <f>SUM(D30:D33)</f>
        <v>1400000</v>
      </c>
      <c r="E34" s="532">
        <f>(F34*2)+F34*0.25</f>
        <v>1440</v>
      </c>
      <c r="F34" s="532">
        <f>SUM(F30:F33)</f>
        <v>640</v>
      </c>
      <c r="G34" s="334">
        <f>G30+G31+G32+G33</f>
        <v>184</v>
      </c>
      <c r="H34" s="334">
        <f t="shared" ref="H34:V34" si="11">H30+H31+H32+H33</f>
        <v>198</v>
      </c>
      <c r="I34" s="334">
        <f t="shared" si="11"/>
        <v>382</v>
      </c>
      <c r="J34" s="334">
        <v>382</v>
      </c>
      <c r="K34" s="334">
        <f t="shared" si="11"/>
        <v>20</v>
      </c>
      <c r="L34" s="334">
        <f t="shared" si="11"/>
        <v>21</v>
      </c>
      <c r="M34" s="334">
        <f t="shared" si="11"/>
        <v>41</v>
      </c>
      <c r="N34" s="334">
        <f t="shared" si="11"/>
        <v>1</v>
      </c>
      <c r="O34" s="334">
        <f t="shared" si="11"/>
        <v>1</v>
      </c>
      <c r="P34" s="334">
        <f t="shared" si="11"/>
        <v>2</v>
      </c>
      <c r="Q34" s="334">
        <f t="shared" si="11"/>
        <v>10</v>
      </c>
      <c r="R34" s="334">
        <f t="shared" si="11"/>
        <v>3</v>
      </c>
      <c r="S34" s="334">
        <f t="shared" si="11"/>
        <v>13</v>
      </c>
      <c r="T34" s="334">
        <f t="shared" si="11"/>
        <v>0</v>
      </c>
      <c r="U34" s="334">
        <f t="shared" si="11"/>
        <v>0</v>
      </c>
      <c r="V34" s="334">
        <f t="shared" si="11"/>
        <v>0</v>
      </c>
      <c r="W34" s="569">
        <f>I34/F34</f>
        <v>0.59687500000000004</v>
      </c>
      <c r="X34" s="569">
        <f>I34*4/(D34*0.0008)</f>
        <v>1.3642857142857143</v>
      </c>
      <c r="Y34" s="334">
        <f t="shared" ref="Y34:AU34" si="12">Y30+Y31+Y32+Y33</f>
        <v>0</v>
      </c>
      <c r="Z34" s="334">
        <f t="shared" si="12"/>
        <v>0</v>
      </c>
      <c r="AA34" s="334">
        <f t="shared" si="12"/>
        <v>0</v>
      </c>
      <c r="AB34" s="334">
        <f t="shared" si="12"/>
        <v>0</v>
      </c>
      <c r="AC34" s="334">
        <f t="shared" si="12"/>
        <v>0</v>
      </c>
      <c r="AD34" s="334">
        <f t="shared" si="12"/>
        <v>0</v>
      </c>
      <c r="AE34" s="334">
        <f>AE30+AE31+AE32+AE33</f>
        <v>84</v>
      </c>
      <c r="AF34" s="334">
        <f>AF30+AF31+AF32+AF33</f>
        <v>99</v>
      </c>
      <c r="AG34" s="335">
        <f>AE34+AF34</f>
        <v>183</v>
      </c>
      <c r="AH34" s="334">
        <f t="shared" si="12"/>
        <v>0</v>
      </c>
      <c r="AI34" s="334">
        <f t="shared" si="12"/>
        <v>0</v>
      </c>
      <c r="AJ34" s="334">
        <f t="shared" si="12"/>
        <v>0</v>
      </c>
      <c r="AK34" s="334">
        <f t="shared" si="12"/>
        <v>0</v>
      </c>
      <c r="AL34" s="334">
        <f t="shared" si="12"/>
        <v>0</v>
      </c>
      <c r="AM34" s="334">
        <f t="shared" si="12"/>
        <v>0</v>
      </c>
      <c r="AN34" s="334">
        <f t="shared" si="12"/>
        <v>54</v>
      </c>
      <c r="AO34" s="334">
        <f t="shared" si="12"/>
        <v>105</v>
      </c>
      <c r="AP34" s="335">
        <f>AN34+AO34</f>
        <v>159</v>
      </c>
      <c r="AQ34" s="333">
        <f t="shared" si="9"/>
        <v>353</v>
      </c>
      <c r="AR34" s="333">
        <f t="shared" si="9"/>
        <v>427</v>
      </c>
      <c r="AS34" s="333"/>
      <c r="AT34" s="333"/>
      <c r="AU34" s="334">
        <f t="shared" si="12"/>
        <v>780</v>
      </c>
      <c r="AV34" s="569">
        <f>I34/(I34+AG34)</f>
        <v>0.67610619469026545</v>
      </c>
      <c r="AW34" s="569">
        <v>0.68</v>
      </c>
      <c r="AX34" s="569">
        <f>AU34/E34</f>
        <v>0.54166666666666663</v>
      </c>
      <c r="AY34" s="569">
        <f>AU34*4/(D34*0.00177)</f>
        <v>1.2590799031476998</v>
      </c>
      <c r="AZ34" s="569">
        <f>(M34+P34+S34)/AU34</f>
        <v>7.179487179487179E-2</v>
      </c>
      <c r="BA34" s="570">
        <f>I34*4/D34*100000</f>
        <v>109.14285714285715</v>
      </c>
      <c r="BB34" s="571">
        <f>AU34*4/D34*100000</f>
        <v>222.85714285714286</v>
      </c>
      <c r="BC34" s="571"/>
      <c r="BD34" s="571"/>
      <c r="BE34" s="333">
        <v>5</v>
      </c>
      <c r="BF34" s="511" t="s">
        <v>121</v>
      </c>
      <c r="BG34" s="568" t="s">
        <v>122</v>
      </c>
      <c r="BH34" s="572">
        <v>0</v>
      </c>
      <c r="BI34" s="572">
        <v>0</v>
      </c>
      <c r="BJ34" s="334">
        <f>BJ30+BJ31+BJ32+BJ33</f>
        <v>2</v>
      </c>
      <c r="BK34" s="334">
        <f t="shared" ref="BK34:BZ34" si="13">BK30+BK31+BK32+BK33</f>
        <v>15</v>
      </c>
      <c r="BL34" s="334">
        <f t="shared" si="13"/>
        <v>54</v>
      </c>
      <c r="BM34" s="334">
        <f t="shared" si="13"/>
        <v>90</v>
      </c>
      <c r="BN34" s="334">
        <f t="shared" si="13"/>
        <v>54</v>
      </c>
      <c r="BO34" s="334">
        <f t="shared" si="13"/>
        <v>34</v>
      </c>
      <c r="BP34" s="334">
        <f t="shared" si="13"/>
        <v>23</v>
      </c>
      <c r="BQ34" s="334">
        <f t="shared" si="13"/>
        <v>27</v>
      </c>
      <c r="BR34" s="334">
        <f t="shared" si="13"/>
        <v>20</v>
      </c>
      <c r="BS34" s="334">
        <f t="shared" si="13"/>
        <v>12</v>
      </c>
      <c r="BT34" s="334">
        <f t="shared" si="13"/>
        <v>17</v>
      </c>
      <c r="BU34" s="334">
        <f t="shared" si="13"/>
        <v>11</v>
      </c>
      <c r="BV34" s="334">
        <f t="shared" si="13"/>
        <v>16</v>
      </c>
      <c r="BW34" s="334">
        <f t="shared" si="13"/>
        <v>7</v>
      </c>
      <c r="BX34" s="334">
        <f t="shared" si="13"/>
        <v>186</v>
      </c>
      <c r="BY34" s="334">
        <f t="shared" si="13"/>
        <v>196</v>
      </c>
      <c r="BZ34" s="334">
        <f t="shared" si="13"/>
        <v>382</v>
      </c>
    </row>
    <row r="35" spans="1:78" ht="80.099999999999994" customHeight="1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</row>
    <row r="36" spans="1:78" ht="80.099999999999994" customHeight="1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</row>
    <row r="37" spans="1:78" ht="120" customHeight="1">
      <c r="A37" s="822" t="s">
        <v>40</v>
      </c>
      <c r="B37" s="823"/>
      <c r="C37" s="547"/>
      <c r="D37" s="330"/>
      <c r="E37" s="330"/>
      <c r="F37" s="330"/>
      <c r="G37" s="330"/>
      <c r="H37" s="330"/>
      <c r="I37" s="330"/>
      <c r="J37" s="330"/>
      <c r="K37" s="330"/>
      <c r="L37" s="330"/>
      <c r="M37" s="330"/>
      <c r="N37" s="330"/>
      <c r="O37" s="330"/>
      <c r="P37" s="330"/>
      <c r="Q37" s="330"/>
      <c r="R37" s="330"/>
      <c r="S37" s="330"/>
      <c r="T37" s="330"/>
      <c r="U37" s="330"/>
      <c r="V37" s="330"/>
      <c r="W37" s="330"/>
      <c r="X37" s="330"/>
      <c r="Y37" s="330"/>
      <c r="Z37" s="330"/>
      <c r="AA37" s="330"/>
      <c r="AB37" s="330"/>
      <c r="AC37" s="330"/>
      <c r="AD37" s="330"/>
      <c r="AE37" s="330"/>
      <c r="AF37" s="330"/>
      <c r="AG37" s="330"/>
      <c r="AH37" s="330"/>
      <c r="AI37" s="330"/>
      <c r="AJ37" s="330"/>
      <c r="AK37" s="330"/>
      <c r="AL37" s="330"/>
      <c r="AM37" s="330"/>
      <c r="AN37" s="330"/>
      <c r="AO37" s="330"/>
      <c r="AP37" s="330"/>
      <c r="AQ37" s="330"/>
      <c r="AR37" s="330"/>
      <c r="AS37" s="330"/>
      <c r="AT37" s="330"/>
      <c r="AU37" s="330"/>
      <c r="AV37" s="330"/>
      <c r="AW37" s="330"/>
      <c r="AX37" s="330"/>
      <c r="AY37" s="330"/>
      <c r="AZ37" s="330"/>
      <c r="BA37" s="330"/>
      <c r="BB37" s="330"/>
      <c r="BC37" s="330"/>
      <c r="BD37" s="330"/>
      <c r="BE37" s="824" t="s">
        <v>40</v>
      </c>
      <c r="BF37" s="825"/>
      <c r="BG37" s="547"/>
      <c r="BH37" s="330"/>
      <c r="BI37" s="330"/>
      <c r="BJ37" s="330"/>
      <c r="BK37" s="330"/>
      <c r="BL37" s="330"/>
      <c r="BM37" s="330"/>
      <c r="BN37" s="330"/>
      <c r="BO37" s="330"/>
      <c r="BP37" s="330"/>
      <c r="BQ37" s="330"/>
      <c r="BR37" s="330"/>
      <c r="BS37" s="330"/>
      <c r="BT37" s="330"/>
      <c r="BU37" s="330"/>
      <c r="BV37" s="330"/>
      <c r="BW37" s="330"/>
      <c r="BX37" s="330"/>
      <c r="BY37" s="330"/>
      <c r="BZ37" s="330"/>
    </row>
    <row r="38" spans="1:78" ht="120" customHeight="1">
      <c r="A38" s="846" t="s">
        <v>104</v>
      </c>
      <c r="B38" s="846"/>
      <c r="C38" s="548"/>
      <c r="D38" s="604"/>
      <c r="E38" s="604"/>
      <c r="F38" s="604"/>
      <c r="G38" s="847" t="s">
        <v>34</v>
      </c>
      <c r="H38" s="847"/>
      <c r="I38" s="847"/>
      <c r="J38" s="847"/>
      <c r="K38" s="847"/>
      <c r="L38" s="847"/>
      <c r="M38" s="847"/>
      <c r="N38" s="847"/>
      <c r="O38" s="847"/>
      <c r="P38" s="847"/>
      <c r="Q38" s="847"/>
      <c r="R38" s="847"/>
      <c r="S38" s="847"/>
      <c r="T38" s="533"/>
      <c r="U38" s="533"/>
      <c r="V38" s="533"/>
      <c r="W38" s="533"/>
      <c r="X38" s="605"/>
      <c r="Y38" s="847" t="s">
        <v>28</v>
      </c>
      <c r="Z38" s="847"/>
      <c r="AA38" s="847"/>
      <c r="AB38" s="847"/>
      <c r="AC38" s="847"/>
      <c r="AD38" s="847"/>
      <c r="AE38" s="847"/>
      <c r="AF38" s="847"/>
      <c r="AG38" s="847"/>
      <c r="AH38" s="847" t="s">
        <v>35</v>
      </c>
      <c r="AI38" s="847"/>
      <c r="AJ38" s="847"/>
      <c r="AK38" s="847"/>
      <c r="AL38" s="847"/>
      <c r="AM38" s="847"/>
      <c r="AN38" s="847"/>
      <c r="AO38" s="847"/>
      <c r="AP38" s="847"/>
      <c r="AQ38" s="552"/>
      <c r="AR38" s="553"/>
      <c r="AS38" s="553"/>
      <c r="AT38" s="553"/>
      <c r="AU38" s="553"/>
      <c r="AV38" s="553"/>
      <c r="AW38" s="553"/>
      <c r="AX38" s="553"/>
      <c r="AY38" s="553"/>
      <c r="AZ38" s="553"/>
      <c r="BA38" s="553"/>
      <c r="BB38" s="554"/>
      <c r="BC38" s="553"/>
      <c r="BD38" s="553"/>
      <c r="BE38" s="848" t="s">
        <v>104</v>
      </c>
      <c r="BF38" s="849"/>
      <c r="BG38" s="555"/>
      <c r="BH38" s="606"/>
      <c r="BI38" s="606"/>
      <c r="BJ38" s="606"/>
      <c r="BK38" s="606"/>
      <c r="BL38" s="606"/>
      <c r="BM38" s="606"/>
      <c r="BN38" s="606"/>
      <c r="BO38" s="606"/>
      <c r="BP38" s="606"/>
      <c r="BQ38" s="606"/>
      <c r="BR38" s="606"/>
      <c r="BS38" s="606"/>
      <c r="BT38" s="606"/>
      <c r="BU38" s="606"/>
      <c r="BV38" s="606"/>
      <c r="BW38" s="606"/>
      <c r="BX38" s="606"/>
      <c r="BY38" s="606"/>
      <c r="BZ38" s="606"/>
    </row>
    <row r="39" spans="1:78" ht="120" customHeight="1">
      <c r="A39" s="850" t="s">
        <v>2</v>
      </c>
      <c r="B39" s="850"/>
      <c r="C39" s="557"/>
      <c r="D39" s="549"/>
      <c r="E39" s="549"/>
      <c r="F39" s="549"/>
      <c r="G39" s="847" t="s">
        <v>10</v>
      </c>
      <c r="H39" s="847"/>
      <c r="I39" s="847"/>
      <c r="J39" s="285"/>
      <c r="K39" s="847" t="s">
        <v>29</v>
      </c>
      <c r="L39" s="847"/>
      <c r="M39" s="847"/>
      <c r="N39" s="847"/>
      <c r="O39" s="847"/>
      <c r="P39" s="847"/>
      <c r="Q39" s="847"/>
      <c r="R39" s="847"/>
      <c r="S39" s="847"/>
      <c r="T39" s="531"/>
      <c r="U39" s="531"/>
      <c r="V39" s="531"/>
      <c r="W39" s="531"/>
      <c r="X39" s="539"/>
      <c r="Y39" s="847" t="s">
        <v>12</v>
      </c>
      <c r="Z39" s="847"/>
      <c r="AA39" s="847"/>
      <c r="AB39" s="847"/>
      <c r="AC39" s="847"/>
      <c r="AD39" s="847"/>
      <c r="AE39" s="847"/>
      <c r="AF39" s="847"/>
      <c r="AG39" s="847"/>
      <c r="AH39" s="847"/>
      <c r="AI39" s="847"/>
      <c r="AJ39" s="847"/>
      <c r="AK39" s="847"/>
      <c r="AL39" s="847"/>
      <c r="AM39" s="847"/>
      <c r="AN39" s="847"/>
      <c r="AO39" s="847"/>
      <c r="AP39" s="847"/>
      <c r="AQ39" s="557"/>
      <c r="AR39" s="558"/>
      <c r="AS39" s="558"/>
      <c r="AT39" s="558"/>
      <c r="AU39" s="558"/>
      <c r="AV39" s="607"/>
      <c r="AW39" s="607"/>
      <c r="AX39" s="607"/>
      <c r="AY39" s="607"/>
      <c r="AZ39" s="607"/>
      <c r="BA39" s="607"/>
      <c r="BB39" s="608"/>
      <c r="BC39" s="607"/>
      <c r="BD39" s="607"/>
      <c r="BE39" s="851" t="s">
        <v>3</v>
      </c>
      <c r="BF39" s="852"/>
      <c r="BG39" s="560"/>
      <c r="BH39" s="606"/>
      <c r="BI39" s="606"/>
      <c r="BJ39" s="606"/>
      <c r="BK39" s="606"/>
      <c r="BL39" s="606"/>
      <c r="BM39" s="606"/>
      <c r="BN39" s="606"/>
      <c r="BO39" s="606"/>
      <c r="BP39" s="606"/>
      <c r="BQ39" s="606"/>
      <c r="BR39" s="606"/>
      <c r="BS39" s="606"/>
      <c r="BT39" s="606"/>
      <c r="BU39" s="606"/>
      <c r="BV39" s="606"/>
      <c r="BW39" s="606"/>
      <c r="BX39" s="606"/>
      <c r="BY39" s="606"/>
      <c r="BZ39" s="606"/>
    </row>
    <row r="40" spans="1:78" ht="120" customHeight="1">
      <c r="A40" s="850" t="s">
        <v>0</v>
      </c>
      <c r="B40" s="853" t="s">
        <v>42</v>
      </c>
      <c r="C40" s="853" t="s">
        <v>43</v>
      </c>
      <c r="D40" s="850" t="s">
        <v>44</v>
      </c>
      <c r="E40" s="527"/>
      <c r="F40" s="855" t="s">
        <v>115</v>
      </c>
      <c r="G40" s="847"/>
      <c r="H40" s="847"/>
      <c r="I40" s="847"/>
      <c r="J40" s="285"/>
      <c r="K40" s="847" t="s">
        <v>11</v>
      </c>
      <c r="L40" s="847"/>
      <c r="M40" s="847"/>
      <c r="N40" s="847" t="s">
        <v>38</v>
      </c>
      <c r="O40" s="847"/>
      <c r="P40" s="847"/>
      <c r="Q40" s="847" t="s">
        <v>39</v>
      </c>
      <c r="R40" s="847"/>
      <c r="S40" s="847"/>
      <c r="T40" s="857" t="s">
        <v>47</v>
      </c>
      <c r="U40" s="858"/>
      <c r="V40" s="859"/>
      <c r="W40" s="529"/>
      <c r="X40" s="847" t="s">
        <v>13</v>
      </c>
      <c r="Y40" s="850" t="s">
        <v>30</v>
      </c>
      <c r="Z40" s="850"/>
      <c r="AA40" s="850" t="s">
        <v>23</v>
      </c>
      <c r="AB40" s="850"/>
      <c r="AC40" s="850" t="s">
        <v>31</v>
      </c>
      <c r="AD40" s="850"/>
      <c r="AE40" s="851" t="s">
        <v>170</v>
      </c>
      <c r="AF40" s="852"/>
      <c r="AG40" s="850" t="s">
        <v>32</v>
      </c>
      <c r="AH40" s="850" t="s">
        <v>30</v>
      </c>
      <c r="AI40" s="850"/>
      <c r="AJ40" s="850" t="s">
        <v>23</v>
      </c>
      <c r="AK40" s="850"/>
      <c r="AL40" s="850" t="s">
        <v>31</v>
      </c>
      <c r="AM40" s="850"/>
      <c r="AN40" s="851" t="s">
        <v>169</v>
      </c>
      <c r="AO40" s="852"/>
      <c r="AP40" s="850" t="s">
        <v>32</v>
      </c>
      <c r="AQ40" s="847" t="s">
        <v>33</v>
      </c>
      <c r="AR40" s="847"/>
      <c r="AS40" s="847"/>
      <c r="AT40" s="847"/>
      <c r="AU40" s="847"/>
      <c r="AV40" s="860" t="s">
        <v>22</v>
      </c>
      <c r="AW40" s="528"/>
      <c r="AX40" s="528"/>
      <c r="AY40" s="847" t="s">
        <v>14</v>
      </c>
      <c r="AZ40" s="847" t="s">
        <v>18</v>
      </c>
      <c r="BA40" s="847" t="s">
        <v>19</v>
      </c>
      <c r="BB40" s="847" t="s">
        <v>20</v>
      </c>
      <c r="BC40" s="857" t="s">
        <v>171</v>
      </c>
      <c r="BD40" s="859"/>
      <c r="BE40" s="852" t="s">
        <v>0</v>
      </c>
      <c r="BF40" s="853" t="s">
        <v>42</v>
      </c>
      <c r="BG40" s="853" t="s">
        <v>43</v>
      </c>
      <c r="BH40" s="850" t="s">
        <v>36</v>
      </c>
      <c r="BI40" s="850"/>
      <c r="BJ40" s="861" t="s">
        <v>37</v>
      </c>
      <c r="BK40" s="861"/>
      <c r="BL40" s="850" t="s">
        <v>4</v>
      </c>
      <c r="BM40" s="850"/>
      <c r="BN40" s="850" t="s">
        <v>5</v>
      </c>
      <c r="BO40" s="850"/>
      <c r="BP40" s="850" t="s">
        <v>6</v>
      </c>
      <c r="BQ40" s="850"/>
      <c r="BR40" s="850" t="s">
        <v>7</v>
      </c>
      <c r="BS40" s="850"/>
      <c r="BT40" s="850" t="s">
        <v>8</v>
      </c>
      <c r="BU40" s="850"/>
      <c r="BV40" s="850" t="s">
        <v>9</v>
      </c>
      <c r="BW40" s="850"/>
      <c r="BX40" s="850" t="s">
        <v>21</v>
      </c>
      <c r="BY40" s="850"/>
      <c r="BZ40" s="850"/>
    </row>
    <row r="41" spans="1:78" ht="120" customHeight="1">
      <c r="A41" s="850"/>
      <c r="B41" s="854"/>
      <c r="C41" s="854"/>
      <c r="D41" s="850"/>
      <c r="E41" s="530"/>
      <c r="F41" s="856"/>
      <c r="G41" s="285" t="s">
        <v>16</v>
      </c>
      <c r="H41" s="285" t="s">
        <v>17</v>
      </c>
      <c r="I41" s="285" t="s">
        <v>32</v>
      </c>
      <c r="J41" s="285"/>
      <c r="K41" s="285" t="s">
        <v>16</v>
      </c>
      <c r="L41" s="285" t="s">
        <v>17</v>
      </c>
      <c r="M41" s="285" t="s">
        <v>32</v>
      </c>
      <c r="N41" s="285" t="s">
        <v>16</v>
      </c>
      <c r="O41" s="285" t="s">
        <v>17</v>
      </c>
      <c r="P41" s="285" t="s">
        <v>32</v>
      </c>
      <c r="Q41" s="285" t="s">
        <v>16</v>
      </c>
      <c r="R41" s="285" t="s">
        <v>17</v>
      </c>
      <c r="S41" s="285" t="s">
        <v>32</v>
      </c>
      <c r="T41" s="285" t="s">
        <v>16</v>
      </c>
      <c r="U41" s="285" t="s">
        <v>17</v>
      </c>
      <c r="V41" s="285" t="s">
        <v>32</v>
      </c>
      <c r="W41" s="285"/>
      <c r="X41" s="847"/>
      <c r="Y41" s="285" t="s">
        <v>16</v>
      </c>
      <c r="Z41" s="285" t="s">
        <v>17</v>
      </c>
      <c r="AA41" s="285" t="s">
        <v>16</v>
      </c>
      <c r="AB41" s="285" t="s">
        <v>17</v>
      </c>
      <c r="AC41" s="285" t="s">
        <v>16</v>
      </c>
      <c r="AD41" s="285" t="s">
        <v>17</v>
      </c>
      <c r="AE41" s="285" t="s">
        <v>16</v>
      </c>
      <c r="AF41" s="285" t="s">
        <v>17</v>
      </c>
      <c r="AG41" s="850"/>
      <c r="AH41" s="285" t="s">
        <v>16</v>
      </c>
      <c r="AI41" s="285" t="s">
        <v>17</v>
      </c>
      <c r="AJ41" s="285" t="s">
        <v>16</v>
      </c>
      <c r="AK41" s="285" t="s">
        <v>17</v>
      </c>
      <c r="AL41" s="285" t="s">
        <v>16</v>
      </c>
      <c r="AM41" s="285" t="s">
        <v>17</v>
      </c>
      <c r="AN41" s="285" t="s">
        <v>16</v>
      </c>
      <c r="AO41" s="285" t="s">
        <v>17</v>
      </c>
      <c r="AP41" s="850"/>
      <c r="AQ41" s="285" t="s">
        <v>16</v>
      </c>
      <c r="AR41" s="285" t="s">
        <v>17</v>
      </c>
      <c r="AS41" s="285"/>
      <c r="AT41" s="285"/>
      <c r="AU41" s="285" t="s">
        <v>32</v>
      </c>
      <c r="AV41" s="860"/>
      <c r="AW41" s="528"/>
      <c r="AX41" s="528"/>
      <c r="AY41" s="847"/>
      <c r="AZ41" s="847"/>
      <c r="BA41" s="847"/>
      <c r="BB41" s="847"/>
      <c r="BC41" s="529" t="s">
        <v>172</v>
      </c>
      <c r="BD41" s="529" t="s">
        <v>173</v>
      </c>
      <c r="BE41" s="852"/>
      <c r="BF41" s="854"/>
      <c r="BG41" s="854"/>
      <c r="BH41" s="285" t="s">
        <v>16</v>
      </c>
      <c r="BI41" s="285" t="s">
        <v>17</v>
      </c>
      <c r="BJ41" s="285" t="s">
        <v>16</v>
      </c>
      <c r="BK41" s="285" t="s">
        <v>17</v>
      </c>
      <c r="BL41" s="285" t="s">
        <v>16</v>
      </c>
      <c r="BM41" s="285" t="s">
        <v>17</v>
      </c>
      <c r="BN41" s="285" t="s">
        <v>16</v>
      </c>
      <c r="BO41" s="285" t="s">
        <v>17</v>
      </c>
      <c r="BP41" s="285" t="s">
        <v>16</v>
      </c>
      <c r="BQ41" s="285" t="s">
        <v>17</v>
      </c>
      <c r="BR41" s="285" t="s">
        <v>16</v>
      </c>
      <c r="BS41" s="285" t="s">
        <v>17</v>
      </c>
      <c r="BT41" s="285" t="s">
        <v>16</v>
      </c>
      <c r="BU41" s="285" t="s">
        <v>17</v>
      </c>
      <c r="BV41" s="285" t="s">
        <v>16</v>
      </c>
      <c r="BW41" s="285" t="s">
        <v>17</v>
      </c>
      <c r="BX41" s="285" t="s">
        <v>16</v>
      </c>
      <c r="BY41" s="285" t="s">
        <v>17</v>
      </c>
      <c r="BZ41" s="331" t="s">
        <v>32</v>
      </c>
    </row>
    <row r="42" spans="1:78" ht="120" customHeight="1">
      <c r="A42" s="290">
        <v>1</v>
      </c>
      <c r="B42" s="289" t="s">
        <v>116</v>
      </c>
      <c r="C42" s="288" t="s">
        <v>117</v>
      </c>
      <c r="D42" s="561">
        <v>500000</v>
      </c>
      <c r="E42" s="561">
        <f>(F42*2)+F42*0.25</f>
        <v>225</v>
      </c>
      <c r="F42" s="561">
        <v>100</v>
      </c>
      <c r="G42" s="286">
        <v>62</v>
      </c>
      <c r="H42" s="286">
        <v>51</v>
      </c>
      <c r="I42" s="290">
        <f>SUM(G42:H42)</f>
        <v>113</v>
      </c>
      <c r="J42" s="290"/>
      <c r="K42" s="286">
        <v>5</v>
      </c>
      <c r="L42" s="286">
        <v>2</v>
      </c>
      <c r="M42" s="290">
        <f>SUM(K42:L42)</f>
        <v>7</v>
      </c>
      <c r="N42" s="286">
        <v>1</v>
      </c>
      <c r="O42" s="286">
        <v>0</v>
      </c>
      <c r="P42" s="290">
        <f>SUM(N42:O42)</f>
        <v>1</v>
      </c>
      <c r="Q42" s="286">
        <v>2</v>
      </c>
      <c r="R42" s="286">
        <v>0</v>
      </c>
      <c r="S42" s="290">
        <f>SUM(Q42:R42)</f>
        <v>2</v>
      </c>
      <c r="T42" s="290"/>
      <c r="U42" s="290"/>
      <c r="V42" s="290"/>
      <c r="W42" s="609">
        <f>I42/F42</f>
        <v>1.1299999999999999</v>
      </c>
      <c r="X42" s="563">
        <f>I42*4/(D42*0.0008)</f>
        <v>1.1299999999999999</v>
      </c>
      <c r="Y42" s="564"/>
      <c r="Z42" s="564"/>
      <c r="AA42" s="564"/>
      <c r="AB42" s="286"/>
      <c r="AC42" s="286"/>
      <c r="AD42" s="286"/>
      <c r="AE42" s="286">
        <v>14</v>
      </c>
      <c r="AF42" s="286">
        <v>17</v>
      </c>
      <c r="AG42" s="598">
        <f>AE42+AF42</f>
        <v>31</v>
      </c>
      <c r="AH42" s="564"/>
      <c r="AI42" s="332"/>
      <c r="AJ42" s="332"/>
      <c r="AK42" s="286"/>
      <c r="AL42" s="286"/>
      <c r="AM42" s="286"/>
      <c r="AN42" s="286">
        <v>24</v>
      </c>
      <c r="AO42" s="286">
        <v>20</v>
      </c>
      <c r="AP42" s="598">
        <f>AN42+AO42</f>
        <v>44</v>
      </c>
      <c r="AQ42" s="332">
        <f t="shared" ref="AQ42:AR46" si="14">AN42+AE42+T42+Q42+N42+K42+G42</f>
        <v>108</v>
      </c>
      <c r="AR42" s="332">
        <f t="shared" si="14"/>
        <v>90</v>
      </c>
      <c r="AS42" s="565"/>
      <c r="AT42" s="565"/>
      <c r="AU42" s="565">
        <f>SUM(AQ42:AR42)</f>
        <v>198</v>
      </c>
      <c r="AV42" s="563">
        <f>I42/(I42+AG42)</f>
        <v>0.78472222222222221</v>
      </c>
      <c r="AW42" s="563"/>
      <c r="AX42" s="563">
        <f>AU42/E42</f>
        <v>0.88</v>
      </c>
      <c r="AY42" s="563">
        <f>AU42*4/(D42*0.00177)</f>
        <v>0.89491525423728813</v>
      </c>
      <c r="AZ42" s="563">
        <f>(M42+P42+S42)/AU42</f>
        <v>5.0505050505050504E-2</v>
      </c>
      <c r="BA42" s="566">
        <f>I42*4/D42*100000</f>
        <v>90.399999999999991</v>
      </c>
      <c r="BB42" s="567">
        <f>AU42*4/D42*100000</f>
        <v>158.39999999999998</v>
      </c>
      <c r="BC42" s="567">
        <v>17</v>
      </c>
      <c r="BD42" s="567">
        <v>14</v>
      </c>
      <c r="BE42" s="290">
        <v>1</v>
      </c>
      <c r="BF42" s="289" t="s">
        <v>116</v>
      </c>
      <c r="BG42" s="288" t="s">
        <v>117</v>
      </c>
      <c r="BH42" s="334">
        <v>0</v>
      </c>
      <c r="BI42" s="334">
        <v>0</v>
      </c>
      <c r="BJ42" s="286">
        <v>2</v>
      </c>
      <c r="BK42" s="286">
        <v>5</v>
      </c>
      <c r="BL42" s="286">
        <v>16</v>
      </c>
      <c r="BM42" s="286">
        <v>19</v>
      </c>
      <c r="BN42" s="286">
        <v>7</v>
      </c>
      <c r="BO42" s="286">
        <v>9</v>
      </c>
      <c r="BP42" s="286">
        <v>15</v>
      </c>
      <c r="BQ42" s="286">
        <v>8</v>
      </c>
      <c r="BR42" s="286">
        <v>9</v>
      </c>
      <c r="BS42" s="286">
        <v>8</v>
      </c>
      <c r="BT42" s="286">
        <v>10</v>
      </c>
      <c r="BU42" s="286">
        <v>1</v>
      </c>
      <c r="BV42" s="286">
        <v>3</v>
      </c>
      <c r="BW42" s="286">
        <v>1</v>
      </c>
      <c r="BX42" s="332">
        <f t="shared" ref="BX42:BY45" si="15">BV42+BT42+BR42+BP42+BN42+BL42+BJ42+BH42</f>
        <v>62</v>
      </c>
      <c r="BY42" s="332">
        <f t="shared" si="15"/>
        <v>51</v>
      </c>
      <c r="BZ42" s="565">
        <f>BY42+BX42</f>
        <v>113</v>
      </c>
    </row>
    <row r="43" spans="1:78" ht="120" customHeight="1">
      <c r="A43" s="290">
        <v>2</v>
      </c>
      <c r="B43" s="289" t="s">
        <v>118</v>
      </c>
      <c r="C43" s="288" t="s">
        <v>80</v>
      </c>
      <c r="D43" s="561">
        <v>300000</v>
      </c>
      <c r="E43" s="561">
        <f>(F43*2)+F43*0.25</f>
        <v>225</v>
      </c>
      <c r="F43" s="561">
        <v>100</v>
      </c>
      <c r="G43" s="286">
        <v>11</v>
      </c>
      <c r="H43" s="286">
        <v>8</v>
      </c>
      <c r="I43" s="290">
        <f>SUM(G43:H43)</f>
        <v>19</v>
      </c>
      <c r="J43" s="290"/>
      <c r="K43" s="286">
        <v>0</v>
      </c>
      <c r="L43" s="286">
        <v>1</v>
      </c>
      <c r="M43" s="290">
        <f>SUM(K43:L43)</f>
        <v>1</v>
      </c>
      <c r="N43" s="286">
        <v>0</v>
      </c>
      <c r="O43" s="286">
        <v>2</v>
      </c>
      <c r="P43" s="290">
        <f>SUM(N43:O43)</f>
        <v>2</v>
      </c>
      <c r="Q43" s="286">
        <v>2</v>
      </c>
      <c r="R43" s="286">
        <v>1</v>
      </c>
      <c r="S43" s="290">
        <f>SUM(Q43:R43)</f>
        <v>3</v>
      </c>
      <c r="T43" s="290"/>
      <c r="U43" s="290"/>
      <c r="V43" s="290"/>
      <c r="W43" s="609">
        <f>I43/F43</f>
        <v>0.19</v>
      </c>
      <c r="X43" s="609">
        <f>I43*4/(D43*0.0008)</f>
        <v>0.31666666666666665</v>
      </c>
      <c r="Y43" s="598"/>
      <c r="Z43" s="598"/>
      <c r="AA43" s="598"/>
      <c r="AB43" s="287"/>
      <c r="AC43" s="287"/>
      <c r="AD43" s="287"/>
      <c r="AE43" s="286">
        <v>9</v>
      </c>
      <c r="AF43" s="286">
        <v>45</v>
      </c>
      <c r="AG43" s="598">
        <f>AE43+AF43</f>
        <v>54</v>
      </c>
      <c r="AH43" s="598"/>
      <c r="AI43" s="290"/>
      <c r="AJ43" s="290"/>
      <c r="AK43" s="287"/>
      <c r="AL43" s="287"/>
      <c r="AM43" s="287"/>
      <c r="AN43" s="286">
        <v>4</v>
      </c>
      <c r="AO43" s="286">
        <v>22</v>
      </c>
      <c r="AP43" s="598">
        <f>AN43+AO43</f>
        <v>26</v>
      </c>
      <c r="AQ43" s="332">
        <f t="shared" si="14"/>
        <v>26</v>
      </c>
      <c r="AR43" s="332">
        <f t="shared" si="14"/>
        <v>79</v>
      </c>
      <c r="AS43" s="565"/>
      <c r="AT43" s="565"/>
      <c r="AU43" s="565">
        <f>SUM(AQ43:AR43)</f>
        <v>105</v>
      </c>
      <c r="AV43" s="563">
        <f>I43/(I43+AG43)</f>
        <v>0.26027397260273971</v>
      </c>
      <c r="AW43" s="563"/>
      <c r="AX43" s="563">
        <f>AU43/E43</f>
        <v>0.46666666666666667</v>
      </c>
      <c r="AY43" s="563">
        <f>AU43*4/(D43*0.00177)</f>
        <v>0.79096045197740117</v>
      </c>
      <c r="AZ43" s="563">
        <f>(M43+P43+S43)/AU43</f>
        <v>5.7142857142857141E-2</v>
      </c>
      <c r="BA43" s="566">
        <f>I43*4/D43*100000</f>
        <v>25.333333333333332</v>
      </c>
      <c r="BB43" s="567">
        <f>AU43*4/D43*100000</f>
        <v>140</v>
      </c>
      <c r="BC43" s="567">
        <v>3</v>
      </c>
      <c r="BD43" s="610">
        <v>4</v>
      </c>
      <c r="BE43" s="290">
        <v>2</v>
      </c>
      <c r="BF43" s="289" t="s">
        <v>118</v>
      </c>
      <c r="BG43" s="288" t="s">
        <v>80</v>
      </c>
      <c r="BH43" s="334">
        <v>0</v>
      </c>
      <c r="BI43" s="334">
        <v>0</v>
      </c>
      <c r="BJ43" s="286">
        <v>0</v>
      </c>
      <c r="BK43" s="286">
        <v>0</v>
      </c>
      <c r="BL43" s="286">
        <v>4</v>
      </c>
      <c r="BM43" s="286">
        <v>3</v>
      </c>
      <c r="BN43" s="286">
        <v>1</v>
      </c>
      <c r="BO43" s="286">
        <v>3</v>
      </c>
      <c r="BP43" s="286">
        <v>2</v>
      </c>
      <c r="BQ43" s="286">
        <v>0</v>
      </c>
      <c r="BR43" s="286">
        <v>1</v>
      </c>
      <c r="BS43" s="286">
        <v>1</v>
      </c>
      <c r="BT43" s="286">
        <v>2</v>
      </c>
      <c r="BU43" s="286">
        <v>0</v>
      </c>
      <c r="BV43" s="286">
        <v>1</v>
      </c>
      <c r="BW43" s="286">
        <v>1</v>
      </c>
      <c r="BX43" s="290">
        <f t="shared" si="15"/>
        <v>11</v>
      </c>
      <c r="BY43" s="290">
        <f t="shared" si="15"/>
        <v>8</v>
      </c>
      <c r="BZ43" s="600">
        <f>BY43+BX43</f>
        <v>19</v>
      </c>
    </row>
    <row r="44" spans="1:78" ht="120" customHeight="1">
      <c r="A44" s="290">
        <v>3</v>
      </c>
      <c r="B44" s="289" t="s">
        <v>119</v>
      </c>
      <c r="C44" s="288" t="s">
        <v>55</v>
      </c>
      <c r="D44" s="561">
        <v>200000</v>
      </c>
      <c r="E44" s="561">
        <f>(F44*2)+F44*0.25</f>
        <v>495</v>
      </c>
      <c r="F44" s="561">
        <v>220</v>
      </c>
      <c r="G44" s="286">
        <v>68</v>
      </c>
      <c r="H44" s="286">
        <v>70</v>
      </c>
      <c r="I44" s="290">
        <f>SUM(G44:H44)</f>
        <v>138</v>
      </c>
      <c r="J44" s="290"/>
      <c r="K44" s="286">
        <v>4</v>
      </c>
      <c r="L44" s="286">
        <v>6</v>
      </c>
      <c r="M44" s="290">
        <f>SUM(K44:L44)</f>
        <v>10</v>
      </c>
      <c r="N44" s="286">
        <v>0</v>
      </c>
      <c r="O44" s="286">
        <v>0</v>
      </c>
      <c r="P44" s="290">
        <f>SUM(N44:O44)</f>
        <v>0</v>
      </c>
      <c r="Q44" s="286">
        <v>4</v>
      </c>
      <c r="R44" s="286">
        <v>1</v>
      </c>
      <c r="S44" s="290">
        <f>SUM(Q44:R44)</f>
        <v>5</v>
      </c>
      <c r="T44" s="290"/>
      <c r="U44" s="290"/>
      <c r="V44" s="290"/>
      <c r="W44" s="609">
        <f>I44/F44</f>
        <v>0.62727272727272732</v>
      </c>
      <c r="X44" s="563">
        <f>I44*4/(D44*0.0008)</f>
        <v>3.45</v>
      </c>
      <c r="Y44" s="564"/>
      <c r="Z44" s="564"/>
      <c r="AA44" s="564"/>
      <c r="AB44" s="286"/>
      <c r="AC44" s="286"/>
      <c r="AD44" s="286"/>
      <c r="AE44" s="286">
        <v>10</v>
      </c>
      <c r="AF44" s="286">
        <v>18</v>
      </c>
      <c r="AG44" s="598">
        <f>AE44+AF44</f>
        <v>28</v>
      </c>
      <c r="AH44" s="564"/>
      <c r="AI44" s="332"/>
      <c r="AJ44" s="332"/>
      <c r="AK44" s="286"/>
      <c r="AL44" s="286"/>
      <c r="AM44" s="286"/>
      <c r="AN44" s="286">
        <v>7</v>
      </c>
      <c r="AO44" s="286">
        <v>17</v>
      </c>
      <c r="AP44" s="598">
        <f>AN44+AO44</f>
        <v>24</v>
      </c>
      <c r="AQ44" s="332">
        <f t="shared" si="14"/>
        <v>93</v>
      </c>
      <c r="AR44" s="332">
        <f t="shared" si="14"/>
        <v>112</v>
      </c>
      <c r="AS44" s="565"/>
      <c r="AT44" s="565"/>
      <c r="AU44" s="565">
        <f>SUM(AQ44:AR44)</f>
        <v>205</v>
      </c>
      <c r="AV44" s="563">
        <f>I44/(I44+AG44)</f>
        <v>0.83132530120481929</v>
      </c>
      <c r="AW44" s="563"/>
      <c r="AX44" s="563">
        <f>AU44/E44</f>
        <v>0.41414141414141414</v>
      </c>
      <c r="AY44" s="563">
        <f>AU44*4/(D44*0.00177)</f>
        <v>2.3163841807909606</v>
      </c>
      <c r="AZ44" s="563">
        <f>(M44+P44+S44)/AU44</f>
        <v>7.3170731707317069E-2</v>
      </c>
      <c r="BA44" s="566">
        <f>I44*4/D44*100000</f>
        <v>276</v>
      </c>
      <c r="BB44" s="567">
        <f>AU44*4/D44*100000</f>
        <v>410.00000000000006</v>
      </c>
      <c r="BC44" s="567">
        <v>9</v>
      </c>
      <c r="BD44" s="567">
        <v>15</v>
      </c>
      <c r="BE44" s="290">
        <v>3</v>
      </c>
      <c r="BF44" s="289" t="s">
        <v>119</v>
      </c>
      <c r="BG44" s="288" t="s">
        <v>55</v>
      </c>
      <c r="BH44" s="334">
        <v>0</v>
      </c>
      <c r="BI44" s="334">
        <v>0</v>
      </c>
      <c r="BJ44" s="286">
        <v>4</v>
      </c>
      <c r="BK44" s="286">
        <v>4</v>
      </c>
      <c r="BL44" s="286">
        <v>27</v>
      </c>
      <c r="BM44" s="286">
        <v>26</v>
      </c>
      <c r="BN44" s="286">
        <v>12</v>
      </c>
      <c r="BO44" s="286">
        <v>13</v>
      </c>
      <c r="BP44" s="286">
        <v>6</v>
      </c>
      <c r="BQ44" s="286">
        <v>5</v>
      </c>
      <c r="BR44" s="286">
        <v>9</v>
      </c>
      <c r="BS44" s="286">
        <v>11</v>
      </c>
      <c r="BT44" s="286">
        <v>4</v>
      </c>
      <c r="BU44" s="286">
        <v>6</v>
      </c>
      <c r="BV44" s="286">
        <v>6</v>
      </c>
      <c r="BW44" s="286">
        <v>5</v>
      </c>
      <c r="BX44" s="332">
        <f t="shared" si="15"/>
        <v>68</v>
      </c>
      <c r="BY44" s="332">
        <f t="shared" si="15"/>
        <v>70</v>
      </c>
      <c r="BZ44" s="565">
        <f>BY44+BX44</f>
        <v>138</v>
      </c>
    </row>
    <row r="45" spans="1:78" ht="120" customHeight="1">
      <c r="A45" s="290">
        <v>4</v>
      </c>
      <c r="B45" s="289" t="s">
        <v>120</v>
      </c>
      <c r="C45" s="288" t="s">
        <v>51</v>
      </c>
      <c r="D45" s="561">
        <v>350000</v>
      </c>
      <c r="E45" s="561">
        <f>(F45*2)+F45*0.25</f>
        <v>495</v>
      </c>
      <c r="F45" s="561">
        <v>220</v>
      </c>
      <c r="G45" s="562">
        <v>78</v>
      </c>
      <c r="H45" s="562">
        <v>68</v>
      </c>
      <c r="I45" s="332">
        <f>SUM(G45:H45)</f>
        <v>146</v>
      </c>
      <c r="J45" s="332"/>
      <c r="K45" s="562">
        <v>8</v>
      </c>
      <c r="L45" s="562">
        <v>7</v>
      </c>
      <c r="M45" s="332">
        <f>SUM(K45:L45)</f>
        <v>15</v>
      </c>
      <c r="N45" s="562">
        <v>1</v>
      </c>
      <c r="O45" s="562">
        <v>3</v>
      </c>
      <c r="P45" s="332">
        <f>SUM(N45:O45)</f>
        <v>4</v>
      </c>
      <c r="Q45" s="562">
        <v>2</v>
      </c>
      <c r="R45" s="562">
        <v>0</v>
      </c>
      <c r="S45" s="332">
        <f>SUM(Q45:R45)</f>
        <v>2</v>
      </c>
      <c r="T45" s="332"/>
      <c r="U45" s="332"/>
      <c r="V45" s="332"/>
      <c r="W45" s="563">
        <f>I45/F45</f>
        <v>0.66363636363636369</v>
      </c>
      <c r="X45" s="563">
        <f>I45*4/(D45*0.0008)</f>
        <v>2.0857142857142859</v>
      </c>
      <c r="Y45" s="564"/>
      <c r="Z45" s="564"/>
      <c r="AA45" s="564"/>
      <c r="AB45" s="562"/>
      <c r="AC45" s="562"/>
      <c r="AD45" s="562"/>
      <c r="AE45" s="562">
        <v>28</v>
      </c>
      <c r="AF45" s="562">
        <v>44</v>
      </c>
      <c r="AG45" s="564">
        <f>AE45+AF45</f>
        <v>72</v>
      </c>
      <c r="AH45" s="564"/>
      <c r="AI45" s="332"/>
      <c r="AJ45" s="332"/>
      <c r="AK45" s="562"/>
      <c r="AL45" s="562"/>
      <c r="AM45" s="562"/>
      <c r="AN45" s="562">
        <v>16</v>
      </c>
      <c r="AO45" s="562">
        <v>40</v>
      </c>
      <c r="AP45" s="564">
        <f>AN45+AO45</f>
        <v>56</v>
      </c>
      <c r="AQ45" s="332">
        <f t="shared" si="14"/>
        <v>133</v>
      </c>
      <c r="AR45" s="332">
        <f t="shared" si="14"/>
        <v>162</v>
      </c>
      <c r="AS45" s="565"/>
      <c r="AT45" s="565"/>
      <c r="AU45" s="565">
        <f>SUM(AQ45:AR45)</f>
        <v>295</v>
      </c>
      <c r="AV45" s="563">
        <f>I45/(I45+AG45)</f>
        <v>0.66972477064220182</v>
      </c>
      <c r="AW45" s="563"/>
      <c r="AX45" s="563">
        <f>AU45/E45</f>
        <v>0.59595959595959591</v>
      </c>
      <c r="AY45" s="563">
        <f>AU45*4/(D45*0.00177)</f>
        <v>1.9047619047619047</v>
      </c>
      <c r="AZ45" s="563">
        <f>(M45+P45+S45)/AU45</f>
        <v>7.1186440677966104E-2</v>
      </c>
      <c r="BA45" s="566">
        <f>I45*4/D45*100000</f>
        <v>166.85714285714286</v>
      </c>
      <c r="BB45" s="567">
        <f>AU45*4/D45*100000</f>
        <v>337.14285714285711</v>
      </c>
      <c r="BC45" s="567">
        <v>10</v>
      </c>
      <c r="BD45" s="567">
        <v>11</v>
      </c>
      <c r="BE45" s="332">
        <v>4</v>
      </c>
      <c r="BF45" s="289" t="s">
        <v>120</v>
      </c>
      <c r="BG45" s="288" t="s">
        <v>51</v>
      </c>
      <c r="BH45" s="562">
        <v>0</v>
      </c>
      <c r="BI45" s="562">
        <v>0</v>
      </c>
      <c r="BJ45" s="562">
        <v>2</v>
      </c>
      <c r="BK45" s="562">
        <v>5</v>
      </c>
      <c r="BL45" s="562">
        <v>21</v>
      </c>
      <c r="BM45" s="562">
        <v>38</v>
      </c>
      <c r="BN45" s="562">
        <v>19</v>
      </c>
      <c r="BO45" s="562">
        <v>8</v>
      </c>
      <c r="BP45" s="562">
        <v>13</v>
      </c>
      <c r="BQ45" s="562">
        <v>10</v>
      </c>
      <c r="BR45" s="562">
        <v>11</v>
      </c>
      <c r="BS45" s="562">
        <v>4</v>
      </c>
      <c r="BT45" s="562">
        <v>7</v>
      </c>
      <c r="BU45" s="562">
        <v>2</v>
      </c>
      <c r="BV45" s="562">
        <v>5</v>
      </c>
      <c r="BW45" s="562">
        <v>1</v>
      </c>
      <c r="BX45" s="332">
        <f t="shared" si="15"/>
        <v>78</v>
      </c>
      <c r="BY45" s="332">
        <f t="shared" si="15"/>
        <v>68</v>
      </c>
      <c r="BZ45" s="565">
        <f>BY45+BX45</f>
        <v>146</v>
      </c>
    </row>
    <row r="46" spans="1:78" ht="120" customHeight="1">
      <c r="A46" s="290">
        <v>5</v>
      </c>
      <c r="B46" s="289" t="s">
        <v>121</v>
      </c>
      <c r="C46" s="288" t="s">
        <v>122</v>
      </c>
      <c r="D46" s="561">
        <v>1750000</v>
      </c>
      <c r="E46" s="561">
        <f>(F46*2)+F46*0.25</f>
        <v>1440</v>
      </c>
      <c r="F46" s="561">
        <f>SUM(F42:F45)</f>
        <v>640</v>
      </c>
      <c r="G46" s="286">
        <f>G42+G43+G44+G45</f>
        <v>219</v>
      </c>
      <c r="H46" s="286">
        <f>H42+H43+H44+H45</f>
        <v>197</v>
      </c>
      <c r="I46" s="290">
        <f>SUM(G46:H46)</f>
        <v>416</v>
      </c>
      <c r="J46" s="290"/>
      <c r="K46" s="286">
        <f>K42+K43+K44+K45</f>
        <v>17</v>
      </c>
      <c r="L46" s="286">
        <f>L42+L43+L44+L45</f>
        <v>16</v>
      </c>
      <c r="M46" s="290">
        <f>SUM(K46:L46)</f>
        <v>33</v>
      </c>
      <c r="N46" s="286">
        <f>N42+N43+N44+N45</f>
        <v>2</v>
      </c>
      <c r="O46" s="286">
        <f>O42+O43+O44+O45</f>
        <v>5</v>
      </c>
      <c r="P46" s="290">
        <f>SUM(N46:O46)</f>
        <v>7</v>
      </c>
      <c r="Q46" s="286">
        <f>Q42+Q43+Q44+Q45</f>
        <v>10</v>
      </c>
      <c r="R46" s="286">
        <f>R42+R43+R44+R45</f>
        <v>2</v>
      </c>
      <c r="S46" s="290">
        <f>SUM(Q46:R46)</f>
        <v>12</v>
      </c>
      <c r="T46" s="286">
        <f>T42+T43+T44+T45</f>
        <v>0</v>
      </c>
      <c r="U46" s="286">
        <f>U42+U43+U44+U45</f>
        <v>0</v>
      </c>
      <c r="V46" s="290"/>
      <c r="W46" s="609">
        <f>I46/F46</f>
        <v>0.65</v>
      </c>
      <c r="X46" s="563">
        <f>I46*4/(D46*0.0008)</f>
        <v>1.1885714285714286</v>
      </c>
      <c r="Y46" s="564"/>
      <c r="Z46" s="564"/>
      <c r="AA46" s="564"/>
      <c r="AB46" s="286"/>
      <c r="AC46" s="286"/>
      <c r="AD46" s="286"/>
      <c r="AE46" s="286">
        <f>AE42+AE43+AE44+AE45</f>
        <v>61</v>
      </c>
      <c r="AF46" s="286">
        <f>AF42+AF43+AF44+AF45</f>
        <v>124</v>
      </c>
      <c r="AG46" s="598">
        <f>AE46+AF46</f>
        <v>185</v>
      </c>
      <c r="AH46" s="564"/>
      <c r="AI46" s="332"/>
      <c r="AJ46" s="332"/>
      <c r="AK46" s="286"/>
      <c r="AL46" s="286"/>
      <c r="AM46" s="286"/>
      <c r="AN46" s="286">
        <f>AN42+AN43+AN44+AN45</f>
        <v>51</v>
      </c>
      <c r="AO46" s="286">
        <f>AO42+AO43+AO44+AO45</f>
        <v>99</v>
      </c>
      <c r="AP46" s="598">
        <f>AN46+AO46</f>
        <v>150</v>
      </c>
      <c r="AQ46" s="333">
        <f t="shared" si="14"/>
        <v>360</v>
      </c>
      <c r="AR46" s="333">
        <f t="shared" si="14"/>
        <v>443</v>
      </c>
      <c r="AS46" s="333"/>
      <c r="AT46" s="333"/>
      <c r="AU46" s="334">
        <f>AU42+AU43+AU44+AU45</f>
        <v>803</v>
      </c>
      <c r="AV46" s="563">
        <f>I46/(I46+AG46)</f>
        <v>0.6921797004991681</v>
      </c>
      <c r="AW46" s="563"/>
      <c r="AX46" s="563">
        <f>AU46/E46</f>
        <v>0.55763888888888891</v>
      </c>
      <c r="AY46" s="563">
        <f>AU46*4/(D46*0.00177)</f>
        <v>1.0369652945924133</v>
      </c>
      <c r="AZ46" s="563">
        <f>(M46+P46+S46)/AU46</f>
        <v>6.4757160647571602E-2</v>
      </c>
      <c r="BA46" s="566">
        <f>I46*4/D46*100000</f>
        <v>95.085714285714289</v>
      </c>
      <c r="BB46" s="567">
        <f>AU46*4/D46*100000</f>
        <v>183.54285714285714</v>
      </c>
      <c r="BC46" s="567">
        <f>SUM(BC42:BC45)</f>
        <v>39</v>
      </c>
      <c r="BD46" s="567">
        <f>SUM(BD42:BD45)</f>
        <v>44</v>
      </c>
      <c r="BE46" s="290">
        <v>5</v>
      </c>
      <c r="BF46" s="289" t="s">
        <v>121</v>
      </c>
      <c r="BG46" s="288" t="s">
        <v>122</v>
      </c>
      <c r="BH46" s="334">
        <v>0</v>
      </c>
      <c r="BI46" s="334">
        <v>0</v>
      </c>
      <c r="BJ46" s="286">
        <f>BJ42+BJ43+BJ44+BJ45</f>
        <v>8</v>
      </c>
      <c r="BK46" s="286">
        <f t="shared" ref="BK46:BZ46" si="16">BK42+BK43+BK44+BK45</f>
        <v>14</v>
      </c>
      <c r="BL46" s="286">
        <f t="shared" si="16"/>
        <v>68</v>
      </c>
      <c r="BM46" s="286">
        <f t="shared" si="16"/>
        <v>86</v>
      </c>
      <c r="BN46" s="286">
        <f t="shared" si="16"/>
        <v>39</v>
      </c>
      <c r="BO46" s="286">
        <f t="shared" si="16"/>
        <v>33</v>
      </c>
      <c r="BP46" s="286">
        <f t="shared" si="16"/>
        <v>36</v>
      </c>
      <c r="BQ46" s="286">
        <f t="shared" si="16"/>
        <v>23</v>
      </c>
      <c r="BR46" s="286">
        <f t="shared" si="16"/>
        <v>30</v>
      </c>
      <c r="BS46" s="286">
        <f t="shared" si="16"/>
        <v>24</v>
      </c>
      <c r="BT46" s="286">
        <f t="shared" si="16"/>
        <v>23</v>
      </c>
      <c r="BU46" s="286">
        <f t="shared" si="16"/>
        <v>9</v>
      </c>
      <c r="BV46" s="286">
        <f t="shared" si="16"/>
        <v>15</v>
      </c>
      <c r="BW46" s="286">
        <f t="shared" si="16"/>
        <v>8</v>
      </c>
      <c r="BX46" s="286">
        <f t="shared" si="16"/>
        <v>219</v>
      </c>
      <c r="BY46" s="286">
        <f t="shared" si="16"/>
        <v>197</v>
      </c>
      <c r="BZ46" s="286">
        <f t="shared" si="16"/>
        <v>416</v>
      </c>
    </row>
    <row r="47" spans="1:78" ht="80.099999999999994" customHeight="1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118"/>
      <c r="BM47" s="118"/>
      <c r="BN47" s="118"/>
      <c r="BO47" s="118"/>
      <c r="BP47" s="118"/>
      <c r="BQ47" s="118"/>
      <c r="BR47" s="118"/>
      <c r="BS47" s="118"/>
      <c r="BT47" s="118"/>
      <c r="BU47" s="118"/>
      <c r="BV47" s="118"/>
      <c r="BW47" s="118"/>
      <c r="BX47" s="118"/>
      <c r="BY47" s="118"/>
      <c r="BZ47" s="118"/>
    </row>
    <row r="48" spans="1:78" ht="80.099999999999994" customHeight="1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8"/>
      <c r="AX48" s="118"/>
      <c r="AY48" s="118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118"/>
      <c r="BT48" s="118"/>
      <c r="BU48" s="118"/>
      <c r="BV48" s="118"/>
      <c r="BW48" s="118"/>
      <c r="BX48" s="118"/>
      <c r="BY48" s="118"/>
      <c r="BZ48" s="118"/>
    </row>
    <row r="49" spans="1:78" ht="80.099999999999994" customHeight="1">
      <c r="A49" s="981"/>
      <c r="B49" s="981"/>
      <c r="C49" s="982"/>
      <c r="D49" s="983"/>
      <c r="E49" s="983"/>
      <c r="F49" s="983"/>
      <c r="G49" s="983"/>
      <c r="H49" s="983"/>
      <c r="I49" s="983"/>
      <c r="J49" s="983"/>
      <c r="K49" s="983"/>
      <c r="L49" s="983"/>
      <c r="M49" s="983"/>
      <c r="N49" s="983"/>
      <c r="O49" s="983"/>
      <c r="P49" s="983"/>
      <c r="Q49" s="983"/>
      <c r="R49" s="983"/>
      <c r="S49" s="983"/>
      <c r="T49" s="983"/>
      <c r="U49" s="983"/>
      <c r="V49" s="983"/>
      <c r="W49" s="983"/>
      <c r="X49" s="983"/>
      <c r="Y49" s="983"/>
      <c r="Z49" s="983"/>
      <c r="AA49" s="983"/>
      <c r="AB49" s="983"/>
      <c r="AC49" s="983"/>
      <c r="AD49" s="983"/>
      <c r="AE49" s="983"/>
      <c r="AF49" s="983"/>
      <c r="AG49" s="983"/>
      <c r="AH49" s="983"/>
      <c r="AI49" s="983"/>
      <c r="AJ49" s="983"/>
      <c r="AK49" s="983"/>
      <c r="AL49" s="983"/>
      <c r="AM49" s="983"/>
      <c r="AN49" s="983"/>
      <c r="AO49" s="983"/>
      <c r="AP49" s="983"/>
      <c r="AQ49" s="983"/>
      <c r="AR49" s="983"/>
      <c r="AS49" s="983"/>
      <c r="AT49" s="983"/>
      <c r="AU49" s="983"/>
      <c r="AV49" s="983"/>
      <c r="AW49" s="983"/>
      <c r="AX49" s="983"/>
      <c r="AY49" s="983"/>
      <c r="AZ49" s="983"/>
      <c r="BA49" s="983"/>
      <c r="BB49" s="983"/>
      <c r="BC49" s="983"/>
      <c r="BD49" s="983"/>
      <c r="BE49" s="981"/>
      <c r="BF49" s="981"/>
      <c r="BG49" s="982"/>
      <c r="BH49" s="983"/>
      <c r="BI49" s="983"/>
      <c r="BJ49" s="983"/>
      <c r="BK49" s="983"/>
      <c r="BL49" s="983"/>
      <c r="BM49" s="983"/>
      <c r="BN49" s="983"/>
      <c r="BO49" s="983"/>
      <c r="BP49" s="983"/>
      <c r="BQ49" s="983"/>
      <c r="BR49" s="983"/>
      <c r="BS49" s="983"/>
      <c r="BT49" s="983"/>
      <c r="BU49" s="983"/>
      <c r="BV49" s="983"/>
      <c r="BW49" s="983"/>
      <c r="BX49" s="983"/>
      <c r="BY49" s="983"/>
      <c r="BZ49" s="983"/>
    </row>
    <row r="50" spans="1:78" ht="80.099999999999994" customHeight="1">
      <c r="A50" s="984"/>
      <c r="B50" s="984"/>
      <c r="C50" s="985"/>
      <c r="D50" s="986"/>
      <c r="E50" s="986"/>
      <c r="F50" s="986"/>
      <c r="G50" s="987"/>
      <c r="H50" s="987"/>
      <c r="I50" s="987"/>
      <c r="J50" s="987"/>
      <c r="K50" s="987"/>
      <c r="L50" s="987"/>
      <c r="M50" s="987"/>
      <c r="N50" s="987"/>
      <c r="O50" s="987"/>
      <c r="P50" s="987"/>
      <c r="Q50" s="987"/>
      <c r="R50" s="987"/>
      <c r="S50" s="987"/>
      <c r="T50" s="983"/>
      <c r="U50" s="983"/>
      <c r="V50" s="983"/>
      <c r="W50" s="983"/>
      <c r="X50" s="986"/>
      <c r="Y50" s="987"/>
      <c r="Z50" s="987"/>
      <c r="AA50" s="987"/>
      <c r="AB50" s="987"/>
      <c r="AC50" s="987"/>
      <c r="AD50" s="987"/>
      <c r="AE50" s="987"/>
      <c r="AF50" s="987"/>
      <c r="AG50" s="987"/>
      <c r="AH50" s="987"/>
      <c r="AI50" s="987"/>
      <c r="AJ50" s="987"/>
      <c r="AK50" s="987"/>
      <c r="AL50" s="987"/>
      <c r="AM50" s="987"/>
      <c r="AN50" s="987"/>
      <c r="AO50" s="987"/>
      <c r="AP50" s="987"/>
      <c r="AQ50" s="983"/>
      <c r="AR50" s="983"/>
      <c r="AS50" s="983"/>
      <c r="AT50" s="983"/>
      <c r="AU50" s="983"/>
      <c r="AV50" s="983"/>
      <c r="AW50" s="983"/>
      <c r="AX50" s="983"/>
      <c r="AY50" s="983"/>
      <c r="AZ50" s="983"/>
      <c r="BA50" s="983"/>
      <c r="BB50" s="983"/>
      <c r="BC50" s="983"/>
      <c r="BD50" s="983"/>
      <c r="BE50" s="984"/>
      <c r="BF50" s="984"/>
      <c r="BG50" s="985"/>
      <c r="BH50" s="986"/>
      <c r="BI50" s="986"/>
      <c r="BJ50" s="986"/>
      <c r="BK50" s="986"/>
      <c r="BL50" s="986"/>
      <c r="BM50" s="986"/>
      <c r="BN50" s="986"/>
      <c r="BO50" s="986"/>
      <c r="BP50" s="986"/>
      <c r="BQ50" s="986"/>
      <c r="BR50" s="986"/>
      <c r="BS50" s="986"/>
      <c r="BT50" s="986"/>
      <c r="BU50" s="986"/>
      <c r="BV50" s="986"/>
      <c r="BW50" s="986"/>
      <c r="BX50" s="986"/>
      <c r="BY50" s="986"/>
      <c r="BZ50" s="986"/>
    </row>
    <row r="51" spans="1:78" ht="80.099999999999994" customHeight="1">
      <c r="A51" s="988"/>
      <c r="B51" s="988"/>
      <c r="C51" s="986"/>
      <c r="D51" s="986"/>
      <c r="E51" s="986"/>
      <c r="F51" s="986"/>
      <c r="G51" s="987"/>
      <c r="H51" s="987"/>
      <c r="I51" s="987"/>
      <c r="J51" s="983"/>
      <c r="K51" s="987"/>
      <c r="L51" s="987"/>
      <c r="M51" s="987"/>
      <c r="N51" s="987"/>
      <c r="O51" s="987"/>
      <c r="P51" s="987"/>
      <c r="Q51" s="987"/>
      <c r="R51" s="987"/>
      <c r="S51" s="987"/>
      <c r="T51" s="983"/>
      <c r="U51" s="983"/>
      <c r="V51" s="983"/>
      <c r="W51" s="983"/>
      <c r="X51" s="983"/>
      <c r="Y51" s="987"/>
      <c r="Z51" s="987"/>
      <c r="AA51" s="987"/>
      <c r="AB51" s="987"/>
      <c r="AC51" s="987"/>
      <c r="AD51" s="987"/>
      <c r="AE51" s="987"/>
      <c r="AF51" s="987"/>
      <c r="AG51" s="987"/>
      <c r="AH51" s="987"/>
      <c r="AI51" s="987"/>
      <c r="AJ51" s="987"/>
      <c r="AK51" s="987"/>
      <c r="AL51" s="987"/>
      <c r="AM51" s="987"/>
      <c r="AN51" s="987"/>
      <c r="AO51" s="987"/>
      <c r="AP51" s="987"/>
      <c r="AQ51" s="986"/>
      <c r="AR51" s="983"/>
      <c r="AS51" s="983"/>
      <c r="AT51" s="983"/>
      <c r="AU51" s="983"/>
      <c r="AV51" s="983"/>
      <c r="AW51" s="983"/>
      <c r="AX51" s="983"/>
      <c r="AY51" s="983"/>
      <c r="AZ51" s="983"/>
      <c r="BA51" s="983"/>
      <c r="BB51" s="983"/>
      <c r="BC51" s="983"/>
      <c r="BD51" s="983"/>
      <c r="BE51" s="988"/>
      <c r="BF51" s="988"/>
      <c r="BG51" s="986"/>
      <c r="BH51" s="986"/>
      <c r="BI51" s="986"/>
      <c r="BJ51" s="986"/>
      <c r="BK51" s="986"/>
      <c r="BL51" s="986"/>
      <c r="BM51" s="986"/>
      <c r="BN51" s="986"/>
      <c r="BO51" s="986"/>
      <c r="BP51" s="986"/>
      <c r="BQ51" s="986"/>
      <c r="BR51" s="986"/>
      <c r="BS51" s="986"/>
      <c r="BT51" s="986"/>
      <c r="BU51" s="986"/>
      <c r="BV51" s="986"/>
      <c r="BW51" s="986"/>
      <c r="BX51" s="986"/>
      <c r="BY51" s="986"/>
      <c r="BZ51" s="986"/>
    </row>
    <row r="52" spans="1:78" ht="80.099999999999994" customHeight="1">
      <c r="A52" s="988"/>
      <c r="B52" s="989"/>
      <c r="C52" s="989"/>
      <c r="D52" s="988"/>
      <c r="E52" s="986"/>
      <c r="F52" s="988"/>
      <c r="G52" s="987"/>
      <c r="H52" s="987"/>
      <c r="I52" s="987"/>
      <c r="J52" s="983"/>
      <c r="K52" s="987"/>
      <c r="L52" s="987"/>
      <c r="M52" s="987"/>
      <c r="N52" s="987"/>
      <c r="O52" s="987"/>
      <c r="P52" s="987"/>
      <c r="Q52" s="987"/>
      <c r="R52" s="987"/>
      <c r="S52" s="987"/>
      <c r="T52" s="987"/>
      <c r="U52" s="987"/>
      <c r="V52" s="987"/>
      <c r="W52" s="983"/>
      <c r="X52" s="987"/>
      <c r="Y52" s="988"/>
      <c r="Z52" s="988"/>
      <c r="AA52" s="988"/>
      <c r="AB52" s="988"/>
      <c r="AC52" s="988"/>
      <c r="AD52" s="988"/>
      <c r="AE52" s="986"/>
      <c r="AF52" s="986"/>
      <c r="AG52" s="988"/>
      <c r="AH52" s="988"/>
      <c r="AI52" s="988"/>
      <c r="AJ52" s="988"/>
      <c r="AK52" s="988"/>
      <c r="AL52" s="988"/>
      <c r="AM52" s="988"/>
      <c r="AN52" s="986"/>
      <c r="AO52" s="986"/>
      <c r="AP52" s="988"/>
      <c r="AQ52" s="987"/>
      <c r="AR52" s="987"/>
      <c r="AS52" s="987"/>
      <c r="AT52" s="987"/>
      <c r="AU52" s="987"/>
      <c r="AV52" s="990"/>
      <c r="AW52" s="991"/>
      <c r="AX52" s="991"/>
      <c r="AY52" s="987"/>
      <c r="AZ52" s="987"/>
      <c r="BA52" s="987"/>
      <c r="BB52" s="987"/>
      <c r="BC52" s="983"/>
      <c r="BD52" s="983"/>
      <c r="BE52" s="988"/>
      <c r="BF52" s="989"/>
      <c r="BG52" s="989"/>
      <c r="BH52" s="988"/>
      <c r="BI52" s="988"/>
      <c r="BJ52" s="992"/>
      <c r="BK52" s="992"/>
      <c r="BL52" s="988"/>
      <c r="BM52" s="988"/>
      <c r="BN52" s="988"/>
      <c r="BO52" s="988"/>
      <c r="BP52" s="988"/>
      <c r="BQ52" s="988"/>
      <c r="BR52" s="988"/>
      <c r="BS52" s="988"/>
      <c r="BT52" s="988"/>
      <c r="BU52" s="988"/>
      <c r="BV52" s="988"/>
      <c r="BW52" s="988"/>
      <c r="BX52" s="988"/>
      <c r="BY52" s="988"/>
      <c r="BZ52" s="988"/>
    </row>
    <row r="53" spans="1:78" ht="80.099999999999994" customHeight="1">
      <c r="A53" s="988"/>
      <c r="B53" s="989"/>
      <c r="C53" s="989"/>
      <c r="D53" s="988"/>
      <c r="E53" s="986"/>
      <c r="F53" s="988"/>
      <c r="G53" s="983"/>
      <c r="H53" s="983"/>
      <c r="I53" s="983"/>
      <c r="J53" s="983"/>
      <c r="K53" s="983"/>
      <c r="L53" s="983"/>
      <c r="M53" s="983"/>
      <c r="N53" s="983"/>
      <c r="O53" s="983"/>
      <c r="P53" s="983"/>
      <c r="Q53" s="983"/>
      <c r="R53" s="983"/>
      <c r="S53" s="983"/>
      <c r="T53" s="983"/>
      <c r="U53" s="983"/>
      <c r="V53" s="983"/>
      <c r="W53" s="983"/>
      <c r="X53" s="987"/>
      <c r="Y53" s="983"/>
      <c r="Z53" s="983"/>
      <c r="AA53" s="983"/>
      <c r="AB53" s="983"/>
      <c r="AC53" s="983"/>
      <c r="AD53" s="983"/>
      <c r="AE53" s="983"/>
      <c r="AF53" s="983"/>
      <c r="AG53" s="988"/>
      <c r="AH53" s="983"/>
      <c r="AI53" s="983"/>
      <c r="AJ53" s="983"/>
      <c r="AK53" s="983"/>
      <c r="AL53" s="983"/>
      <c r="AM53" s="983"/>
      <c r="AN53" s="983"/>
      <c r="AO53" s="983"/>
      <c r="AP53" s="988"/>
      <c r="AQ53" s="983"/>
      <c r="AR53" s="983"/>
      <c r="AS53" s="983"/>
      <c r="AT53" s="983"/>
      <c r="AU53" s="983"/>
      <c r="AV53" s="990"/>
      <c r="AW53" s="991"/>
      <c r="AX53" s="991"/>
      <c r="AY53" s="987"/>
      <c r="AZ53" s="987"/>
      <c r="BA53" s="987"/>
      <c r="BB53" s="987"/>
      <c r="BC53" s="983"/>
      <c r="BD53" s="983"/>
      <c r="BE53" s="988"/>
      <c r="BF53" s="989"/>
      <c r="BG53" s="989"/>
      <c r="BH53" s="983"/>
      <c r="BI53" s="983"/>
      <c r="BJ53" s="983"/>
      <c r="BK53" s="983"/>
      <c r="BL53" s="983"/>
      <c r="BM53" s="983"/>
      <c r="BN53" s="983"/>
      <c r="BO53" s="983"/>
      <c r="BP53" s="983"/>
      <c r="BQ53" s="983"/>
      <c r="BR53" s="983"/>
      <c r="BS53" s="983"/>
      <c r="BT53" s="983"/>
      <c r="BU53" s="983"/>
      <c r="BV53" s="983"/>
      <c r="BW53" s="983"/>
      <c r="BX53" s="983"/>
      <c r="BY53" s="983"/>
      <c r="BZ53" s="986"/>
    </row>
    <row r="54" spans="1:78" ht="80.099999999999994" customHeight="1">
      <c r="A54" s="993"/>
      <c r="B54" s="994"/>
      <c r="C54" s="995"/>
      <c r="D54" s="996"/>
      <c r="E54" s="996"/>
      <c r="F54" s="996"/>
      <c r="G54" s="997"/>
      <c r="H54" s="997"/>
      <c r="I54" s="997"/>
      <c r="J54" s="997"/>
      <c r="K54" s="997"/>
      <c r="L54" s="997"/>
      <c r="M54" s="997"/>
      <c r="N54" s="997"/>
      <c r="O54" s="997"/>
      <c r="P54" s="997"/>
      <c r="Q54" s="997"/>
      <c r="R54" s="997"/>
      <c r="S54" s="997"/>
      <c r="T54" s="997"/>
      <c r="U54" s="997"/>
      <c r="V54" s="997"/>
      <c r="W54" s="998"/>
      <c r="X54" s="998"/>
      <c r="Y54" s="997"/>
      <c r="Z54" s="997"/>
      <c r="AA54" s="997"/>
      <c r="AB54" s="997"/>
      <c r="AC54" s="997"/>
      <c r="AD54" s="997"/>
      <c r="AE54" s="997"/>
      <c r="AF54" s="997"/>
      <c r="AG54" s="997"/>
      <c r="AH54" s="997"/>
      <c r="AI54" s="997"/>
      <c r="AJ54" s="997"/>
      <c r="AK54" s="997"/>
      <c r="AL54" s="997"/>
      <c r="AM54" s="997"/>
      <c r="AN54" s="997"/>
      <c r="AO54" s="997"/>
      <c r="AP54" s="997"/>
      <c r="AQ54" s="997"/>
      <c r="AR54" s="997"/>
      <c r="AS54" s="997"/>
      <c r="AT54" s="997"/>
      <c r="AU54" s="997"/>
      <c r="AV54" s="998"/>
      <c r="AW54" s="998"/>
      <c r="AX54" s="998"/>
      <c r="AY54" s="998"/>
      <c r="AZ54" s="998"/>
      <c r="BA54" s="999"/>
      <c r="BB54" s="1000"/>
      <c r="BC54" s="1000"/>
      <c r="BD54" s="1000"/>
      <c r="BE54" s="993"/>
      <c r="BF54" s="994"/>
      <c r="BG54" s="995"/>
      <c r="BH54" s="997"/>
      <c r="BI54" s="997"/>
      <c r="BJ54" s="997"/>
      <c r="BK54" s="997"/>
      <c r="BL54" s="997"/>
      <c r="BM54" s="997"/>
      <c r="BN54" s="997"/>
      <c r="BO54" s="997"/>
      <c r="BP54" s="997"/>
      <c r="BQ54" s="997"/>
      <c r="BR54" s="997"/>
      <c r="BS54" s="997"/>
      <c r="BT54" s="997"/>
      <c r="BU54" s="997"/>
      <c r="BV54" s="997"/>
      <c r="BW54" s="997"/>
      <c r="BX54" s="997"/>
      <c r="BY54" s="997"/>
      <c r="BZ54" s="997"/>
    </row>
    <row r="55" spans="1:78" ht="80.099999999999994" customHeight="1">
      <c r="A55" s="993"/>
      <c r="B55" s="994"/>
      <c r="C55" s="995"/>
      <c r="D55" s="996"/>
      <c r="E55" s="996"/>
      <c r="F55" s="996"/>
      <c r="G55" s="997"/>
      <c r="H55" s="997"/>
      <c r="I55" s="997"/>
      <c r="J55" s="997"/>
      <c r="K55" s="997"/>
      <c r="L55" s="997"/>
      <c r="M55" s="997"/>
      <c r="N55" s="997"/>
      <c r="O55" s="997"/>
      <c r="P55" s="997"/>
      <c r="Q55" s="997"/>
      <c r="R55" s="997"/>
      <c r="S55" s="997"/>
      <c r="T55" s="997"/>
      <c r="U55" s="997"/>
      <c r="V55" s="997"/>
      <c r="W55" s="998"/>
      <c r="X55" s="998"/>
      <c r="Y55" s="997"/>
      <c r="Z55" s="997"/>
      <c r="AA55" s="997"/>
      <c r="AB55" s="997"/>
      <c r="AC55" s="997"/>
      <c r="AD55" s="997"/>
      <c r="AE55" s="997"/>
      <c r="AF55" s="997"/>
      <c r="AG55" s="997"/>
      <c r="AH55" s="997"/>
      <c r="AI55" s="997"/>
      <c r="AJ55" s="997"/>
      <c r="AK55" s="997"/>
      <c r="AL55" s="997"/>
      <c r="AM55" s="997"/>
      <c r="AN55" s="997"/>
      <c r="AO55" s="997"/>
      <c r="AP55" s="997"/>
      <c r="AQ55" s="997"/>
      <c r="AR55" s="997"/>
      <c r="AS55" s="997"/>
      <c r="AT55" s="997"/>
      <c r="AU55" s="997"/>
      <c r="AV55" s="998"/>
      <c r="AW55" s="998"/>
      <c r="AX55" s="998"/>
      <c r="AY55" s="998"/>
      <c r="AZ55" s="998"/>
      <c r="BA55" s="999"/>
      <c r="BB55" s="1000"/>
      <c r="BC55" s="1000"/>
      <c r="BD55" s="1000"/>
      <c r="BE55" s="993"/>
      <c r="BF55" s="994"/>
      <c r="BG55" s="995"/>
      <c r="BH55" s="997"/>
      <c r="BI55" s="997"/>
      <c r="BJ55" s="997"/>
      <c r="BK55" s="997"/>
      <c r="BL55" s="997"/>
      <c r="BM55" s="997"/>
      <c r="BN55" s="997"/>
      <c r="BO55" s="997"/>
      <c r="BP55" s="997"/>
      <c r="BQ55" s="997"/>
      <c r="BR55" s="997"/>
      <c r="BS55" s="997"/>
      <c r="BT55" s="997"/>
      <c r="BU55" s="997"/>
      <c r="BV55" s="997"/>
      <c r="BW55" s="997"/>
      <c r="BX55" s="997"/>
      <c r="BY55" s="997"/>
      <c r="BZ55" s="997"/>
    </row>
    <row r="56" spans="1:78" ht="80.099999999999994" customHeight="1">
      <c r="A56" s="993"/>
      <c r="B56" s="994"/>
      <c r="C56" s="995"/>
      <c r="D56" s="996"/>
      <c r="E56" s="996"/>
      <c r="F56" s="996"/>
      <c r="G56" s="997"/>
      <c r="H56" s="997"/>
      <c r="I56" s="997"/>
      <c r="J56" s="997"/>
      <c r="K56" s="997"/>
      <c r="L56" s="997"/>
      <c r="M56" s="997"/>
      <c r="N56" s="997"/>
      <c r="O56" s="997"/>
      <c r="P56" s="997"/>
      <c r="Q56" s="997"/>
      <c r="R56" s="997"/>
      <c r="S56" s="997"/>
      <c r="T56" s="997"/>
      <c r="U56" s="997"/>
      <c r="V56" s="997"/>
      <c r="W56" s="998"/>
      <c r="X56" s="998"/>
      <c r="Y56" s="997"/>
      <c r="Z56" s="997"/>
      <c r="AA56" s="997"/>
      <c r="AB56" s="997"/>
      <c r="AC56" s="997"/>
      <c r="AD56" s="997"/>
      <c r="AE56" s="997"/>
      <c r="AF56" s="997"/>
      <c r="AG56" s="997"/>
      <c r="AH56" s="997"/>
      <c r="AI56" s="997"/>
      <c r="AJ56" s="997"/>
      <c r="AK56" s="997"/>
      <c r="AL56" s="997"/>
      <c r="AM56" s="997"/>
      <c r="AN56" s="997"/>
      <c r="AO56" s="997"/>
      <c r="AP56" s="997"/>
      <c r="AQ56" s="997"/>
      <c r="AR56" s="997"/>
      <c r="AS56" s="997"/>
      <c r="AT56" s="997"/>
      <c r="AU56" s="997"/>
      <c r="AV56" s="998"/>
      <c r="AW56" s="998"/>
      <c r="AX56" s="998"/>
      <c r="AY56" s="998"/>
      <c r="AZ56" s="998"/>
      <c r="BA56" s="999"/>
      <c r="BB56" s="1000"/>
      <c r="BC56" s="1000"/>
      <c r="BD56" s="1000"/>
      <c r="BE56" s="993"/>
      <c r="BF56" s="994"/>
      <c r="BG56" s="995"/>
      <c r="BH56" s="997"/>
      <c r="BI56" s="997"/>
      <c r="BJ56" s="997"/>
      <c r="BK56" s="997"/>
      <c r="BL56" s="997"/>
      <c r="BM56" s="997"/>
      <c r="BN56" s="997"/>
      <c r="BO56" s="997"/>
      <c r="BP56" s="997"/>
      <c r="BQ56" s="997"/>
      <c r="BR56" s="997"/>
      <c r="BS56" s="997"/>
      <c r="BT56" s="997"/>
      <c r="BU56" s="997"/>
      <c r="BV56" s="997"/>
      <c r="BW56" s="997"/>
      <c r="BX56" s="997"/>
      <c r="BY56" s="997"/>
      <c r="BZ56" s="997"/>
    </row>
    <row r="57" spans="1:78" ht="80.099999999999994" customHeight="1">
      <c r="A57" s="993"/>
      <c r="B57" s="994"/>
      <c r="C57" s="995"/>
      <c r="D57" s="996"/>
      <c r="E57" s="996"/>
      <c r="F57" s="996"/>
      <c r="G57" s="997"/>
      <c r="H57" s="997"/>
      <c r="I57" s="997"/>
      <c r="J57" s="997"/>
      <c r="K57" s="997"/>
      <c r="L57" s="997"/>
      <c r="M57" s="997"/>
      <c r="N57" s="997"/>
      <c r="O57" s="997"/>
      <c r="P57" s="997"/>
      <c r="Q57" s="997"/>
      <c r="R57" s="997"/>
      <c r="S57" s="997"/>
      <c r="T57" s="997"/>
      <c r="U57" s="997"/>
      <c r="V57" s="997"/>
      <c r="W57" s="998"/>
      <c r="X57" s="998"/>
      <c r="Y57" s="997"/>
      <c r="Z57" s="997"/>
      <c r="AA57" s="997"/>
      <c r="AB57" s="997"/>
      <c r="AC57" s="997"/>
      <c r="AD57" s="997"/>
      <c r="AE57" s="997"/>
      <c r="AF57" s="997"/>
      <c r="AG57" s="997"/>
      <c r="AH57" s="997"/>
      <c r="AI57" s="997"/>
      <c r="AJ57" s="997"/>
      <c r="AK57" s="997"/>
      <c r="AL57" s="997"/>
      <c r="AM57" s="997"/>
      <c r="AN57" s="997"/>
      <c r="AO57" s="997"/>
      <c r="AP57" s="997"/>
      <c r="AQ57" s="997"/>
      <c r="AR57" s="997"/>
      <c r="AS57" s="997"/>
      <c r="AT57" s="997"/>
      <c r="AU57" s="997"/>
      <c r="AV57" s="998"/>
      <c r="AW57" s="998"/>
      <c r="AX57" s="998"/>
      <c r="AY57" s="998"/>
      <c r="AZ57" s="998"/>
      <c r="BA57" s="999"/>
      <c r="BB57" s="1000"/>
      <c r="BC57" s="1000"/>
      <c r="BD57" s="1000"/>
      <c r="BE57" s="993"/>
      <c r="BF57" s="994"/>
      <c r="BG57" s="995"/>
      <c r="BH57" s="997"/>
      <c r="BI57" s="997"/>
      <c r="BJ57" s="997"/>
      <c r="BK57" s="997"/>
      <c r="BL57" s="997"/>
      <c r="BM57" s="997"/>
      <c r="BN57" s="997"/>
      <c r="BO57" s="997"/>
      <c r="BP57" s="997"/>
      <c r="BQ57" s="997"/>
      <c r="BR57" s="997"/>
      <c r="BS57" s="997"/>
      <c r="BT57" s="997"/>
      <c r="BU57" s="997"/>
      <c r="BV57" s="997"/>
      <c r="BW57" s="997"/>
      <c r="BX57" s="997"/>
      <c r="BY57" s="997"/>
      <c r="BZ57" s="997"/>
    </row>
    <row r="58" spans="1:78" ht="80.099999999999994" customHeight="1">
      <c r="A58" s="993"/>
      <c r="B58" s="994"/>
      <c r="C58" s="995"/>
      <c r="D58" s="996"/>
      <c r="E58" s="996"/>
      <c r="F58" s="996"/>
      <c r="G58" s="1001"/>
      <c r="H58" s="1001"/>
      <c r="I58" s="1001"/>
      <c r="J58" s="1001"/>
      <c r="K58" s="1001"/>
      <c r="L58" s="1001"/>
      <c r="M58" s="1001"/>
      <c r="N58" s="1001"/>
      <c r="O58" s="1001"/>
      <c r="P58" s="1001"/>
      <c r="Q58" s="1001"/>
      <c r="R58" s="1001"/>
      <c r="S58" s="1001"/>
      <c r="T58" s="1001"/>
      <c r="U58" s="1001"/>
      <c r="V58" s="1001"/>
      <c r="W58" s="1002"/>
      <c r="X58" s="1002"/>
      <c r="Y58" s="1001"/>
      <c r="Z58" s="1001"/>
      <c r="AA58" s="1001"/>
      <c r="AB58" s="1001"/>
      <c r="AC58" s="1001"/>
      <c r="AD58" s="1001"/>
      <c r="AE58" s="1001"/>
      <c r="AF58" s="1001"/>
      <c r="AG58" s="997"/>
      <c r="AH58" s="1001"/>
      <c r="AI58" s="1001"/>
      <c r="AJ58" s="1001"/>
      <c r="AK58" s="1001"/>
      <c r="AL58" s="1001"/>
      <c r="AM58" s="1001"/>
      <c r="AN58" s="1001"/>
      <c r="AO58" s="1001"/>
      <c r="AP58" s="997"/>
      <c r="AQ58" s="1001"/>
      <c r="AR58" s="1001"/>
      <c r="AS58" s="1001"/>
      <c r="AT58" s="1001"/>
      <c r="AU58" s="1001"/>
      <c r="AV58" s="1002"/>
      <c r="AW58" s="1002"/>
      <c r="AX58" s="1002"/>
      <c r="AY58" s="1002"/>
      <c r="AZ58" s="1002"/>
      <c r="BA58" s="1003"/>
      <c r="BB58" s="1004"/>
      <c r="BC58" s="1000"/>
      <c r="BD58" s="1000"/>
      <c r="BE58" s="993"/>
      <c r="BF58" s="994"/>
      <c r="BG58" s="995"/>
      <c r="BH58" s="997"/>
      <c r="BI58" s="997"/>
      <c r="BJ58" s="997"/>
      <c r="BK58" s="997"/>
      <c r="BL58" s="997"/>
      <c r="BM58" s="997"/>
      <c r="BN58" s="997"/>
      <c r="BO58" s="997"/>
      <c r="BP58" s="997"/>
      <c r="BQ58" s="997"/>
      <c r="BR58" s="997"/>
      <c r="BS58" s="997"/>
      <c r="BT58" s="997"/>
      <c r="BU58" s="997"/>
      <c r="BV58" s="997"/>
      <c r="BW58" s="997"/>
      <c r="BX58" s="997"/>
      <c r="BY58" s="997"/>
      <c r="BZ58" s="997"/>
    </row>
    <row r="59" spans="1:78" ht="102.75" customHeight="1">
      <c r="G59" s="640"/>
      <c r="H59" s="640"/>
      <c r="I59" s="640"/>
      <c r="J59" s="640"/>
      <c r="K59" s="640"/>
      <c r="L59" s="640"/>
      <c r="M59" s="640"/>
      <c r="N59" s="640"/>
      <c r="O59" s="640"/>
      <c r="P59" s="640"/>
      <c r="Q59" s="640"/>
      <c r="R59" s="640"/>
      <c r="S59" s="640"/>
      <c r="T59" s="640"/>
      <c r="U59" s="640"/>
      <c r="V59" s="640"/>
      <c r="W59" s="640"/>
      <c r="X59" s="640"/>
      <c r="Y59" s="640"/>
      <c r="Z59" s="640"/>
      <c r="AA59" s="640"/>
      <c r="AB59" s="640"/>
      <c r="AC59" s="640"/>
      <c r="AD59" s="640"/>
      <c r="AE59" s="640"/>
      <c r="AF59" s="640"/>
      <c r="AG59" s="640"/>
      <c r="AH59" s="640"/>
      <c r="AI59" s="640"/>
      <c r="AJ59" s="640"/>
      <c r="AK59" s="640"/>
      <c r="AL59" s="640"/>
      <c r="AM59" s="640"/>
      <c r="AN59" s="640"/>
      <c r="AO59" s="640"/>
      <c r="AP59" s="640"/>
    </row>
  </sheetData>
  <mergeCells count="253">
    <mergeCell ref="BX52:BZ52"/>
    <mergeCell ref="BP52:BQ52"/>
    <mergeCell ref="BR52:BS52"/>
    <mergeCell ref="BT52:BU52"/>
    <mergeCell ref="BV52:BW52"/>
    <mergeCell ref="BH52:BI52"/>
    <mergeCell ref="BJ52:BK52"/>
    <mergeCell ref="BL52:BM52"/>
    <mergeCell ref="BN52:BO52"/>
    <mergeCell ref="BB52:BB53"/>
    <mergeCell ref="BE52:BE53"/>
    <mergeCell ref="BF52:BF53"/>
    <mergeCell ref="BG52:BG53"/>
    <mergeCell ref="E4:E5"/>
    <mergeCell ref="W4:W5"/>
    <mergeCell ref="AX4:AX5"/>
    <mergeCell ref="AH52:AI52"/>
    <mergeCell ref="AJ52:AK52"/>
    <mergeCell ref="AL52:AM52"/>
    <mergeCell ref="AP52:AP53"/>
    <mergeCell ref="AQ52:AU52"/>
    <mergeCell ref="AV52:AV53"/>
    <mergeCell ref="AY52:AY53"/>
    <mergeCell ref="AZ52:AZ53"/>
    <mergeCell ref="BA52:BA53"/>
    <mergeCell ref="A50:B50"/>
    <mergeCell ref="G50:S50"/>
    <mergeCell ref="Y50:AG50"/>
    <mergeCell ref="AH50:AP51"/>
    <mergeCell ref="BE50:BF50"/>
    <mergeCell ref="A51:B51"/>
    <mergeCell ref="G51:I52"/>
    <mergeCell ref="K51:S51"/>
    <mergeCell ref="Y51:AG51"/>
    <mergeCell ref="BE51:BF51"/>
    <mergeCell ref="A52:A53"/>
    <mergeCell ref="B52:B53"/>
    <mergeCell ref="C52:C53"/>
    <mergeCell ref="D52:D53"/>
    <mergeCell ref="F52:F53"/>
    <mergeCell ref="K52:M52"/>
    <mergeCell ref="N52:P52"/>
    <mergeCell ref="Q52:S52"/>
    <mergeCell ref="T52:V52"/>
    <mergeCell ref="X52:X53"/>
    <mergeCell ref="Y52:Z52"/>
    <mergeCell ref="AA52:AB52"/>
    <mergeCell ref="AC52:AD52"/>
    <mergeCell ref="AG52:AG53"/>
    <mergeCell ref="BL40:BM40"/>
    <mergeCell ref="BN40:BO40"/>
    <mergeCell ref="BP40:BQ40"/>
    <mergeCell ref="BR40:BS40"/>
    <mergeCell ref="BT40:BU40"/>
    <mergeCell ref="BV40:BW40"/>
    <mergeCell ref="BX40:BZ40"/>
    <mergeCell ref="A49:B49"/>
    <mergeCell ref="BE49:BF49"/>
    <mergeCell ref="AZ40:AZ41"/>
    <mergeCell ref="BA40:BA41"/>
    <mergeCell ref="BB40:BB41"/>
    <mergeCell ref="BE40:BE41"/>
    <mergeCell ref="BF40:BF41"/>
    <mergeCell ref="BG40:BG41"/>
    <mergeCell ref="BC40:BD40"/>
    <mergeCell ref="BH40:BI40"/>
    <mergeCell ref="BJ40:BK40"/>
    <mergeCell ref="AH40:AI40"/>
    <mergeCell ref="AE40:AF40"/>
    <mergeCell ref="AJ40:AK40"/>
    <mergeCell ref="AL40:AM40"/>
    <mergeCell ref="AP40:AP41"/>
    <mergeCell ref="AQ40:AU40"/>
    <mergeCell ref="AN40:AO40"/>
    <mergeCell ref="AV40:AV41"/>
    <mergeCell ref="AY40:AY41"/>
    <mergeCell ref="A38:B38"/>
    <mergeCell ref="G38:S38"/>
    <mergeCell ref="Y38:AG38"/>
    <mergeCell ref="AH38:AP39"/>
    <mergeCell ref="BE38:BF38"/>
    <mergeCell ref="A39:B39"/>
    <mergeCell ref="G39:I40"/>
    <mergeCell ref="K39:S39"/>
    <mergeCell ref="Y39:AG39"/>
    <mergeCell ref="BE39:BF39"/>
    <mergeCell ref="A40:A41"/>
    <mergeCell ref="B40:B41"/>
    <mergeCell ref="C40:C41"/>
    <mergeCell ref="D40:D41"/>
    <mergeCell ref="F40:F41"/>
    <mergeCell ref="K40:M40"/>
    <mergeCell ref="N40:P40"/>
    <mergeCell ref="Q40:S40"/>
    <mergeCell ref="T40:V40"/>
    <mergeCell ref="X40:X41"/>
    <mergeCell ref="Y40:Z40"/>
    <mergeCell ref="AA40:AB40"/>
    <mergeCell ref="AC40:AD40"/>
    <mergeCell ref="AG40:AG41"/>
    <mergeCell ref="BL28:BM28"/>
    <mergeCell ref="BN28:BO28"/>
    <mergeCell ref="BP28:BQ28"/>
    <mergeCell ref="BR28:BS28"/>
    <mergeCell ref="BT28:BU28"/>
    <mergeCell ref="BV28:BW28"/>
    <mergeCell ref="BX28:BZ28"/>
    <mergeCell ref="A37:B37"/>
    <mergeCell ref="BE37:BF37"/>
    <mergeCell ref="AZ28:AZ29"/>
    <mergeCell ref="BA28:BA29"/>
    <mergeCell ref="AX28:AX29"/>
    <mergeCell ref="BB28:BB29"/>
    <mergeCell ref="BE28:BE29"/>
    <mergeCell ref="BF28:BF29"/>
    <mergeCell ref="BG28:BG29"/>
    <mergeCell ref="BH28:BI28"/>
    <mergeCell ref="BJ28:BK28"/>
    <mergeCell ref="AH28:AI28"/>
    <mergeCell ref="AE28:AF28"/>
    <mergeCell ref="AJ28:AK28"/>
    <mergeCell ref="AL28:AM28"/>
    <mergeCell ref="AP28:AP29"/>
    <mergeCell ref="AQ28:AU28"/>
    <mergeCell ref="AN28:AO28"/>
    <mergeCell ref="AV28:AV29"/>
    <mergeCell ref="AY28:AY29"/>
    <mergeCell ref="N28:P28"/>
    <mergeCell ref="Q28:S28"/>
    <mergeCell ref="T28:V28"/>
    <mergeCell ref="X28:X29"/>
    <mergeCell ref="Y28:Z28"/>
    <mergeCell ref="W28:W29"/>
    <mergeCell ref="AA28:AB28"/>
    <mergeCell ref="AC28:AD28"/>
    <mergeCell ref="AG28:AG29"/>
    <mergeCell ref="BN16:BO16"/>
    <mergeCell ref="BP16:BQ16"/>
    <mergeCell ref="BR16:BS16"/>
    <mergeCell ref="BT16:BU16"/>
    <mergeCell ref="BV16:BW16"/>
    <mergeCell ref="BX16:BZ16"/>
    <mergeCell ref="A25:B25"/>
    <mergeCell ref="BE25:BF25"/>
    <mergeCell ref="A26:B26"/>
    <mergeCell ref="G26:S26"/>
    <mergeCell ref="Y26:AG26"/>
    <mergeCell ref="AH26:AP27"/>
    <mergeCell ref="BE26:BF26"/>
    <mergeCell ref="A27:B27"/>
    <mergeCell ref="G27:I28"/>
    <mergeCell ref="K27:S27"/>
    <mergeCell ref="Y27:AG27"/>
    <mergeCell ref="BE27:BF27"/>
    <mergeCell ref="A28:A29"/>
    <mergeCell ref="B28:B29"/>
    <mergeCell ref="C28:C29"/>
    <mergeCell ref="D28:D29"/>
    <mergeCell ref="F28:F29"/>
    <mergeCell ref="K28:M28"/>
    <mergeCell ref="BA16:BA17"/>
    <mergeCell ref="AX16:AX17"/>
    <mergeCell ref="BB16:BB17"/>
    <mergeCell ref="BE16:BE17"/>
    <mergeCell ref="BF16:BF17"/>
    <mergeCell ref="BG16:BG17"/>
    <mergeCell ref="BH16:BI16"/>
    <mergeCell ref="BJ16:BK16"/>
    <mergeCell ref="BL16:BM16"/>
    <mergeCell ref="AG16:AG17"/>
    <mergeCell ref="AH16:AI16"/>
    <mergeCell ref="AJ16:AK16"/>
    <mergeCell ref="AL16:AM16"/>
    <mergeCell ref="AP16:AP17"/>
    <mergeCell ref="AQ16:AU16"/>
    <mergeCell ref="AV16:AV17"/>
    <mergeCell ref="AY16:AY17"/>
    <mergeCell ref="AZ16:AZ17"/>
    <mergeCell ref="A14:B14"/>
    <mergeCell ref="G14:S14"/>
    <mergeCell ref="Y14:AG14"/>
    <mergeCell ref="AH14:AP15"/>
    <mergeCell ref="BE14:BF14"/>
    <mergeCell ref="A15:B15"/>
    <mergeCell ref="G15:I16"/>
    <mergeCell ref="K15:S15"/>
    <mergeCell ref="Y15:AG15"/>
    <mergeCell ref="BE15:BF15"/>
    <mergeCell ref="A16:A17"/>
    <mergeCell ref="B16:B17"/>
    <mergeCell ref="C16:C17"/>
    <mergeCell ref="D16:D17"/>
    <mergeCell ref="F16:F17"/>
    <mergeCell ref="K16:M16"/>
    <mergeCell ref="N16:P16"/>
    <mergeCell ref="Q16:S16"/>
    <mergeCell ref="T16:V16"/>
    <mergeCell ref="X16:X17"/>
    <mergeCell ref="Y16:Z16"/>
    <mergeCell ref="W16:W17"/>
    <mergeCell ref="AA16:AB16"/>
    <mergeCell ref="AC16:AD16"/>
    <mergeCell ref="BV4:BW4"/>
    <mergeCell ref="BX4:BZ4"/>
    <mergeCell ref="BL4:BM4"/>
    <mergeCell ref="BN4:BO4"/>
    <mergeCell ref="BP4:BQ4"/>
    <mergeCell ref="BR4:BS4"/>
    <mergeCell ref="F4:F5"/>
    <mergeCell ref="A13:B13"/>
    <mergeCell ref="BE13:BF13"/>
    <mergeCell ref="AZ4:AZ5"/>
    <mergeCell ref="BA4:BA5"/>
    <mergeCell ref="BB4:BB5"/>
    <mergeCell ref="BE4:BE5"/>
    <mergeCell ref="BF4:BF5"/>
    <mergeCell ref="BG4:BG5"/>
    <mergeCell ref="BH4:BI4"/>
    <mergeCell ref="BJ4:BK4"/>
    <mergeCell ref="BT4:BU4"/>
    <mergeCell ref="AC4:AD4"/>
    <mergeCell ref="AG4:AG5"/>
    <mergeCell ref="AH4:AI4"/>
    <mergeCell ref="AJ4:AK4"/>
    <mergeCell ref="AL4:AM4"/>
    <mergeCell ref="AP4:AP5"/>
    <mergeCell ref="AQ4:AU4"/>
    <mergeCell ref="AV4:AV5"/>
    <mergeCell ref="AY4:AY5"/>
    <mergeCell ref="E16:E17"/>
    <mergeCell ref="A1:B1"/>
    <mergeCell ref="BE1:BF1"/>
    <mergeCell ref="A2:B2"/>
    <mergeCell ref="G2:S2"/>
    <mergeCell ref="Y2:AG2"/>
    <mergeCell ref="AH2:AP3"/>
    <mergeCell ref="BE2:BF2"/>
    <mergeCell ref="A3:B3"/>
    <mergeCell ref="G3:I4"/>
    <mergeCell ref="K3:S3"/>
    <mergeCell ref="Y3:AG3"/>
    <mergeCell ref="BE3:BF3"/>
    <mergeCell ref="A4:A5"/>
    <mergeCell ref="B4:B5"/>
    <mergeCell ref="C4:C5"/>
    <mergeCell ref="D4:D5"/>
    <mergeCell ref="K4:M4"/>
    <mergeCell ref="N4:P4"/>
    <mergeCell ref="Q4:S4"/>
    <mergeCell ref="T4:V4"/>
    <mergeCell ref="X4:X5"/>
    <mergeCell ref="Y4:Z4"/>
    <mergeCell ref="AA4:AB4"/>
  </mergeCells>
  <phoneticPr fontId="19" type="noConversion"/>
  <pageMargins left="0.75" right="0.75" top="1" bottom="1" header="0.5" footer="0.5"/>
  <pageSetup paperSize="9" scale="10" orientation="portrait" r:id="rId1"/>
  <headerFooter alignWithMargins="0"/>
  <colBreaks count="1" manualBreakCount="1">
    <brk id="5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CA196"/>
  <sheetViews>
    <sheetView view="pageBreakPreview" topLeftCell="A4" zoomScale="30" zoomScaleNormal="25" workbookViewId="0">
      <pane xSplit="9" ySplit="2" topLeftCell="BV150" activePane="bottomRight" state="frozen"/>
      <selection activeCell="A4" sqref="A4"/>
      <selection pane="topRight" activeCell="J4" sqref="J4"/>
      <selection pane="bottomLeft" activeCell="A6" sqref="A6"/>
      <selection pane="bottomRight" activeCell="A160" sqref="A160:CA196"/>
    </sheetView>
  </sheetViews>
  <sheetFormatPr defaultRowHeight="12.75"/>
  <cols>
    <col min="1" max="1" width="36.5703125" customWidth="1"/>
    <col min="2" max="2" width="75.85546875" customWidth="1"/>
    <col min="3" max="3" width="40.42578125" customWidth="1"/>
    <col min="4" max="4" width="37.28515625" customWidth="1"/>
    <col min="5" max="5" width="29.7109375" customWidth="1"/>
    <col min="6" max="6" width="27.28515625" customWidth="1"/>
    <col min="7" max="7" width="18" customWidth="1"/>
    <col min="8" max="8" width="16.85546875" customWidth="1"/>
    <col min="9" max="11" width="25.7109375" customWidth="1"/>
    <col min="12" max="12" width="17.42578125" customWidth="1"/>
    <col min="13" max="13" width="18.5703125" customWidth="1"/>
    <col min="14" max="14" width="25.7109375" customWidth="1"/>
    <col min="15" max="15" width="17.7109375" customWidth="1"/>
    <col min="16" max="16" width="16.5703125" customWidth="1"/>
    <col min="17" max="17" width="25.7109375" customWidth="1"/>
    <col min="18" max="18" width="16.85546875" customWidth="1"/>
    <col min="19" max="19" width="16" customWidth="1"/>
    <col min="20" max="20" width="25.7109375" customWidth="1"/>
    <col min="21" max="21" width="17.42578125" customWidth="1"/>
    <col min="22" max="22" width="15.7109375" customWidth="1"/>
    <col min="23" max="23" width="24.28515625" customWidth="1"/>
    <col min="24" max="26" width="25.7109375" customWidth="1"/>
    <col min="27" max="27" width="14.85546875" customWidth="1"/>
    <col min="28" max="28" width="15.42578125" customWidth="1"/>
    <col min="29" max="29" width="16.28515625" customWidth="1"/>
    <col min="30" max="30" width="17.140625" customWidth="1"/>
    <col min="31" max="31" width="17.42578125" customWidth="1"/>
    <col min="32" max="32" width="15.42578125" customWidth="1"/>
    <col min="33" max="33" width="16.5703125" customWidth="1"/>
    <col min="34" max="34" width="17.140625" customWidth="1"/>
    <col min="35" max="35" width="21.42578125" customWidth="1"/>
    <col min="36" max="37" width="17.140625" customWidth="1"/>
    <col min="38" max="38" width="18.28515625" customWidth="1"/>
    <col min="39" max="39" width="16.5703125" customWidth="1"/>
    <col min="40" max="40" width="16.28515625" customWidth="1"/>
    <col min="41" max="41" width="16.5703125" customWidth="1"/>
    <col min="42" max="42" width="16.28515625" customWidth="1"/>
    <col min="43" max="43" width="15.7109375" customWidth="1"/>
    <col min="44" max="44" width="20.85546875" customWidth="1"/>
    <col min="45" max="45" width="19.42578125" customWidth="1"/>
    <col min="46" max="46" width="17.7109375" customWidth="1"/>
    <col min="47" max="49" width="22.5703125" customWidth="1"/>
    <col min="50" max="51" width="28" customWidth="1"/>
    <col min="52" max="52" width="18" customWidth="1"/>
    <col min="53" max="53" width="21.7109375" customWidth="1"/>
    <col min="54" max="54" width="35.7109375" customWidth="1"/>
    <col min="55" max="55" width="20.5703125" customWidth="1"/>
    <col min="56" max="56" width="21.140625" customWidth="1"/>
    <col min="57" max="58" width="25.7109375" customWidth="1"/>
    <col min="59" max="59" width="76.140625" customWidth="1"/>
    <col min="60" max="60" width="39.7109375" customWidth="1"/>
    <col min="61" max="79" width="25.7109375" customWidth="1"/>
  </cols>
  <sheetData>
    <row r="1" spans="1:79" ht="80.099999999999994" customHeight="1">
      <c r="A1" s="869" t="s">
        <v>40</v>
      </c>
      <c r="B1" s="870"/>
      <c r="C1" s="171"/>
      <c r="D1" s="172"/>
      <c r="E1" s="172">
        <f>E6*4</f>
        <v>225</v>
      </c>
      <c r="F1" s="172">
        <v>100</v>
      </c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872" t="s">
        <v>40</v>
      </c>
      <c r="BG1" s="873"/>
      <c r="BH1" s="171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2"/>
      <c r="BY1" s="172"/>
      <c r="BZ1" s="172"/>
      <c r="CA1" s="172"/>
    </row>
    <row r="2" spans="1:79" ht="80.099999999999994" customHeight="1">
      <c r="A2" s="871" t="s">
        <v>24</v>
      </c>
      <c r="B2" s="871"/>
      <c r="C2" s="125"/>
      <c r="D2" s="126"/>
      <c r="E2" s="126">
        <f>E11*4</f>
        <v>270</v>
      </c>
      <c r="F2" s="126">
        <v>120</v>
      </c>
      <c r="G2" s="864" t="s">
        <v>34</v>
      </c>
      <c r="H2" s="864"/>
      <c r="I2" s="864"/>
      <c r="J2" s="864"/>
      <c r="K2" s="864"/>
      <c r="L2" s="864"/>
      <c r="M2" s="864"/>
      <c r="N2" s="864"/>
      <c r="O2" s="864"/>
      <c r="P2" s="864"/>
      <c r="Q2" s="864"/>
      <c r="R2" s="864"/>
      <c r="S2" s="864"/>
      <c r="T2" s="864"/>
      <c r="U2" s="127"/>
      <c r="V2" s="127"/>
      <c r="W2" s="127"/>
      <c r="X2" s="127"/>
      <c r="Y2" s="127"/>
      <c r="Z2" s="128"/>
      <c r="AA2" s="864" t="s">
        <v>28</v>
      </c>
      <c r="AB2" s="864"/>
      <c r="AC2" s="864"/>
      <c r="AD2" s="864"/>
      <c r="AE2" s="864"/>
      <c r="AF2" s="864"/>
      <c r="AG2" s="864"/>
      <c r="AH2" s="864"/>
      <c r="AI2" s="864"/>
      <c r="AJ2" s="864" t="s">
        <v>35</v>
      </c>
      <c r="AK2" s="864"/>
      <c r="AL2" s="864"/>
      <c r="AM2" s="864"/>
      <c r="AN2" s="864"/>
      <c r="AO2" s="864"/>
      <c r="AP2" s="864"/>
      <c r="AQ2" s="864"/>
      <c r="AR2" s="864"/>
      <c r="AS2" s="129"/>
      <c r="AT2" s="130"/>
      <c r="AU2" s="130"/>
      <c r="AV2" s="130"/>
      <c r="AW2" s="130"/>
      <c r="AX2" s="130"/>
      <c r="AY2" s="130"/>
      <c r="AZ2" s="224"/>
      <c r="BA2" s="130"/>
      <c r="BB2" s="130"/>
      <c r="BC2" s="130"/>
      <c r="BD2" s="131"/>
      <c r="BE2" s="130"/>
      <c r="BF2" s="874" t="s">
        <v>24</v>
      </c>
      <c r="BG2" s="875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</row>
    <row r="3" spans="1:79" ht="80.099999999999994" customHeight="1">
      <c r="A3" s="868" t="s">
        <v>2</v>
      </c>
      <c r="B3" s="868"/>
      <c r="C3" s="134"/>
      <c r="D3" s="135"/>
      <c r="E3" s="135"/>
      <c r="F3" s="135"/>
      <c r="G3" s="864" t="s">
        <v>10</v>
      </c>
      <c r="H3" s="864"/>
      <c r="I3" s="864"/>
      <c r="J3" s="121"/>
      <c r="K3" s="121"/>
      <c r="L3" s="864" t="s">
        <v>29</v>
      </c>
      <c r="M3" s="864"/>
      <c r="N3" s="864"/>
      <c r="O3" s="864"/>
      <c r="P3" s="864"/>
      <c r="Q3" s="864"/>
      <c r="R3" s="864"/>
      <c r="S3" s="864"/>
      <c r="T3" s="864"/>
      <c r="U3" s="136"/>
      <c r="V3" s="136"/>
      <c r="W3" s="136"/>
      <c r="X3" s="136"/>
      <c r="Y3" s="136"/>
      <c r="Z3" s="137"/>
      <c r="AA3" s="864" t="s">
        <v>12</v>
      </c>
      <c r="AB3" s="864"/>
      <c r="AC3" s="864"/>
      <c r="AD3" s="864"/>
      <c r="AE3" s="864"/>
      <c r="AF3" s="864"/>
      <c r="AG3" s="864"/>
      <c r="AH3" s="864"/>
      <c r="AI3" s="864"/>
      <c r="AJ3" s="864"/>
      <c r="AK3" s="864"/>
      <c r="AL3" s="864"/>
      <c r="AM3" s="864"/>
      <c r="AN3" s="864"/>
      <c r="AO3" s="864"/>
      <c r="AP3" s="864"/>
      <c r="AQ3" s="864"/>
      <c r="AR3" s="864"/>
      <c r="AS3" s="134"/>
      <c r="AT3" s="138"/>
      <c r="AU3" s="138"/>
      <c r="AV3" s="138"/>
      <c r="AW3" s="138"/>
      <c r="AX3" s="139"/>
      <c r="AY3" s="139"/>
      <c r="AZ3" s="139"/>
      <c r="BA3" s="139"/>
      <c r="BB3" s="139"/>
      <c r="BC3" s="139"/>
      <c r="BD3" s="140"/>
      <c r="BE3" s="139"/>
      <c r="BF3" s="876" t="s">
        <v>3</v>
      </c>
      <c r="BG3" s="877"/>
      <c r="BH3" s="141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3"/>
      <c r="BY3" s="133"/>
      <c r="BZ3" s="133"/>
      <c r="CA3" s="133"/>
    </row>
    <row r="4" spans="1:79" ht="80.099999999999994" customHeight="1">
      <c r="A4" s="868" t="s">
        <v>0</v>
      </c>
      <c r="B4" s="878" t="s">
        <v>42</v>
      </c>
      <c r="C4" s="878" t="s">
        <v>43</v>
      </c>
      <c r="D4" s="868" t="s">
        <v>44</v>
      </c>
      <c r="E4" s="880" t="s">
        <v>132</v>
      </c>
      <c r="F4" s="880" t="s">
        <v>131</v>
      </c>
      <c r="G4" s="864"/>
      <c r="H4" s="864"/>
      <c r="I4" s="864"/>
      <c r="J4" s="121"/>
      <c r="K4" s="121"/>
      <c r="L4" s="864" t="s">
        <v>11</v>
      </c>
      <c r="M4" s="864"/>
      <c r="N4" s="864"/>
      <c r="O4" s="864" t="s">
        <v>38</v>
      </c>
      <c r="P4" s="864"/>
      <c r="Q4" s="864"/>
      <c r="R4" s="864" t="s">
        <v>39</v>
      </c>
      <c r="S4" s="864"/>
      <c r="T4" s="864"/>
      <c r="U4" s="865" t="s">
        <v>47</v>
      </c>
      <c r="V4" s="866"/>
      <c r="W4" s="867"/>
      <c r="X4" s="864" t="s">
        <v>128</v>
      </c>
      <c r="Y4" s="121"/>
      <c r="Z4" s="864" t="s">
        <v>13</v>
      </c>
      <c r="AA4" s="868" t="s">
        <v>30</v>
      </c>
      <c r="AB4" s="868"/>
      <c r="AC4" s="868" t="s">
        <v>23</v>
      </c>
      <c r="AD4" s="868"/>
      <c r="AE4" s="868" t="s">
        <v>31</v>
      </c>
      <c r="AF4" s="868"/>
      <c r="AG4" s="291"/>
      <c r="AH4" s="291"/>
      <c r="AI4" s="868" t="s">
        <v>32</v>
      </c>
      <c r="AJ4" s="868" t="s">
        <v>30</v>
      </c>
      <c r="AK4" s="868"/>
      <c r="AL4" s="868" t="s">
        <v>23</v>
      </c>
      <c r="AM4" s="868"/>
      <c r="AN4" s="868" t="s">
        <v>31</v>
      </c>
      <c r="AO4" s="868"/>
      <c r="AP4" s="291"/>
      <c r="AQ4" s="291"/>
      <c r="AR4" s="868" t="s">
        <v>32</v>
      </c>
      <c r="AS4" s="864" t="s">
        <v>33</v>
      </c>
      <c r="AT4" s="864"/>
      <c r="AU4" s="864"/>
      <c r="AV4" s="121"/>
      <c r="AW4" s="121"/>
      <c r="AX4" s="882" t="s">
        <v>22</v>
      </c>
      <c r="AY4" s="339"/>
      <c r="AZ4" s="883" t="s">
        <v>133</v>
      </c>
      <c r="BA4" s="864" t="s">
        <v>14</v>
      </c>
      <c r="BB4" s="864" t="s">
        <v>18</v>
      </c>
      <c r="BC4" s="864" t="s">
        <v>19</v>
      </c>
      <c r="BD4" s="864" t="s">
        <v>20</v>
      </c>
      <c r="BE4" s="119"/>
      <c r="BF4" s="877" t="s">
        <v>0</v>
      </c>
      <c r="BG4" s="878" t="s">
        <v>42</v>
      </c>
      <c r="BH4" s="878" t="s">
        <v>43</v>
      </c>
      <c r="BI4" s="886" t="s">
        <v>140</v>
      </c>
      <c r="BJ4" s="886"/>
      <c r="BK4" s="885" t="s">
        <v>141</v>
      </c>
      <c r="BL4" s="885"/>
      <c r="BM4" s="868" t="s">
        <v>4</v>
      </c>
      <c r="BN4" s="868"/>
      <c r="BO4" s="868" t="s">
        <v>5</v>
      </c>
      <c r="BP4" s="868"/>
      <c r="BQ4" s="868" t="s">
        <v>6</v>
      </c>
      <c r="BR4" s="868"/>
      <c r="BS4" s="868" t="s">
        <v>7</v>
      </c>
      <c r="BT4" s="868"/>
      <c r="BU4" s="868" t="s">
        <v>8</v>
      </c>
      <c r="BV4" s="868"/>
      <c r="BW4" s="868" t="s">
        <v>9</v>
      </c>
      <c r="BX4" s="868"/>
      <c r="BY4" s="868" t="s">
        <v>21</v>
      </c>
      <c r="BZ4" s="868"/>
      <c r="CA4" s="868"/>
    </row>
    <row r="5" spans="1:79" ht="80.099999999999994" customHeight="1">
      <c r="A5" s="868"/>
      <c r="B5" s="879"/>
      <c r="C5" s="879"/>
      <c r="D5" s="868"/>
      <c r="E5" s="881"/>
      <c r="F5" s="881"/>
      <c r="G5" s="121" t="s">
        <v>16</v>
      </c>
      <c r="H5" s="121" t="s">
        <v>17</v>
      </c>
      <c r="I5" s="121" t="s">
        <v>32</v>
      </c>
      <c r="J5" s="121"/>
      <c r="K5" s="121" t="s">
        <v>174</v>
      </c>
      <c r="L5" s="121" t="s">
        <v>16</v>
      </c>
      <c r="M5" s="121" t="s">
        <v>17</v>
      </c>
      <c r="N5" s="121" t="s">
        <v>32</v>
      </c>
      <c r="O5" s="121" t="s">
        <v>16</v>
      </c>
      <c r="P5" s="121" t="s">
        <v>17</v>
      </c>
      <c r="Q5" s="121" t="s">
        <v>32</v>
      </c>
      <c r="R5" s="121" t="s">
        <v>16</v>
      </c>
      <c r="S5" s="121" t="s">
        <v>17</v>
      </c>
      <c r="T5" s="121" t="s">
        <v>32</v>
      </c>
      <c r="U5" s="121" t="s">
        <v>16</v>
      </c>
      <c r="V5" s="121" t="s">
        <v>17</v>
      </c>
      <c r="W5" s="121" t="s">
        <v>32</v>
      </c>
      <c r="X5" s="864"/>
      <c r="Y5" s="121"/>
      <c r="Z5" s="864"/>
      <c r="AA5" s="121" t="s">
        <v>16</v>
      </c>
      <c r="AB5" s="121" t="s">
        <v>17</v>
      </c>
      <c r="AC5" s="121" t="s">
        <v>16</v>
      </c>
      <c r="AD5" s="121" t="s">
        <v>17</v>
      </c>
      <c r="AE5" s="121" t="s">
        <v>16</v>
      </c>
      <c r="AF5" s="121" t="s">
        <v>17</v>
      </c>
      <c r="AG5" s="121"/>
      <c r="AH5" s="121"/>
      <c r="AI5" s="868"/>
      <c r="AJ5" s="121" t="s">
        <v>16</v>
      </c>
      <c r="AK5" s="121" t="s">
        <v>17</v>
      </c>
      <c r="AL5" s="121" t="s">
        <v>16</v>
      </c>
      <c r="AM5" s="121" t="s">
        <v>17</v>
      </c>
      <c r="AN5" s="121" t="s">
        <v>16</v>
      </c>
      <c r="AO5" s="121" t="s">
        <v>17</v>
      </c>
      <c r="AP5" s="121"/>
      <c r="AQ5" s="121"/>
      <c r="AR5" s="868"/>
      <c r="AS5" s="121" t="s">
        <v>16</v>
      </c>
      <c r="AT5" s="121" t="s">
        <v>17</v>
      </c>
      <c r="AU5" s="121" t="s">
        <v>32</v>
      </c>
      <c r="AV5" s="121"/>
      <c r="AW5" s="121"/>
      <c r="AX5" s="882"/>
      <c r="AY5" s="340"/>
      <c r="AZ5" s="884"/>
      <c r="BA5" s="864"/>
      <c r="BB5" s="864"/>
      <c r="BC5" s="864"/>
      <c r="BD5" s="864"/>
      <c r="BE5" s="119"/>
      <c r="BF5" s="877"/>
      <c r="BG5" s="879"/>
      <c r="BH5" s="879"/>
      <c r="BI5" s="218" t="s">
        <v>16</v>
      </c>
      <c r="BJ5" s="218" t="s">
        <v>17</v>
      </c>
      <c r="BK5" s="121" t="s">
        <v>16</v>
      </c>
      <c r="BL5" s="121" t="s">
        <v>17</v>
      </c>
      <c r="BM5" s="121" t="s">
        <v>16</v>
      </c>
      <c r="BN5" s="121" t="s">
        <v>17</v>
      </c>
      <c r="BO5" s="121" t="s">
        <v>16</v>
      </c>
      <c r="BP5" s="121" t="s">
        <v>17</v>
      </c>
      <c r="BQ5" s="121" t="s">
        <v>16</v>
      </c>
      <c r="BR5" s="121" t="s">
        <v>17</v>
      </c>
      <c r="BS5" s="121" t="s">
        <v>16</v>
      </c>
      <c r="BT5" s="121" t="s">
        <v>17</v>
      </c>
      <c r="BU5" s="121" t="s">
        <v>16</v>
      </c>
      <c r="BV5" s="121" t="s">
        <v>17</v>
      </c>
      <c r="BW5" s="121" t="s">
        <v>16</v>
      </c>
      <c r="BX5" s="121" t="s">
        <v>17</v>
      </c>
      <c r="BY5" s="121" t="s">
        <v>16</v>
      </c>
      <c r="BZ5" s="121" t="s">
        <v>17</v>
      </c>
      <c r="CA5" s="120" t="s">
        <v>32</v>
      </c>
    </row>
    <row r="6" spans="1:79" ht="80.099999999999994" customHeight="1">
      <c r="A6" s="173">
        <v>1</v>
      </c>
      <c r="B6" s="142" t="s">
        <v>61</v>
      </c>
      <c r="C6" s="143" t="s">
        <v>62</v>
      </c>
      <c r="D6" s="144">
        <v>100000</v>
      </c>
      <c r="E6" s="144">
        <f>(F6*2)+F6*0.25</f>
        <v>56.25</v>
      </c>
      <c r="F6" s="144">
        <v>25</v>
      </c>
      <c r="G6" s="174">
        <v>6</v>
      </c>
      <c r="H6" s="174">
        <v>4</v>
      </c>
      <c r="I6" s="173">
        <f>SUM(G6:H6)</f>
        <v>10</v>
      </c>
      <c r="J6" s="173">
        <v>10</v>
      </c>
      <c r="K6" s="173">
        <v>3</v>
      </c>
      <c r="L6" s="174">
        <v>2</v>
      </c>
      <c r="M6" s="174">
        <v>1</v>
      </c>
      <c r="N6" s="173">
        <f>SUM(L6:M6)</f>
        <v>3</v>
      </c>
      <c r="O6" s="174">
        <v>0</v>
      </c>
      <c r="P6" s="174">
        <v>0</v>
      </c>
      <c r="Q6" s="173">
        <f>SUM(O6:P6)</f>
        <v>0</v>
      </c>
      <c r="R6" s="174">
        <v>0</v>
      </c>
      <c r="S6" s="174">
        <v>0</v>
      </c>
      <c r="T6" s="173">
        <f t="shared" ref="T6:T29" si="0">SUM(R6:S6)</f>
        <v>0</v>
      </c>
      <c r="U6" s="173"/>
      <c r="V6" s="173"/>
      <c r="W6" s="173">
        <f t="shared" ref="W6:W14" si="1">SUM(T6,Q6,N6,I6)</f>
        <v>13</v>
      </c>
      <c r="X6" s="175">
        <f>I6/F6</f>
        <v>0.4</v>
      </c>
      <c r="Y6" s="175"/>
      <c r="Z6" s="176">
        <f>I6*4/(D6*0.0008)</f>
        <v>0.5</v>
      </c>
      <c r="AA6" s="177"/>
      <c r="AB6" s="177"/>
      <c r="AC6" s="177"/>
      <c r="AD6" s="174"/>
      <c r="AE6" s="174">
        <v>3</v>
      </c>
      <c r="AF6" s="174">
        <v>8</v>
      </c>
      <c r="AG6" s="174"/>
      <c r="AH6" s="174"/>
      <c r="AI6" s="178">
        <f>AE6+AF6</f>
        <v>11</v>
      </c>
      <c r="AJ6" s="177"/>
      <c r="AK6" s="179"/>
      <c r="AL6" s="179"/>
      <c r="AM6" s="174"/>
      <c r="AN6" s="174">
        <v>1</v>
      </c>
      <c r="AO6" s="174">
        <v>1</v>
      </c>
      <c r="AP6" s="174"/>
      <c r="AQ6" s="174"/>
      <c r="AR6" s="178">
        <f>AN6+AO6</f>
        <v>2</v>
      </c>
      <c r="AS6" s="179">
        <f t="shared" ref="AS6:AT13" si="2">AN6+AL6+AJ6+AE6+AC6+AA6+U6+R6+O6+L6+G6</f>
        <v>12</v>
      </c>
      <c r="AT6" s="179">
        <f t="shared" si="2"/>
        <v>14</v>
      </c>
      <c r="AU6" s="180">
        <f>AS6+AT6</f>
        <v>26</v>
      </c>
      <c r="AV6" s="180">
        <v>12</v>
      </c>
      <c r="AW6" s="180">
        <v>14</v>
      </c>
      <c r="AX6" s="176">
        <f t="shared" ref="AX6:AX37" si="3">(I6)/(I6+AI6)</f>
        <v>0.47619047619047616</v>
      </c>
      <c r="AY6" s="176">
        <v>0.48</v>
      </c>
      <c r="AZ6" s="176">
        <f t="shared" ref="AZ6:AZ37" si="4">AU6/E6</f>
        <v>0.4622222222222222</v>
      </c>
      <c r="BA6" s="176">
        <f t="shared" ref="BA6:BA13" si="5">AU6*4/(D6*0.00177)</f>
        <v>0.58757062146892658</v>
      </c>
      <c r="BB6" s="176">
        <f t="shared" ref="BB6:BB29" si="6">(N6+Q6+T6)/AU6</f>
        <v>0.11538461538461539</v>
      </c>
      <c r="BC6" s="181">
        <f>I6*4/D6*100000</f>
        <v>40</v>
      </c>
      <c r="BD6" s="182">
        <f t="shared" ref="BD6:BD13" si="7">AU6*4/D6*100000</f>
        <v>103.99999999999999</v>
      </c>
      <c r="BE6" s="183"/>
      <c r="BF6" s="184">
        <v>1</v>
      </c>
      <c r="BG6" s="142" t="s">
        <v>61</v>
      </c>
      <c r="BH6" s="143" t="s">
        <v>62</v>
      </c>
      <c r="BI6" s="219"/>
      <c r="BJ6" s="219"/>
      <c r="BK6" s="174">
        <v>0</v>
      </c>
      <c r="BL6" s="174">
        <v>1</v>
      </c>
      <c r="BM6" s="174">
        <v>3</v>
      </c>
      <c r="BN6" s="174">
        <v>2</v>
      </c>
      <c r="BO6" s="174">
        <v>1</v>
      </c>
      <c r="BP6" s="174">
        <v>0</v>
      </c>
      <c r="BQ6" s="174">
        <v>2</v>
      </c>
      <c r="BR6" s="174">
        <v>1</v>
      </c>
      <c r="BS6" s="174">
        <v>0</v>
      </c>
      <c r="BT6" s="174">
        <v>0</v>
      </c>
      <c r="BU6" s="174">
        <v>0</v>
      </c>
      <c r="BV6" s="174">
        <v>0</v>
      </c>
      <c r="BW6" s="174">
        <v>0</v>
      </c>
      <c r="BX6" s="174">
        <v>0</v>
      </c>
      <c r="BY6" s="179">
        <f>BK6+BM6+BO6+BQ6+BS6+BU6+BW6</f>
        <v>6</v>
      </c>
      <c r="BZ6" s="179">
        <f>BL6+BN6+BP6+BR6+BT6+BV6+BX6</f>
        <v>4</v>
      </c>
      <c r="CA6" s="185">
        <f>BZ6+BY6</f>
        <v>10</v>
      </c>
    </row>
    <row r="7" spans="1:79" ht="80.099999999999994" customHeight="1">
      <c r="A7" s="173">
        <v>2</v>
      </c>
      <c r="B7" s="142" t="s">
        <v>63</v>
      </c>
      <c r="C7" s="143" t="s">
        <v>51</v>
      </c>
      <c r="D7" s="145">
        <v>100000</v>
      </c>
      <c r="E7" s="144">
        <f t="shared" ref="E7:E35" si="8">(F7*2)+F7*0.25</f>
        <v>56.25</v>
      </c>
      <c r="F7" s="145">
        <v>25</v>
      </c>
      <c r="G7" s="186">
        <v>3</v>
      </c>
      <c r="H7" s="186">
        <v>0</v>
      </c>
      <c r="I7" s="173">
        <f t="shared" ref="I7:I29" si="9">SUM(G7:H7)</f>
        <v>3</v>
      </c>
      <c r="J7" s="173">
        <v>3</v>
      </c>
      <c r="K7" s="173">
        <v>0</v>
      </c>
      <c r="L7" s="186">
        <v>0</v>
      </c>
      <c r="M7" s="186">
        <v>0</v>
      </c>
      <c r="N7" s="173">
        <f t="shared" ref="N7:N29" si="10">SUM(L7:M7)</f>
        <v>0</v>
      </c>
      <c r="O7" s="186">
        <v>0</v>
      </c>
      <c r="P7" s="186">
        <v>0</v>
      </c>
      <c r="Q7" s="173">
        <f t="shared" ref="Q7:Q29" si="11">SUM(O7:P7)</f>
        <v>0</v>
      </c>
      <c r="R7" s="186">
        <v>0</v>
      </c>
      <c r="S7" s="186">
        <v>0</v>
      </c>
      <c r="T7" s="173">
        <f t="shared" si="0"/>
        <v>0</v>
      </c>
      <c r="U7" s="173"/>
      <c r="V7" s="173"/>
      <c r="W7" s="173">
        <f t="shared" si="1"/>
        <v>3</v>
      </c>
      <c r="X7" s="175">
        <f t="shared" ref="X7:X37" si="12">I7/F7</f>
        <v>0.12</v>
      </c>
      <c r="Y7" s="175"/>
      <c r="Z7" s="175">
        <f t="shared" ref="Z7:Z29" si="13">I7*4/(D7*0.0008)</f>
        <v>0.15</v>
      </c>
      <c r="AA7" s="178"/>
      <c r="AB7" s="178"/>
      <c r="AC7" s="178"/>
      <c r="AD7" s="186"/>
      <c r="AE7" s="186">
        <v>1</v>
      </c>
      <c r="AF7" s="186">
        <v>2</v>
      </c>
      <c r="AG7" s="186"/>
      <c r="AH7" s="186"/>
      <c r="AI7" s="178">
        <f>AE7+AF7</f>
        <v>3</v>
      </c>
      <c r="AJ7" s="178"/>
      <c r="AK7" s="173"/>
      <c r="AL7" s="173"/>
      <c r="AM7" s="186"/>
      <c r="AN7" s="186">
        <v>1</v>
      </c>
      <c r="AO7" s="186">
        <v>0</v>
      </c>
      <c r="AP7" s="186"/>
      <c r="AQ7" s="186"/>
      <c r="AR7" s="178">
        <f>AN7+AO7</f>
        <v>1</v>
      </c>
      <c r="AS7" s="179">
        <f t="shared" si="2"/>
        <v>5</v>
      </c>
      <c r="AT7" s="179">
        <f t="shared" si="2"/>
        <v>2</v>
      </c>
      <c r="AU7" s="180">
        <f t="shared" ref="AU7:AU37" si="14">AS7+AT7</f>
        <v>7</v>
      </c>
      <c r="AV7" s="180">
        <v>5</v>
      </c>
      <c r="AW7" s="180">
        <v>2</v>
      </c>
      <c r="AX7" s="176">
        <f t="shared" si="3"/>
        <v>0.5</v>
      </c>
      <c r="AY7" s="176">
        <v>0.5</v>
      </c>
      <c r="AZ7" s="176">
        <f t="shared" si="4"/>
        <v>0.12444444444444444</v>
      </c>
      <c r="BA7" s="175">
        <f t="shared" si="5"/>
        <v>0.15819209039548024</v>
      </c>
      <c r="BB7" s="175">
        <f t="shared" si="6"/>
        <v>0</v>
      </c>
      <c r="BC7" s="187">
        <f t="shared" ref="BC7:BC29" si="15">I7*4/D7*100000</f>
        <v>12</v>
      </c>
      <c r="BD7" s="188">
        <f t="shared" si="7"/>
        <v>27.999999999999996</v>
      </c>
      <c r="BE7" s="189"/>
      <c r="BF7" s="184">
        <v>2</v>
      </c>
      <c r="BG7" s="142" t="s">
        <v>63</v>
      </c>
      <c r="BH7" s="143" t="s">
        <v>51</v>
      </c>
      <c r="BI7" s="219"/>
      <c r="BJ7" s="219"/>
      <c r="BK7" s="186">
        <v>0</v>
      </c>
      <c r="BL7" s="186">
        <v>0</v>
      </c>
      <c r="BM7" s="186">
        <v>3</v>
      </c>
      <c r="BN7" s="186">
        <v>0</v>
      </c>
      <c r="BO7" s="186">
        <v>0</v>
      </c>
      <c r="BP7" s="186">
        <v>0</v>
      </c>
      <c r="BQ7" s="186">
        <v>0</v>
      </c>
      <c r="BR7" s="186">
        <v>0</v>
      </c>
      <c r="BS7" s="186">
        <v>0</v>
      </c>
      <c r="BT7" s="186">
        <v>0</v>
      </c>
      <c r="BU7" s="186">
        <v>0</v>
      </c>
      <c r="BV7" s="186">
        <v>0</v>
      </c>
      <c r="BW7" s="186">
        <v>0</v>
      </c>
      <c r="BX7" s="186">
        <v>0</v>
      </c>
      <c r="BY7" s="179">
        <f t="shared" ref="BY7:BY13" si="16">BK7+BM7+BO7+BQ7+BS7+BU7+BW7</f>
        <v>3</v>
      </c>
      <c r="BZ7" s="179">
        <f t="shared" ref="BZ7:BZ13" si="17">BL7+BN7+BP7+BR7+BT7+BV7+BX7</f>
        <v>0</v>
      </c>
      <c r="CA7" s="185">
        <f t="shared" ref="CA7:CA13" si="18">BZ7+BY7</f>
        <v>3</v>
      </c>
    </row>
    <row r="8" spans="1:79" ht="80.099999999999994" customHeight="1">
      <c r="A8" s="173">
        <v>3</v>
      </c>
      <c r="B8" s="142" t="s">
        <v>64</v>
      </c>
      <c r="C8" s="143" t="s">
        <v>65</v>
      </c>
      <c r="D8" s="145">
        <v>200000</v>
      </c>
      <c r="E8" s="144">
        <f t="shared" si="8"/>
        <v>67.5</v>
      </c>
      <c r="F8" s="145">
        <v>30</v>
      </c>
      <c r="G8" s="174">
        <v>7</v>
      </c>
      <c r="H8" s="174">
        <v>7</v>
      </c>
      <c r="I8" s="173">
        <f t="shared" si="9"/>
        <v>14</v>
      </c>
      <c r="J8" s="173">
        <v>14</v>
      </c>
      <c r="K8" s="173">
        <v>1</v>
      </c>
      <c r="L8" s="174">
        <v>0</v>
      </c>
      <c r="M8" s="174">
        <v>1</v>
      </c>
      <c r="N8" s="173">
        <f t="shared" si="10"/>
        <v>1</v>
      </c>
      <c r="O8" s="174">
        <v>0</v>
      </c>
      <c r="P8" s="174">
        <v>0</v>
      </c>
      <c r="Q8" s="173">
        <f t="shared" si="11"/>
        <v>0</v>
      </c>
      <c r="R8" s="174">
        <v>0</v>
      </c>
      <c r="S8" s="174">
        <v>0</v>
      </c>
      <c r="T8" s="173">
        <f t="shared" si="0"/>
        <v>0</v>
      </c>
      <c r="U8" s="173"/>
      <c r="V8" s="173"/>
      <c r="W8" s="173">
        <f t="shared" si="1"/>
        <v>15</v>
      </c>
      <c r="X8" s="175">
        <f t="shared" si="12"/>
        <v>0.46666666666666667</v>
      </c>
      <c r="Y8" s="175"/>
      <c r="Z8" s="176">
        <f t="shared" si="13"/>
        <v>0.35</v>
      </c>
      <c r="AA8" s="177"/>
      <c r="AB8" s="177"/>
      <c r="AC8" s="177"/>
      <c r="AD8" s="174"/>
      <c r="AE8" s="174">
        <v>3</v>
      </c>
      <c r="AF8" s="174">
        <v>1</v>
      </c>
      <c r="AG8" s="174"/>
      <c r="AH8" s="174"/>
      <c r="AI8" s="178">
        <f t="shared" ref="AI8:AI37" si="19">AE8+AF8</f>
        <v>4</v>
      </c>
      <c r="AJ8" s="177"/>
      <c r="AK8" s="179"/>
      <c r="AL8" s="179"/>
      <c r="AM8" s="174"/>
      <c r="AN8" s="174">
        <v>0</v>
      </c>
      <c r="AO8" s="174">
        <v>7</v>
      </c>
      <c r="AP8" s="174"/>
      <c r="AQ8" s="174"/>
      <c r="AR8" s="178">
        <f t="shared" ref="AR8:AR37" si="20">AN8+AO8</f>
        <v>7</v>
      </c>
      <c r="AS8" s="179">
        <f t="shared" si="2"/>
        <v>10</v>
      </c>
      <c r="AT8" s="179">
        <f t="shared" si="2"/>
        <v>16</v>
      </c>
      <c r="AU8" s="180">
        <f t="shared" si="14"/>
        <v>26</v>
      </c>
      <c r="AV8" s="180">
        <v>10</v>
      </c>
      <c r="AW8" s="180">
        <v>16</v>
      </c>
      <c r="AX8" s="176">
        <f t="shared" si="3"/>
        <v>0.77777777777777779</v>
      </c>
      <c r="AY8" s="176">
        <v>0.78</v>
      </c>
      <c r="AZ8" s="176">
        <f t="shared" si="4"/>
        <v>0.38518518518518519</v>
      </c>
      <c r="BA8" s="176">
        <f t="shared" si="5"/>
        <v>0.29378531073446329</v>
      </c>
      <c r="BB8" s="176">
        <f t="shared" si="6"/>
        <v>3.8461538461538464E-2</v>
      </c>
      <c r="BC8" s="181">
        <f t="shared" si="15"/>
        <v>27.999999999999996</v>
      </c>
      <c r="BD8" s="182">
        <f t="shared" si="7"/>
        <v>51.999999999999993</v>
      </c>
      <c r="BE8" s="183"/>
      <c r="BF8" s="184">
        <v>3</v>
      </c>
      <c r="BG8" s="142" t="s">
        <v>64</v>
      </c>
      <c r="BH8" s="143" t="s">
        <v>65</v>
      </c>
      <c r="BI8" s="219"/>
      <c r="BJ8" s="219"/>
      <c r="BK8" s="174">
        <v>0</v>
      </c>
      <c r="BL8" s="174">
        <v>1</v>
      </c>
      <c r="BM8" s="174">
        <v>2</v>
      </c>
      <c r="BN8" s="174">
        <v>3</v>
      </c>
      <c r="BO8" s="174">
        <v>1</v>
      </c>
      <c r="BP8" s="174">
        <v>1</v>
      </c>
      <c r="BQ8" s="174">
        <v>0</v>
      </c>
      <c r="BR8" s="174">
        <v>1</v>
      </c>
      <c r="BS8" s="174">
        <v>3</v>
      </c>
      <c r="BT8" s="174">
        <v>1</v>
      </c>
      <c r="BU8" s="174">
        <v>0</v>
      </c>
      <c r="BV8" s="174">
        <v>0</v>
      </c>
      <c r="BW8" s="174">
        <v>1</v>
      </c>
      <c r="BX8" s="174">
        <v>0</v>
      </c>
      <c r="BY8" s="179">
        <f t="shared" si="16"/>
        <v>7</v>
      </c>
      <c r="BZ8" s="179">
        <f t="shared" si="17"/>
        <v>7</v>
      </c>
      <c r="CA8" s="185">
        <f t="shared" si="18"/>
        <v>14</v>
      </c>
    </row>
    <row r="9" spans="1:79" ht="80.099999999999994" customHeight="1">
      <c r="A9" s="173">
        <v>4</v>
      </c>
      <c r="B9" s="142" t="s">
        <v>66</v>
      </c>
      <c r="C9" s="143" t="s">
        <v>55</v>
      </c>
      <c r="D9" s="145">
        <v>150000</v>
      </c>
      <c r="E9" s="144">
        <f t="shared" si="8"/>
        <v>112.5</v>
      </c>
      <c r="F9" s="145">
        <v>50</v>
      </c>
      <c r="G9" s="186">
        <v>17</v>
      </c>
      <c r="H9" s="186">
        <v>12</v>
      </c>
      <c r="I9" s="173">
        <f t="shared" si="9"/>
        <v>29</v>
      </c>
      <c r="J9" s="173">
        <v>29</v>
      </c>
      <c r="K9" s="173">
        <v>3</v>
      </c>
      <c r="L9" s="186">
        <v>1</v>
      </c>
      <c r="M9" s="186">
        <v>2</v>
      </c>
      <c r="N9" s="173">
        <f t="shared" si="10"/>
        <v>3</v>
      </c>
      <c r="O9" s="186">
        <v>0</v>
      </c>
      <c r="P9" s="186">
        <v>0</v>
      </c>
      <c r="Q9" s="173">
        <f t="shared" si="11"/>
        <v>0</v>
      </c>
      <c r="R9" s="186">
        <v>0</v>
      </c>
      <c r="S9" s="186">
        <v>0</v>
      </c>
      <c r="T9" s="173">
        <f t="shared" si="0"/>
        <v>0</v>
      </c>
      <c r="U9" s="173"/>
      <c r="V9" s="173"/>
      <c r="W9" s="173">
        <f t="shared" si="1"/>
        <v>32</v>
      </c>
      <c r="X9" s="175">
        <f t="shared" si="12"/>
        <v>0.57999999999999996</v>
      </c>
      <c r="Y9" s="175"/>
      <c r="Z9" s="175">
        <f t="shared" si="13"/>
        <v>0.96666666666666667</v>
      </c>
      <c r="AA9" s="178"/>
      <c r="AB9" s="178"/>
      <c r="AC9" s="178"/>
      <c r="AD9" s="186"/>
      <c r="AE9" s="186">
        <v>3</v>
      </c>
      <c r="AF9" s="186">
        <v>3</v>
      </c>
      <c r="AG9" s="186"/>
      <c r="AH9" s="186"/>
      <c r="AI9" s="178">
        <f t="shared" si="19"/>
        <v>6</v>
      </c>
      <c r="AJ9" s="178"/>
      <c r="AK9" s="173"/>
      <c r="AL9" s="173"/>
      <c r="AM9" s="186"/>
      <c r="AN9" s="186">
        <v>2</v>
      </c>
      <c r="AO9" s="186">
        <v>4</v>
      </c>
      <c r="AP9" s="186"/>
      <c r="AQ9" s="186"/>
      <c r="AR9" s="178">
        <f t="shared" si="20"/>
        <v>6</v>
      </c>
      <c r="AS9" s="179">
        <f t="shared" si="2"/>
        <v>23</v>
      </c>
      <c r="AT9" s="179">
        <f t="shared" si="2"/>
        <v>21</v>
      </c>
      <c r="AU9" s="180">
        <f t="shared" si="14"/>
        <v>44</v>
      </c>
      <c r="AV9" s="180">
        <v>23</v>
      </c>
      <c r="AW9" s="180">
        <v>21</v>
      </c>
      <c r="AX9" s="176">
        <f t="shared" si="3"/>
        <v>0.82857142857142863</v>
      </c>
      <c r="AY9" s="176">
        <v>0.83</v>
      </c>
      <c r="AZ9" s="176">
        <f t="shared" si="4"/>
        <v>0.39111111111111113</v>
      </c>
      <c r="BA9" s="175">
        <f t="shared" si="5"/>
        <v>0.66290018832391717</v>
      </c>
      <c r="BB9" s="175">
        <f t="shared" si="6"/>
        <v>6.8181818181818177E-2</v>
      </c>
      <c r="BC9" s="187">
        <f t="shared" si="15"/>
        <v>77.333333333333329</v>
      </c>
      <c r="BD9" s="188">
        <f t="shared" si="7"/>
        <v>117.33333333333333</v>
      </c>
      <c r="BE9" s="189"/>
      <c r="BF9" s="184">
        <v>4</v>
      </c>
      <c r="BG9" s="142" t="s">
        <v>66</v>
      </c>
      <c r="BH9" s="143" t="s">
        <v>55</v>
      </c>
      <c r="BI9" s="219"/>
      <c r="BJ9" s="219"/>
      <c r="BK9" s="186">
        <v>0</v>
      </c>
      <c r="BL9" s="186">
        <v>1</v>
      </c>
      <c r="BM9" s="186">
        <v>9</v>
      </c>
      <c r="BN9" s="186">
        <v>6</v>
      </c>
      <c r="BO9" s="186">
        <v>3</v>
      </c>
      <c r="BP9" s="186">
        <v>0</v>
      </c>
      <c r="BQ9" s="186">
        <v>1</v>
      </c>
      <c r="BR9" s="186">
        <v>1</v>
      </c>
      <c r="BS9" s="186">
        <v>2</v>
      </c>
      <c r="BT9" s="186">
        <v>2</v>
      </c>
      <c r="BU9" s="186">
        <v>2</v>
      </c>
      <c r="BV9" s="186">
        <v>0</v>
      </c>
      <c r="BW9" s="186">
        <v>0</v>
      </c>
      <c r="BX9" s="186">
        <v>2</v>
      </c>
      <c r="BY9" s="179">
        <f t="shared" si="16"/>
        <v>17</v>
      </c>
      <c r="BZ9" s="179">
        <f t="shared" si="17"/>
        <v>12</v>
      </c>
      <c r="CA9" s="185">
        <f t="shared" si="18"/>
        <v>29</v>
      </c>
    </row>
    <row r="10" spans="1:79" ht="80.099999999999994" customHeight="1">
      <c r="A10" s="173">
        <v>5</v>
      </c>
      <c r="B10" s="142" t="s">
        <v>67</v>
      </c>
      <c r="C10" s="143" t="s">
        <v>68</v>
      </c>
      <c r="D10" s="145">
        <v>100000</v>
      </c>
      <c r="E10" s="144">
        <f t="shared" si="8"/>
        <v>56.25</v>
      </c>
      <c r="F10" s="145">
        <v>25</v>
      </c>
      <c r="G10" s="174">
        <v>0</v>
      </c>
      <c r="H10" s="174">
        <v>2</v>
      </c>
      <c r="I10" s="173">
        <f t="shared" si="9"/>
        <v>2</v>
      </c>
      <c r="J10" s="173">
        <v>2</v>
      </c>
      <c r="K10" s="173">
        <v>0</v>
      </c>
      <c r="L10" s="174">
        <v>0</v>
      </c>
      <c r="M10" s="174">
        <v>0</v>
      </c>
      <c r="N10" s="173">
        <f t="shared" si="10"/>
        <v>0</v>
      </c>
      <c r="O10" s="174">
        <v>0</v>
      </c>
      <c r="P10" s="174">
        <v>0</v>
      </c>
      <c r="Q10" s="173">
        <f t="shared" si="11"/>
        <v>0</v>
      </c>
      <c r="R10" s="174">
        <v>0</v>
      </c>
      <c r="S10" s="174">
        <v>0</v>
      </c>
      <c r="T10" s="173">
        <f t="shared" si="0"/>
        <v>0</v>
      </c>
      <c r="U10" s="173"/>
      <c r="V10" s="173"/>
      <c r="W10" s="173">
        <f t="shared" si="1"/>
        <v>2</v>
      </c>
      <c r="X10" s="175">
        <f t="shared" si="12"/>
        <v>0.08</v>
      </c>
      <c r="Y10" s="175"/>
      <c r="Z10" s="176">
        <f t="shared" si="13"/>
        <v>0.1</v>
      </c>
      <c r="AA10" s="177"/>
      <c r="AB10" s="177"/>
      <c r="AC10" s="177"/>
      <c r="AD10" s="174"/>
      <c r="AE10" s="174">
        <v>3</v>
      </c>
      <c r="AF10" s="174">
        <v>9</v>
      </c>
      <c r="AG10" s="174"/>
      <c r="AH10" s="174"/>
      <c r="AI10" s="178">
        <f t="shared" si="19"/>
        <v>12</v>
      </c>
      <c r="AJ10" s="177"/>
      <c r="AK10" s="179"/>
      <c r="AL10" s="179"/>
      <c r="AM10" s="174"/>
      <c r="AN10" s="174">
        <v>0</v>
      </c>
      <c r="AO10" s="174">
        <v>0</v>
      </c>
      <c r="AP10" s="174"/>
      <c r="AQ10" s="174"/>
      <c r="AR10" s="178">
        <f t="shared" si="20"/>
        <v>0</v>
      </c>
      <c r="AS10" s="179">
        <f t="shared" si="2"/>
        <v>3</v>
      </c>
      <c r="AT10" s="179">
        <f t="shared" si="2"/>
        <v>11</v>
      </c>
      <c r="AU10" s="180">
        <f t="shared" si="14"/>
        <v>14</v>
      </c>
      <c r="AV10" s="180">
        <v>3</v>
      </c>
      <c r="AW10" s="180">
        <v>11</v>
      </c>
      <c r="AX10" s="176">
        <f t="shared" si="3"/>
        <v>0.14285714285714285</v>
      </c>
      <c r="AY10" s="176">
        <v>0.14000000000000001</v>
      </c>
      <c r="AZ10" s="176">
        <f t="shared" si="4"/>
        <v>0.24888888888888888</v>
      </c>
      <c r="BA10" s="176">
        <f t="shared" si="5"/>
        <v>0.31638418079096048</v>
      </c>
      <c r="BB10" s="176">
        <f t="shared" si="6"/>
        <v>0</v>
      </c>
      <c r="BC10" s="181">
        <f t="shared" si="15"/>
        <v>8</v>
      </c>
      <c r="BD10" s="182">
        <f t="shared" si="7"/>
        <v>55.999999999999993</v>
      </c>
      <c r="BE10" s="183"/>
      <c r="BF10" s="184">
        <v>5</v>
      </c>
      <c r="BG10" s="142" t="s">
        <v>67</v>
      </c>
      <c r="BH10" s="143" t="s">
        <v>68</v>
      </c>
      <c r="BI10" s="219"/>
      <c r="BJ10" s="219"/>
      <c r="BK10" s="174">
        <v>0</v>
      </c>
      <c r="BL10" s="174">
        <v>0</v>
      </c>
      <c r="BM10" s="174">
        <v>0</v>
      </c>
      <c r="BN10" s="174">
        <v>2</v>
      </c>
      <c r="BO10" s="174">
        <v>0</v>
      </c>
      <c r="BP10" s="174">
        <v>0</v>
      </c>
      <c r="BQ10" s="174">
        <v>0</v>
      </c>
      <c r="BR10" s="174">
        <v>0</v>
      </c>
      <c r="BS10" s="174">
        <v>0</v>
      </c>
      <c r="BT10" s="174">
        <v>0</v>
      </c>
      <c r="BU10" s="174">
        <v>0</v>
      </c>
      <c r="BV10" s="174">
        <v>0</v>
      </c>
      <c r="BW10" s="174">
        <v>0</v>
      </c>
      <c r="BX10" s="174">
        <v>0</v>
      </c>
      <c r="BY10" s="179">
        <f t="shared" si="16"/>
        <v>0</v>
      </c>
      <c r="BZ10" s="179">
        <f t="shared" si="17"/>
        <v>2</v>
      </c>
      <c r="CA10" s="185">
        <f t="shared" si="18"/>
        <v>2</v>
      </c>
    </row>
    <row r="11" spans="1:79" ht="80.099999999999994" customHeight="1">
      <c r="A11" s="173">
        <v>6</v>
      </c>
      <c r="B11" s="142" t="s">
        <v>69</v>
      </c>
      <c r="C11" s="146" t="s">
        <v>53</v>
      </c>
      <c r="D11" s="147">
        <v>100000</v>
      </c>
      <c r="E11" s="144">
        <f t="shared" si="8"/>
        <v>67.5</v>
      </c>
      <c r="F11" s="147">
        <v>30</v>
      </c>
      <c r="G11" s="186">
        <v>7</v>
      </c>
      <c r="H11" s="186">
        <v>9</v>
      </c>
      <c r="I11" s="173">
        <f t="shared" si="9"/>
        <v>16</v>
      </c>
      <c r="J11" s="173">
        <v>16</v>
      </c>
      <c r="K11" s="173">
        <f t="shared" ref="K11:K37" si="21">N11+Q11+T11</f>
        <v>0</v>
      </c>
      <c r="L11" s="186">
        <v>0</v>
      </c>
      <c r="M11" s="186">
        <v>0</v>
      </c>
      <c r="N11" s="173">
        <f t="shared" si="10"/>
        <v>0</v>
      </c>
      <c r="O11" s="186">
        <v>0</v>
      </c>
      <c r="P11" s="186">
        <v>0</v>
      </c>
      <c r="Q11" s="173">
        <f t="shared" si="11"/>
        <v>0</v>
      </c>
      <c r="R11" s="186">
        <v>0</v>
      </c>
      <c r="S11" s="186">
        <v>0</v>
      </c>
      <c r="T11" s="173">
        <f t="shared" si="0"/>
        <v>0</v>
      </c>
      <c r="U11" s="173"/>
      <c r="V11" s="173"/>
      <c r="W11" s="173">
        <f t="shared" si="1"/>
        <v>16</v>
      </c>
      <c r="X11" s="175">
        <f t="shared" si="12"/>
        <v>0.53333333333333333</v>
      </c>
      <c r="Y11" s="175"/>
      <c r="Z11" s="175">
        <f t="shared" si="13"/>
        <v>0.8</v>
      </c>
      <c r="AA11" s="178"/>
      <c r="AB11" s="178"/>
      <c r="AC11" s="178"/>
      <c r="AD11" s="186"/>
      <c r="AE11" s="186">
        <v>2</v>
      </c>
      <c r="AF11" s="186">
        <v>1</v>
      </c>
      <c r="AG11" s="186"/>
      <c r="AH11" s="186"/>
      <c r="AI11" s="178">
        <f t="shared" si="19"/>
        <v>3</v>
      </c>
      <c r="AJ11" s="178"/>
      <c r="AK11" s="173"/>
      <c r="AL11" s="173"/>
      <c r="AM11" s="186"/>
      <c r="AN11" s="186">
        <v>1</v>
      </c>
      <c r="AO11" s="186">
        <v>4</v>
      </c>
      <c r="AP11" s="186"/>
      <c r="AQ11" s="186"/>
      <c r="AR11" s="178">
        <f t="shared" si="20"/>
        <v>5</v>
      </c>
      <c r="AS11" s="179">
        <f t="shared" si="2"/>
        <v>10</v>
      </c>
      <c r="AT11" s="179">
        <f t="shared" si="2"/>
        <v>14</v>
      </c>
      <c r="AU11" s="180">
        <f t="shared" si="14"/>
        <v>24</v>
      </c>
      <c r="AV11" s="180">
        <v>10</v>
      </c>
      <c r="AW11" s="180">
        <v>14</v>
      </c>
      <c r="AX11" s="176">
        <f t="shared" si="3"/>
        <v>0.84210526315789469</v>
      </c>
      <c r="AY11" s="176">
        <v>0.84</v>
      </c>
      <c r="AZ11" s="176">
        <f t="shared" si="4"/>
        <v>0.35555555555555557</v>
      </c>
      <c r="BA11" s="175">
        <f t="shared" si="5"/>
        <v>0.5423728813559322</v>
      </c>
      <c r="BB11" s="175">
        <f t="shared" si="6"/>
        <v>0</v>
      </c>
      <c r="BC11" s="187">
        <f t="shared" si="15"/>
        <v>64</v>
      </c>
      <c r="BD11" s="188">
        <f t="shared" si="7"/>
        <v>96</v>
      </c>
      <c r="BE11" s="189"/>
      <c r="BF11" s="184">
        <v>6</v>
      </c>
      <c r="BG11" s="142" t="s">
        <v>69</v>
      </c>
      <c r="BH11" s="146" t="s">
        <v>53</v>
      </c>
      <c r="BI11" s="219"/>
      <c r="BJ11" s="219"/>
      <c r="BK11" s="186">
        <v>0</v>
      </c>
      <c r="BL11" s="186">
        <v>1</v>
      </c>
      <c r="BM11" s="186">
        <v>4</v>
      </c>
      <c r="BN11" s="186">
        <v>4</v>
      </c>
      <c r="BO11" s="186">
        <v>2</v>
      </c>
      <c r="BP11" s="186">
        <v>0</v>
      </c>
      <c r="BQ11" s="186">
        <v>0</v>
      </c>
      <c r="BR11" s="186">
        <v>1</v>
      </c>
      <c r="BS11" s="186">
        <v>1</v>
      </c>
      <c r="BT11" s="186">
        <v>2</v>
      </c>
      <c r="BU11" s="186">
        <v>0</v>
      </c>
      <c r="BV11" s="186">
        <v>1</v>
      </c>
      <c r="BW11" s="186">
        <v>0</v>
      </c>
      <c r="BX11" s="186">
        <v>0</v>
      </c>
      <c r="BY11" s="179">
        <f t="shared" si="16"/>
        <v>7</v>
      </c>
      <c r="BZ11" s="179">
        <f t="shared" si="17"/>
        <v>9</v>
      </c>
      <c r="CA11" s="185">
        <f t="shared" si="18"/>
        <v>16</v>
      </c>
    </row>
    <row r="12" spans="1:79" ht="80.099999999999994" customHeight="1">
      <c r="A12" s="173">
        <v>7</v>
      </c>
      <c r="B12" s="142" t="s">
        <v>70</v>
      </c>
      <c r="C12" s="143" t="s">
        <v>71</v>
      </c>
      <c r="D12" s="145">
        <v>100000</v>
      </c>
      <c r="E12" s="144">
        <f t="shared" si="8"/>
        <v>56.25</v>
      </c>
      <c r="F12" s="145">
        <v>25</v>
      </c>
      <c r="G12" s="174">
        <v>5</v>
      </c>
      <c r="H12" s="174">
        <v>6</v>
      </c>
      <c r="I12" s="173">
        <f t="shared" si="9"/>
        <v>11</v>
      </c>
      <c r="J12" s="173">
        <v>11</v>
      </c>
      <c r="K12" s="173">
        <f t="shared" si="21"/>
        <v>4</v>
      </c>
      <c r="L12" s="174">
        <v>3</v>
      </c>
      <c r="M12" s="174">
        <v>1</v>
      </c>
      <c r="N12" s="173">
        <f t="shared" si="10"/>
        <v>4</v>
      </c>
      <c r="O12" s="174">
        <v>0</v>
      </c>
      <c r="P12" s="174">
        <v>0</v>
      </c>
      <c r="Q12" s="173">
        <f t="shared" si="11"/>
        <v>0</v>
      </c>
      <c r="R12" s="174">
        <v>0</v>
      </c>
      <c r="S12" s="174">
        <v>0</v>
      </c>
      <c r="T12" s="173">
        <f t="shared" si="0"/>
        <v>0</v>
      </c>
      <c r="U12" s="173"/>
      <c r="V12" s="173"/>
      <c r="W12" s="173">
        <f t="shared" si="1"/>
        <v>15</v>
      </c>
      <c r="X12" s="175">
        <f t="shared" si="12"/>
        <v>0.44</v>
      </c>
      <c r="Y12" s="175"/>
      <c r="Z12" s="176">
        <f t="shared" si="13"/>
        <v>0.55000000000000004</v>
      </c>
      <c r="AA12" s="177"/>
      <c r="AB12" s="177"/>
      <c r="AC12" s="177"/>
      <c r="AD12" s="174"/>
      <c r="AE12" s="174">
        <v>1</v>
      </c>
      <c r="AF12" s="174">
        <v>0</v>
      </c>
      <c r="AG12" s="174"/>
      <c r="AH12" s="174"/>
      <c r="AI12" s="178">
        <f t="shared" si="19"/>
        <v>1</v>
      </c>
      <c r="AJ12" s="177"/>
      <c r="AK12" s="179"/>
      <c r="AL12" s="179"/>
      <c r="AM12" s="174"/>
      <c r="AN12" s="174">
        <v>1</v>
      </c>
      <c r="AO12" s="174">
        <v>0</v>
      </c>
      <c r="AP12" s="174"/>
      <c r="AQ12" s="174"/>
      <c r="AR12" s="178">
        <f t="shared" si="20"/>
        <v>1</v>
      </c>
      <c r="AS12" s="179">
        <f t="shared" si="2"/>
        <v>10</v>
      </c>
      <c r="AT12" s="179">
        <f t="shared" si="2"/>
        <v>7</v>
      </c>
      <c r="AU12" s="180">
        <f t="shared" si="14"/>
        <v>17</v>
      </c>
      <c r="AV12" s="180">
        <v>10</v>
      </c>
      <c r="AW12" s="180">
        <v>7</v>
      </c>
      <c r="AX12" s="176">
        <f t="shared" si="3"/>
        <v>0.91666666666666663</v>
      </c>
      <c r="AY12" s="176">
        <v>0.92</v>
      </c>
      <c r="AZ12" s="176">
        <f t="shared" si="4"/>
        <v>0.30222222222222223</v>
      </c>
      <c r="BA12" s="176">
        <f t="shared" si="5"/>
        <v>0.38418079096045199</v>
      </c>
      <c r="BB12" s="176">
        <f t="shared" si="6"/>
        <v>0.23529411764705882</v>
      </c>
      <c r="BC12" s="181">
        <f t="shared" si="15"/>
        <v>44</v>
      </c>
      <c r="BD12" s="182">
        <f t="shared" si="7"/>
        <v>68</v>
      </c>
      <c r="BE12" s="183"/>
      <c r="BF12" s="184">
        <v>7</v>
      </c>
      <c r="BG12" s="142" t="s">
        <v>70</v>
      </c>
      <c r="BH12" s="143" t="s">
        <v>71</v>
      </c>
      <c r="BI12" s="219"/>
      <c r="BJ12" s="219"/>
      <c r="BK12" s="174">
        <v>0</v>
      </c>
      <c r="BL12" s="174">
        <v>0</v>
      </c>
      <c r="BM12" s="174">
        <v>0</v>
      </c>
      <c r="BN12" s="174">
        <v>1</v>
      </c>
      <c r="BO12" s="174">
        <v>1</v>
      </c>
      <c r="BP12" s="174">
        <v>1</v>
      </c>
      <c r="BQ12" s="174">
        <v>2</v>
      </c>
      <c r="BR12" s="174">
        <v>2</v>
      </c>
      <c r="BS12" s="174">
        <v>1</v>
      </c>
      <c r="BT12" s="174">
        <v>0</v>
      </c>
      <c r="BU12" s="174">
        <v>1</v>
      </c>
      <c r="BV12" s="174">
        <v>1</v>
      </c>
      <c r="BW12" s="174">
        <v>0</v>
      </c>
      <c r="BX12" s="174">
        <v>1</v>
      </c>
      <c r="BY12" s="179">
        <f t="shared" si="16"/>
        <v>5</v>
      </c>
      <c r="BZ12" s="179">
        <f t="shared" si="17"/>
        <v>6</v>
      </c>
      <c r="CA12" s="185">
        <f t="shared" si="18"/>
        <v>11</v>
      </c>
    </row>
    <row r="13" spans="1:79" ht="80.099999999999994" customHeight="1">
      <c r="A13" s="173">
        <v>8</v>
      </c>
      <c r="B13" s="142" t="s">
        <v>72</v>
      </c>
      <c r="C13" s="146" t="s">
        <v>57</v>
      </c>
      <c r="D13" s="147">
        <v>100000</v>
      </c>
      <c r="E13" s="144">
        <f t="shared" si="8"/>
        <v>56.25</v>
      </c>
      <c r="F13" s="147">
        <v>25</v>
      </c>
      <c r="G13" s="186">
        <v>8</v>
      </c>
      <c r="H13" s="186">
        <v>3</v>
      </c>
      <c r="I13" s="173">
        <f t="shared" si="9"/>
        <v>11</v>
      </c>
      <c r="J13" s="173">
        <v>11</v>
      </c>
      <c r="K13" s="173">
        <f t="shared" si="21"/>
        <v>0</v>
      </c>
      <c r="L13" s="186">
        <v>0</v>
      </c>
      <c r="M13" s="186">
        <v>0</v>
      </c>
      <c r="N13" s="173">
        <f t="shared" si="10"/>
        <v>0</v>
      </c>
      <c r="O13" s="186">
        <v>0</v>
      </c>
      <c r="P13" s="186">
        <v>0</v>
      </c>
      <c r="Q13" s="173">
        <f t="shared" si="11"/>
        <v>0</v>
      </c>
      <c r="R13" s="186">
        <v>0</v>
      </c>
      <c r="S13" s="186">
        <v>0</v>
      </c>
      <c r="T13" s="173">
        <f t="shared" si="0"/>
        <v>0</v>
      </c>
      <c r="U13" s="173"/>
      <c r="V13" s="173"/>
      <c r="W13" s="173">
        <f t="shared" si="1"/>
        <v>11</v>
      </c>
      <c r="X13" s="175">
        <f t="shared" si="12"/>
        <v>0.44</v>
      </c>
      <c r="Y13" s="175"/>
      <c r="Z13" s="175">
        <f t="shared" si="13"/>
        <v>0.55000000000000004</v>
      </c>
      <c r="AA13" s="178"/>
      <c r="AB13" s="178"/>
      <c r="AC13" s="178"/>
      <c r="AD13" s="186"/>
      <c r="AE13" s="186"/>
      <c r="AF13" s="186">
        <v>3</v>
      </c>
      <c r="AG13" s="186"/>
      <c r="AH13" s="186"/>
      <c r="AI13" s="178">
        <f t="shared" si="19"/>
        <v>3</v>
      </c>
      <c r="AJ13" s="178"/>
      <c r="AK13" s="173"/>
      <c r="AL13" s="173"/>
      <c r="AM13" s="186"/>
      <c r="AN13" s="186">
        <v>0</v>
      </c>
      <c r="AO13" s="186">
        <v>1</v>
      </c>
      <c r="AP13" s="186"/>
      <c r="AQ13" s="186"/>
      <c r="AR13" s="178">
        <f t="shared" si="20"/>
        <v>1</v>
      </c>
      <c r="AS13" s="179">
        <f t="shared" si="2"/>
        <v>8</v>
      </c>
      <c r="AT13" s="179">
        <f t="shared" si="2"/>
        <v>7</v>
      </c>
      <c r="AU13" s="180">
        <f t="shared" si="14"/>
        <v>15</v>
      </c>
      <c r="AV13" s="180">
        <v>8</v>
      </c>
      <c r="AW13" s="180">
        <v>7</v>
      </c>
      <c r="AX13" s="176">
        <f t="shared" si="3"/>
        <v>0.7857142857142857</v>
      </c>
      <c r="AY13" s="176">
        <v>0.79</v>
      </c>
      <c r="AZ13" s="176">
        <f t="shared" si="4"/>
        <v>0.26666666666666666</v>
      </c>
      <c r="BA13" s="175">
        <f t="shared" si="5"/>
        <v>0.33898305084745761</v>
      </c>
      <c r="BB13" s="175">
        <f t="shared" si="6"/>
        <v>0</v>
      </c>
      <c r="BC13" s="187">
        <f t="shared" si="15"/>
        <v>44</v>
      </c>
      <c r="BD13" s="188">
        <f t="shared" si="7"/>
        <v>59.999999999999993</v>
      </c>
      <c r="BE13" s="189"/>
      <c r="BF13" s="184">
        <v>8</v>
      </c>
      <c r="BG13" s="142" t="s">
        <v>72</v>
      </c>
      <c r="BH13" s="146" t="s">
        <v>57</v>
      </c>
      <c r="BI13" s="219"/>
      <c r="BJ13" s="219"/>
      <c r="BK13" s="186">
        <v>1</v>
      </c>
      <c r="BL13" s="186">
        <v>1</v>
      </c>
      <c r="BM13" s="186">
        <v>3</v>
      </c>
      <c r="BN13" s="186">
        <v>1</v>
      </c>
      <c r="BO13" s="186">
        <v>3</v>
      </c>
      <c r="BP13" s="186">
        <v>1</v>
      </c>
      <c r="BQ13" s="186">
        <v>0</v>
      </c>
      <c r="BR13" s="186">
        <v>0</v>
      </c>
      <c r="BS13" s="186">
        <v>1</v>
      </c>
      <c r="BT13" s="186">
        <v>0</v>
      </c>
      <c r="BU13" s="186">
        <v>0</v>
      </c>
      <c r="BV13" s="186">
        <v>0</v>
      </c>
      <c r="BW13" s="186">
        <v>0</v>
      </c>
      <c r="BX13" s="186">
        <v>0</v>
      </c>
      <c r="BY13" s="179">
        <f t="shared" si="16"/>
        <v>8</v>
      </c>
      <c r="BZ13" s="179">
        <f t="shared" si="17"/>
        <v>3</v>
      </c>
      <c r="CA13" s="185">
        <f t="shared" si="18"/>
        <v>11</v>
      </c>
    </row>
    <row r="14" spans="1:79" ht="80.099999999999994" customHeight="1">
      <c r="A14" s="190" t="s">
        <v>109</v>
      </c>
      <c r="B14" s="148" t="s">
        <v>73</v>
      </c>
      <c r="C14" s="149" t="s">
        <v>74</v>
      </c>
      <c r="D14" s="150">
        <f>D13+D12+D11+D10+D9+D8+D7+D6</f>
        <v>950000</v>
      </c>
      <c r="E14" s="144">
        <f t="shared" si="8"/>
        <v>528.75</v>
      </c>
      <c r="F14" s="150">
        <f t="shared" ref="F14:T14" si="22">SUM(F6:F13)</f>
        <v>235</v>
      </c>
      <c r="G14" s="191">
        <f t="shared" si="22"/>
        <v>53</v>
      </c>
      <c r="H14" s="191">
        <f t="shared" si="22"/>
        <v>43</v>
      </c>
      <c r="I14" s="191">
        <f t="shared" si="22"/>
        <v>96</v>
      </c>
      <c r="J14" s="191">
        <v>96</v>
      </c>
      <c r="K14" s="173">
        <f t="shared" si="21"/>
        <v>11</v>
      </c>
      <c r="L14" s="191">
        <f t="shared" si="22"/>
        <v>6</v>
      </c>
      <c r="M14" s="191">
        <f t="shared" si="22"/>
        <v>5</v>
      </c>
      <c r="N14" s="191">
        <f t="shared" si="22"/>
        <v>11</v>
      </c>
      <c r="O14" s="191">
        <f t="shared" si="22"/>
        <v>0</v>
      </c>
      <c r="P14" s="191">
        <f t="shared" si="22"/>
        <v>0</v>
      </c>
      <c r="Q14" s="191">
        <f t="shared" si="22"/>
        <v>0</v>
      </c>
      <c r="R14" s="191">
        <f t="shared" si="22"/>
        <v>0</v>
      </c>
      <c r="S14" s="191">
        <f t="shared" si="22"/>
        <v>0</v>
      </c>
      <c r="T14" s="191">
        <f t="shared" si="22"/>
        <v>0</v>
      </c>
      <c r="U14" s="191"/>
      <c r="V14" s="191"/>
      <c r="W14" s="191">
        <f t="shared" si="1"/>
        <v>107</v>
      </c>
      <c r="X14" s="175">
        <f t="shared" si="12"/>
        <v>0.40851063829787232</v>
      </c>
      <c r="Y14" s="175"/>
      <c r="Z14" s="175">
        <f t="shared" si="13"/>
        <v>0.50526315789473686</v>
      </c>
      <c r="AA14" s="191">
        <f t="shared" ref="AA14:AF14" si="23">AA6+AA7+AA8+AA9+AA10+AA11+AA12+AA13</f>
        <v>0</v>
      </c>
      <c r="AB14" s="191">
        <f t="shared" si="23"/>
        <v>0</v>
      </c>
      <c r="AC14" s="191">
        <f t="shared" si="23"/>
        <v>0</v>
      </c>
      <c r="AD14" s="191">
        <f t="shared" si="23"/>
        <v>0</v>
      </c>
      <c r="AE14" s="191">
        <f t="shared" si="23"/>
        <v>16</v>
      </c>
      <c r="AF14" s="191">
        <f t="shared" si="23"/>
        <v>27</v>
      </c>
      <c r="AG14" s="191"/>
      <c r="AH14" s="191"/>
      <c r="AI14" s="178">
        <f t="shared" si="19"/>
        <v>43</v>
      </c>
      <c r="AJ14" s="191">
        <f>AJ6+AJ7+AJ8+AJ9+AJ10+AJ11+AJ12+AJ13</f>
        <v>0</v>
      </c>
      <c r="AK14" s="191">
        <f>AK6+AK7+AK8+AK9+AK10+AK11+AK12+AK13</f>
        <v>0</v>
      </c>
      <c r="AL14" s="191">
        <f>AL6+AL7+AL8+AL9+AL10+AL11+AL12+AL13</f>
        <v>0</v>
      </c>
      <c r="AM14" s="191">
        <f>AM6+AM7+AM8+AM9+AM10+AM11+AM12+AM13</f>
        <v>0</v>
      </c>
      <c r="AN14" s="191">
        <f>SUM(AN6:AN13)</f>
        <v>6</v>
      </c>
      <c r="AO14" s="191">
        <f>SUM(AO6:AO13)</f>
        <v>17</v>
      </c>
      <c r="AP14" s="191"/>
      <c r="AQ14" s="191"/>
      <c r="AR14" s="178">
        <f>SUM(AR6:AR13)</f>
        <v>23</v>
      </c>
      <c r="AS14" s="179">
        <f>SUM(AS6:AS13)</f>
        <v>81</v>
      </c>
      <c r="AT14" s="179">
        <f>SUM(AT6:AT13)</f>
        <v>92</v>
      </c>
      <c r="AU14" s="180">
        <f t="shared" si="14"/>
        <v>173</v>
      </c>
      <c r="AV14" s="180">
        <v>81</v>
      </c>
      <c r="AW14" s="180">
        <v>92</v>
      </c>
      <c r="AX14" s="176">
        <f t="shared" si="3"/>
        <v>0.69064748201438853</v>
      </c>
      <c r="AY14" s="176">
        <v>0.69</v>
      </c>
      <c r="AZ14" s="176">
        <f t="shared" si="4"/>
        <v>0.32718676122931439</v>
      </c>
      <c r="BA14" s="244">
        <f>BA6+BA7+BA8+BA9+BA10+BA11+BA12+BA13</f>
        <v>3.2843691148775895</v>
      </c>
      <c r="BB14" s="244">
        <f>BB6+BB7+BB8+BB9+BB10+BB11+BB12+BB13</f>
        <v>0.45732208967503085</v>
      </c>
      <c r="BC14" s="245">
        <f>BC6+BC7+BC8+BC9+BC10+BC11+BC12+BC13</f>
        <v>317.33333333333331</v>
      </c>
      <c r="BD14" s="245">
        <f>BD6+BD7+BD8+BD9+BD10+BD11+BD12+BD13</f>
        <v>581.33333333333326</v>
      </c>
      <c r="BE14" s="191"/>
      <c r="BF14" s="190" t="s">
        <v>109</v>
      </c>
      <c r="BG14" s="148" t="s">
        <v>73</v>
      </c>
      <c r="BH14" s="149" t="s">
        <v>74</v>
      </c>
      <c r="BI14" s="219">
        <f>BI6+BI7+BI8+BI9+BI10+BI11+BI12+BI13</f>
        <v>0</v>
      </c>
      <c r="BJ14" s="219">
        <f>BJ6+BJ7+BJ8+BJ9+BJ10+BJ11+BJ12+BJ13</f>
        <v>0</v>
      </c>
      <c r="BK14" s="191">
        <f t="shared" ref="BK14:CA14" si="24">SUM(BK6:BK13)</f>
        <v>1</v>
      </c>
      <c r="BL14" s="191">
        <f t="shared" si="24"/>
        <v>5</v>
      </c>
      <c r="BM14" s="191">
        <f t="shared" si="24"/>
        <v>24</v>
      </c>
      <c r="BN14" s="191">
        <f t="shared" si="24"/>
        <v>19</v>
      </c>
      <c r="BO14" s="191">
        <f t="shared" si="24"/>
        <v>11</v>
      </c>
      <c r="BP14" s="191">
        <f t="shared" si="24"/>
        <v>3</v>
      </c>
      <c r="BQ14" s="191">
        <f t="shared" si="24"/>
        <v>5</v>
      </c>
      <c r="BR14" s="191">
        <f t="shared" si="24"/>
        <v>6</v>
      </c>
      <c r="BS14" s="191">
        <f t="shared" si="24"/>
        <v>8</v>
      </c>
      <c r="BT14" s="191">
        <f t="shared" si="24"/>
        <v>5</v>
      </c>
      <c r="BU14" s="191">
        <f t="shared" si="24"/>
        <v>3</v>
      </c>
      <c r="BV14" s="191">
        <f t="shared" si="24"/>
        <v>2</v>
      </c>
      <c r="BW14" s="191">
        <f t="shared" si="24"/>
        <v>1</v>
      </c>
      <c r="BX14" s="191">
        <f t="shared" si="24"/>
        <v>3</v>
      </c>
      <c r="BY14" s="191">
        <f t="shared" si="24"/>
        <v>53</v>
      </c>
      <c r="BZ14" s="191">
        <f t="shared" si="24"/>
        <v>43</v>
      </c>
      <c r="CA14" s="191">
        <f t="shared" si="24"/>
        <v>96</v>
      </c>
    </row>
    <row r="15" spans="1:79" ht="80.099999999999994" customHeight="1">
      <c r="A15" s="173">
        <v>9</v>
      </c>
      <c r="B15" s="151" t="s">
        <v>75</v>
      </c>
      <c r="C15" s="146" t="s">
        <v>76</v>
      </c>
      <c r="D15" s="147">
        <v>290000</v>
      </c>
      <c r="E15" s="144">
        <f t="shared" si="8"/>
        <v>67.5</v>
      </c>
      <c r="F15" s="147">
        <v>30</v>
      </c>
      <c r="G15" s="186">
        <v>7</v>
      </c>
      <c r="H15" s="186">
        <v>8</v>
      </c>
      <c r="I15" s="173">
        <f t="shared" si="9"/>
        <v>15</v>
      </c>
      <c r="J15" s="173">
        <v>15</v>
      </c>
      <c r="K15" s="173">
        <f t="shared" si="21"/>
        <v>3</v>
      </c>
      <c r="L15" s="186">
        <v>3</v>
      </c>
      <c r="M15" s="186">
        <v>0</v>
      </c>
      <c r="N15" s="173">
        <f t="shared" si="10"/>
        <v>3</v>
      </c>
      <c r="O15" s="186">
        <v>0</v>
      </c>
      <c r="P15" s="186">
        <v>0</v>
      </c>
      <c r="Q15" s="173">
        <f t="shared" si="11"/>
        <v>0</v>
      </c>
      <c r="R15" s="186">
        <v>0</v>
      </c>
      <c r="S15" s="186">
        <v>0</v>
      </c>
      <c r="T15" s="173">
        <f t="shared" si="0"/>
        <v>0</v>
      </c>
      <c r="U15" s="173"/>
      <c r="V15" s="173"/>
      <c r="W15" s="173"/>
      <c r="X15" s="175">
        <f t="shared" si="12"/>
        <v>0.5</v>
      </c>
      <c r="Y15" s="175"/>
      <c r="Z15" s="175">
        <f t="shared" si="13"/>
        <v>0.25862068965517243</v>
      </c>
      <c r="AA15" s="178"/>
      <c r="AB15" s="178"/>
      <c r="AC15" s="178"/>
      <c r="AD15" s="186"/>
      <c r="AE15" s="186">
        <v>5</v>
      </c>
      <c r="AF15" s="186">
        <v>10</v>
      </c>
      <c r="AG15" s="186"/>
      <c r="AH15" s="186"/>
      <c r="AI15" s="178">
        <f t="shared" si="19"/>
        <v>15</v>
      </c>
      <c r="AJ15" s="178"/>
      <c r="AK15" s="173"/>
      <c r="AL15" s="173"/>
      <c r="AM15" s="186"/>
      <c r="AN15" s="186">
        <v>5</v>
      </c>
      <c r="AO15" s="186">
        <v>9</v>
      </c>
      <c r="AP15" s="186"/>
      <c r="AQ15" s="186"/>
      <c r="AR15" s="178">
        <f t="shared" si="20"/>
        <v>14</v>
      </c>
      <c r="AS15" s="179">
        <f t="shared" ref="AS15:AS35" si="25">AN15+AL15+AJ15+AE15+AC15+AA15+U15+R15+O15+L15+G15</f>
        <v>20</v>
      </c>
      <c r="AT15" s="179">
        <f t="shared" ref="AT15:AT35" si="26">AO15+AM15+AK15+AF15+AD15+AB15+V15+S15+P15+M15+H15</f>
        <v>27</v>
      </c>
      <c r="AU15" s="180">
        <f t="shared" si="14"/>
        <v>47</v>
      </c>
      <c r="AV15" s="180">
        <v>20</v>
      </c>
      <c r="AW15" s="180">
        <v>27</v>
      </c>
      <c r="AX15" s="176">
        <f t="shared" si="3"/>
        <v>0.5</v>
      </c>
      <c r="AY15" s="176">
        <v>0.5</v>
      </c>
      <c r="AZ15" s="176">
        <f t="shared" si="4"/>
        <v>0.6962962962962963</v>
      </c>
      <c r="BA15" s="175">
        <f>AU15*4/(D15*0.00177)</f>
        <v>0.36625754919150588</v>
      </c>
      <c r="BB15" s="175">
        <f t="shared" si="6"/>
        <v>6.3829787234042548E-2</v>
      </c>
      <c r="BC15" s="187">
        <f t="shared" si="15"/>
        <v>20.689655172413794</v>
      </c>
      <c r="BD15" s="188">
        <f>AU15*4/D15*100000</f>
        <v>64.827586206896555</v>
      </c>
      <c r="BE15" s="189"/>
      <c r="BF15" s="184">
        <v>9</v>
      </c>
      <c r="BG15" s="151" t="s">
        <v>75</v>
      </c>
      <c r="BH15" s="146" t="s">
        <v>76</v>
      </c>
      <c r="BI15" s="219"/>
      <c r="BJ15" s="219"/>
      <c r="BK15" s="186">
        <v>0</v>
      </c>
      <c r="BL15" s="186">
        <v>1</v>
      </c>
      <c r="BM15" s="186">
        <v>2</v>
      </c>
      <c r="BN15" s="186">
        <v>4</v>
      </c>
      <c r="BO15" s="186">
        <v>3</v>
      </c>
      <c r="BP15" s="186">
        <v>1</v>
      </c>
      <c r="BQ15" s="186">
        <v>0</v>
      </c>
      <c r="BR15" s="186">
        <v>2</v>
      </c>
      <c r="BS15" s="186">
        <v>2</v>
      </c>
      <c r="BT15" s="186">
        <v>0</v>
      </c>
      <c r="BU15" s="186">
        <v>0</v>
      </c>
      <c r="BV15" s="186">
        <v>0</v>
      </c>
      <c r="BW15" s="186">
        <v>0</v>
      </c>
      <c r="BX15" s="186">
        <v>0</v>
      </c>
      <c r="BY15" s="179">
        <f t="shared" ref="BY15:BZ17" si="27">BK15+BM15+BO15+BQ15+BS15+BU15+BW15</f>
        <v>7</v>
      </c>
      <c r="BZ15" s="179">
        <f t="shared" si="27"/>
        <v>8</v>
      </c>
      <c r="CA15" s="185">
        <f>BZ15+BY15</f>
        <v>15</v>
      </c>
    </row>
    <row r="16" spans="1:79" ht="80.099999999999994" customHeight="1">
      <c r="A16" s="173">
        <v>10</v>
      </c>
      <c r="B16" s="151" t="s">
        <v>77</v>
      </c>
      <c r="C16" s="146" t="s">
        <v>78</v>
      </c>
      <c r="D16" s="147">
        <v>190000</v>
      </c>
      <c r="E16" s="144">
        <f t="shared" si="8"/>
        <v>67.5</v>
      </c>
      <c r="F16" s="147">
        <v>30</v>
      </c>
      <c r="G16" s="174">
        <v>16</v>
      </c>
      <c r="H16" s="174">
        <v>20</v>
      </c>
      <c r="I16" s="173">
        <f t="shared" si="9"/>
        <v>36</v>
      </c>
      <c r="J16" s="173">
        <v>36</v>
      </c>
      <c r="K16" s="173">
        <f t="shared" si="21"/>
        <v>0</v>
      </c>
      <c r="L16" s="174">
        <v>0</v>
      </c>
      <c r="M16" s="174">
        <v>0</v>
      </c>
      <c r="N16" s="173">
        <f t="shared" si="10"/>
        <v>0</v>
      </c>
      <c r="O16" s="174">
        <v>0</v>
      </c>
      <c r="P16" s="174">
        <v>0</v>
      </c>
      <c r="Q16" s="173">
        <f t="shared" si="11"/>
        <v>0</v>
      </c>
      <c r="R16" s="174">
        <v>0</v>
      </c>
      <c r="S16" s="174">
        <v>0</v>
      </c>
      <c r="T16" s="173">
        <f t="shared" si="0"/>
        <v>0</v>
      </c>
      <c r="U16" s="173"/>
      <c r="V16" s="173"/>
      <c r="W16" s="173"/>
      <c r="X16" s="175">
        <f t="shared" si="12"/>
        <v>1.2</v>
      </c>
      <c r="Y16" s="175"/>
      <c r="Z16" s="176">
        <f t="shared" si="13"/>
        <v>0.94736842105263153</v>
      </c>
      <c r="AA16" s="177"/>
      <c r="AB16" s="177"/>
      <c r="AC16" s="177"/>
      <c r="AD16" s="174"/>
      <c r="AE16" s="174">
        <v>8</v>
      </c>
      <c r="AF16" s="174">
        <v>10</v>
      </c>
      <c r="AG16" s="174"/>
      <c r="AH16" s="174"/>
      <c r="AI16" s="178">
        <f t="shared" si="19"/>
        <v>18</v>
      </c>
      <c r="AJ16" s="177"/>
      <c r="AK16" s="179"/>
      <c r="AL16" s="179"/>
      <c r="AM16" s="174"/>
      <c r="AN16" s="174">
        <v>7</v>
      </c>
      <c r="AO16" s="174">
        <v>5</v>
      </c>
      <c r="AP16" s="174"/>
      <c r="AQ16" s="174"/>
      <c r="AR16" s="178">
        <f t="shared" si="20"/>
        <v>12</v>
      </c>
      <c r="AS16" s="179">
        <f t="shared" si="25"/>
        <v>31</v>
      </c>
      <c r="AT16" s="179">
        <f t="shared" si="26"/>
        <v>35</v>
      </c>
      <c r="AU16" s="180">
        <f t="shared" si="14"/>
        <v>66</v>
      </c>
      <c r="AV16" s="180">
        <v>31</v>
      </c>
      <c r="AW16" s="180">
        <v>35</v>
      </c>
      <c r="AX16" s="176">
        <f t="shared" si="3"/>
        <v>0.66666666666666663</v>
      </c>
      <c r="AY16" s="176">
        <v>0.67</v>
      </c>
      <c r="AZ16" s="176">
        <f t="shared" si="4"/>
        <v>0.97777777777777775</v>
      </c>
      <c r="BA16" s="176">
        <f>AU16*4/(D16*0.00177)</f>
        <v>0.7850133809099018</v>
      </c>
      <c r="BB16" s="176">
        <f t="shared" si="6"/>
        <v>0</v>
      </c>
      <c r="BC16" s="181">
        <f t="shared" si="15"/>
        <v>75.789473684210535</v>
      </c>
      <c r="BD16" s="182">
        <f>AU16*4/D16*100000</f>
        <v>138.94736842105263</v>
      </c>
      <c r="BE16" s="183"/>
      <c r="BF16" s="184">
        <v>10</v>
      </c>
      <c r="BG16" s="151" t="s">
        <v>77</v>
      </c>
      <c r="BH16" s="146" t="s">
        <v>78</v>
      </c>
      <c r="BI16" s="219"/>
      <c r="BJ16" s="219"/>
      <c r="BK16" s="174">
        <v>0</v>
      </c>
      <c r="BL16" s="174">
        <v>2</v>
      </c>
      <c r="BM16" s="174">
        <v>4</v>
      </c>
      <c r="BN16" s="174">
        <v>9</v>
      </c>
      <c r="BO16" s="174">
        <v>1</v>
      </c>
      <c r="BP16" s="174">
        <v>5</v>
      </c>
      <c r="BQ16" s="174">
        <v>3</v>
      </c>
      <c r="BR16" s="174">
        <v>2</v>
      </c>
      <c r="BS16" s="174">
        <v>0</v>
      </c>
      <c r="BT16" s="174">
        <v>1</v>
      </c>
      <c r="BU16" s="174">
        <v>5</v>
      </c>
      <c r="BV16" s="174">
        <v>0</v>
      </c>
      <c r="BW16" s="174">
        <v>3</v>
      </c>
      <c r="BX16" s="174">
        <v>1</v>
      </c>
      <c r="BY16" s="179">
        <f t="shared" si="27"/>
        <v>16</v>
      </c>
      <c r="BZ16" s="179">
        <f t="shared" si="27"/>
        <v>20</v>
      </c>
      <c r="CA16" s="185">
        <f>BZ16+BY16</f>
        <v>36</v>
      </c>
    </row>
    <row r="17" spans="1:79" ht="80.099999999999994" customHeight="1">
      <c r="A17" s="173">
        <v>11</v>
      </c>
      <c r="B17" s="151" t="s">
        <v>79</v>
      </c>
      <c r="C17" s="146" t="s">
        <v>80</v>
      </c>
      <c r="D17" s="147">
        <v>190000</v>
      </c>
      <c r="E17" s="144">
        <f t="shared" si="8"/>
        <v>67.5</v>
      </c>
      <c r="F17" s="147">
        <v>30</v>
      </c>
      <c r="G17" s="186">
        <v>1</v>
      </c>
      <c r="H17" s="186">
        <v>6</v>
      </c>
      <c r="I17" s="173">
        <f t="shared" si="9"/>
        <v>7</v>
      </c>
      <c r="J17" s="173">
        <v>7</v>
      </c>
      <c r="K17" s="173">
        <f t="shared" si="21"/>
        <v>0</v>
      </c>
      <c r="L17" s="186">
        <v>0</v>
      </c>
      <c r="M17" s="186">
        <v>0</v>
      </c>
      <c r="N17" s="173">
        <f t="shared" si="10"/>
        <v>0</v>
      </c>
      <c r="O17" s="186">
        <v>0</v>
      </c>
      <c r="P17" s="186">
        <v>0</v>
      </c>
      <c r="Q17" s="173">
        <f t="shared" si="11"/>
        <v>0</v>
      </c>
      <c r="R17" s="186">
        <v>0</v>
      </c>
      <c r="S17" s="186">
        <v>0</v>
      </c>
      <c r="T17" s="173">
        <f t="shared" si="0"/>
        <v>0</v>
      </c>
      <c r="U17" s="173"/>
      <c r="V17" s="173"/>
      <c r="W17" s="173"/>
      <c r="X17" s="175">
        <f t="shared" si="12"/>
        <v>0.23333333333333334</v>
      </c>
      <c r="Y17" s="175"/>
      <c r="Z17" s="175">
        <f t="shared" si="13"/>
        <v>0.18421052631578946</v>
      </c>
      <c r="AA17" s="178"/>
      <c r="AB17" s="178"/>
      <c r="AC17" s="178"/>
      <c r="AD17" s="186"/>
      <c r="AE17" s="186">
        <v>6</v>
      </c>
      <c r="AF17" s="186">
        <v>5</v>
      </c>
      <c r="AG17" s="186"/>
      <c r="AH17" s="186"/>
      <c r="AI17" s="178">
        <f t="shared" si="19"/>
        <v>11</v>
      </c>
      <c r="AJ17" s="178"/>
      <c r="AK17" s="173"/>
      <c r="AL17" s="173"/>
      <c r="AM17" s="186"/>
      <c r="AN17" s="186">
        <v>4</v>
      </c>
      <c r="AO17" s="186">
        <v>4</v>
      </c>
      <c r="AP17" s="186"/>
      <c r="AQ17" s="186"/>
      <c r="AR17" s="178">
        <f t="shared" si="20"/>
        <v>8</v>
      </c>
      <c r="AS17" s="179">
        <f t="shared" si="25"/>
        <v>11</v>
      </c>
      <c r="AT17" s="179">
        <f t="shared" si="26"/>
        <v>15</v>
      </c>
      <c r="AU17" s="180">
        <f t="shared" si="14"/>
        <v>26</v>
      </c>
      <c r="AV17" s="180">
        <v>11</v>
      </c>
      <c r="AW17" s="180">
        <v>15</v>
      </c>
      <c r="AX17" s="176">
        <f t="shared" si="3"/>
        <v>0.3888888888888889</v>
      </c>
      <c r="AY17" s="176">
        <v>0.39</v>
      </c>
      <c r="AZ17" s="176">
        <f t="shared" si="4"/>
        <v>0.38518518518518519</v>
      </c>
      <c r="BA17" s="175">
        <f>AU17*4/(D17*0.00177)</f>
        <v>0.30924769550996134</v>
      </c>
      <c r="BB17" s="175">
        <f t="shared" si="6"/>
        <v>0</v>
      </c>
      <c r="BC17" s="187">
        <f t="shared" si="15"/>
        <v>14.736842105263158</v>
      </c>
      <c r="BD17" s="188">
        <f>AU17*4/D17*100000</f>
        <v>54.736842105263158</v>
      </c>
      <c r="BE17" s="189"/>
      <c r="BF17" s="184">
        <v>11</v>
      </c>
      <c r="BG17" s="151" t="s">
        <v>79</v>
      </c>
      <c r="BH17" s="146" t="s">
        <v>80</v>
      </c>
      <c r="BI17" s="219"/>
      <c r="BJ17" s="219"/>
      <c r="BK17" s="186">
        <v>0</v>
      </c>
      <c r="BL17" s="186">
        <v>0</v>
      </c>
      <c r="BM17" s="186">
        <v>0</v>
      </c>
      <c r="BN17" s="186">
        <v>2</v>
      </c>
      <c r="BO17" s="186">
        <v>0</v>
      </c>
      <c r="BP17" s="186">
        <v>3</v>
      </c>
      <c r="BQ17" s="186">
        <v>1</v>
      </c>
      <c r="BR17" s="186">
        <v>0</v>
      </c>
      <c r="BS17" s="186">
        <v>0</v>
      </c>
      <c r="BT17" s="186">
        <v>1</v>
      </c>
      <c r="BU17" s="186">
        <v>0</v>
      </c>
      <c r="BV17" s="186">
        <v>0</v>
      </c>
      <c r="BW17" s="186">
        <v>0</v>
      </c>
      <c r="BX17" s="186">
        <v>0</v>
      </c>
      <c r="BY17" s="179">
        <f t="shared" si="27"/>
        <v>1</v>
      </c>
      <c r="BZ17" s="179">
        <f t="shared" si="27"/>
        <v>6</v>
      </c>
      <c r="CA17" s="185">
        <f>BZ17+BY17</f>
        <v>7</v>
      </c>
    </row>
    <row r="18" spans="1:79" ht="80.099999999999994" customHeight="1">
      <c r="A18" s="173" t="s">
        <v>110</v>
      </c>
      <c r="B18" s="152" t="s">
        <v>81</v>
      </c>
      <c r="C18" s="149" t="s">
        <v>82</v>
      </c>
      <c r="D18" s="150">
        <f>D15+D16+D17</f>
        <v>670000</v>
      </c>
      <c r="E18" s="227">
        <f t="shared" si="8"/>
        <v>202.5</v>
      </c>
      <c r="F18" s="228">
        <f>SUM(F15:F17)</f>
        <v>90</v>
      </c>
      <c r="G18" s="229">
        <f>G15+G16+G17</f>
        <v>24</v>
      </c>
      <c r="H18" s="229">
        <f t="shared" ref="H18:BJ18" si="28">H15+H16+H17</f>
        <v>34</v>
      </c>
      <c r="I18" s="229">
        <f t="shared" si="28"/>
        <v>58</v>
      </c>
      <c r="J18" s="229">
        <v>58</v>
      </c>
      <c r="K18" s="173">
        <f t="shared" si="21"/>
        <v>3</v>
      </c>
      <c r="L18" s="229">
        <f t="shared" si="28"/>
        <v>3</v>
      </c>
      <c r="M18" s="229">
        <f t="shared" si="28"/>
        <v>0</v>
      </c>
      <c r="N18" s="229">
        <f t="shared" si="28"/>
        <v>3</v>
      </c>
      <c r="O18" s="229">
        <f t="shared" si="28"/>
        <v>0</v>
      </c>
      <c r="P18" s="229">
        <f t="shared" si="28"/>
        <v>0</v>
      </c>
      <c r="Q18" s="229">
        <f t="shared" si="28"/>
        <v>0</v>
      </c>
      <c r="R18" s="229">
        <f t="shared" si="28"/>
        <v>0</v>
      </c>
      <c r="S18" s="229">
        <f t="shared" si="28"/>
        <v>0</v>
      </c>
      <c r="T18" s="229">
        <f t="shared" si="28"/>
        <v>0</v>
      </c>
      <c r="U18" s="229">
        <f t="shared" si="28"/>
        <v>0</v>
      </c>
      <c r="V18" s="229">
        <f t="shared" si="28"/>
        <v>0</v>
      </c>
      <c r="W18" s="229">
        <f t="shared" si="28"/>
        <v>0</v>
      </c>
      <c r="X18" s="230">
        <f t="shared" si="12"/>
        <v>0.64444444444444449</v>
      </c>
      <c r="Y18" s="230"/>
      <c r="Z18" s="229">
        <f t="shared" si="28"/>
        <v>1.3901996370235934</v>
      </c>
      <c r="AA18" s="229">
        <f t="shared" si="28"/>
        <v>0</v>
      </c>
      <c r="AB18" s="229">
        <f t="shared" si="28"/>
        <v>0</v>
      </c>
      <c r="AC18" s="229">
        <f t="shared" si="28"/>
        <v>0</v>
      </c>
      <c r="AD18" s="229">
        <f t="shared" si="28"/>
        <v>0</v>
      </c>
      <c r="AE18" s="229">
        <f t="shared" si="28"/>
        <v>19</v>
      </c>
      <c r="AF18" s="229">
        <f t="shared" si="28"/>
        <v>25</v>
      </c>
      <c r="AG18" s="229"/>
      <c r="AH18" s="229"/>
      <c r="AI18" s="231">
        <f t="shared" si="19"/>
        <v>44</v>
      </c>
      <c r="AJ18" s="229">
        <f t="shared" si="28"/>
        <v>0</v>
      </c>
      <c r="AK18" s="229">
        <f t="shared" si="28"/>
        <v>0</v>
      </c>
      <c r="AL18" s="229">
        <f t="shared" si="28"/>
        <v>0</v>
      </c>
      <c r="AM18" s="229">
        <f t="shared" si="28"/>
        <v>0</v>
      </c>
      <c r="AN18" s="229">
        <f t="shared" si="28"/>
        <v>16</v>
      </c>
      <c r="AO18" s="229">
        <f t="shared" si="28"/>
        <v>18</v>
      </c>
      <c r="AP18" s="229"/>
      <c r="AQ18" s="229"/>
      <c r="AR18" s="231">
        <f t="shared" si="20"/>
        <v>34</v>
      </c>
      <c r="AS18" s="232">
        <f t="shared" si="25"/>
        <v>62</v>
      </c>
      <c r="AT18" s="232">
        <f t="shared" si="26"/>
        <v>77</v>
      </c>
      <c r="AU18" s="180">
        <f t="shared" si="14"/>
        <v>139</v>
      </c>
      <c r="AV18" s="180">
        <v>62</v>
      </c>
      <c r="AW18" s="180">
        <v>77</v>
      </c>
      <c r="AX18" s="230">
        <f t="shared" si="3"/>
        <v>0.56862745098039214</v>
      </c>
      <c r="AY18" s="230">
        <v>0.56999999999999995</v>
      </c>
      <c r="AZ18" s="230">
        <f t="shared" si="4"/>
        <v>0.68641975308641978</v>
      </c>
      <c r="BA18" s="246">
        <f t="shared" si="28"/>
        <v>1.4605186256113689</v>
      </c>
      <c r="BB18" s="246">
        <f t="shared" si="28"/>
        <v>6.3829787234042548E-2</v>
      </c>
      <c r="BC18" s="247">
        <f>SUM(BC15:BC17)</f>
        <v>111.21597096188748</v>
      </c>
      <c r="BD18" s="247">
        <f>SUM(BD15:BD17)</f>
        <v>258.51179673321235</v>
      </c>
      <c r="BE18" s="229"/>
      <c r="BF18" s="232" t="s">
        <v>110</v>
      </c>
      <c r="BG18" s="233" t="s">
        <v>81</v>
      </c>
      <c r="BH18" s="234" t="s">
        <v>82</v>
      </c>
      <c r="BI18" s="229">
        <f t="shared" si="28"/>
        <v>0</v>
      </c>
      <c r="BJ18" s="229">
        <f t="shared" si="28"/>
        <v>0</v>
      </c>
      <c r="BK18" s="229">
        <f t="shared" ref="BK18:CA18" si="29">SUM(BK15:BK17)</f>
        <v>0</v>
      </c>
      <c r="BL18" s="229">
        <f t="shared" si="29"/>
        <v>3</v>
      </c>
      <c r="BM18" s="229">
        <f t="shared" si="29"/>
        <v>6</v>
      </c>
      <c r="BN18" s="229">
        <f t="shared" si="29"/>
        <v>15</v>
      </c>
      <c r="BO18" s="229">
        <f t="shared" si="29"/>
        <v>4</v>
      </c>
      <c r="BP18" s="229">
        <f t="shared" si="29"/>
        <v>9</v>
      </c>
      <c r="BQ18" s="229">
        <f t="shared" si="29"/>
        <v>4</v>
      </c>
      <c r="BR18" s="229">
        <f t="shared" si="29"/>
        <v>4</v>
      </c>
      <c r="BS18" s="229">
        <f t="shared" si="29"/>
        <v>2</v>
      </c>
      <c r="BT18" s="229">
        <f t="shared" si="29"/>
        <v>2</v>
      </c>
      <c r="BU18" s="229">
        <f t="shared" si="29"/>
        <v>5</v>
      </c>
      <c r="BV18" s="229">
        <f t="shared" si="29"/>
        <v>0</v>
      </c>
      <c r="BW18" s="229">
        <f t="shared" si="29"/>
        <v>3</v>
      </c>
      <c r="BX18" s="229">
        <f t="shared" si="29"/>
        <v>1</v>
      </c>
      <c r="BY18" s="229">
        <f t="shared" si="29"/>
        <v>24</v>
      </c>
      <c r="BZ18" s="229">
        <f t="shared" si="29"/>
        <v>34</v>
      </c>
      <c r="CA18" s="229">
        <f t="shared" si="29"/>
        <v>58</v>
      </c>
    </row>
    <row r="19" spans="1:79" ht="80.099999999999994" customHeight="1">
      <c r="A19" s="173">
        <v>12</v>
      </c>
      <c r="B19" s="142" t="s">
        <v>83</v>
      </c>
      <c r="C19" s="143" t="s">
        <v>62</v>
      </c>
      <c r="D19" s="144">
        <v>200000</v>
      </c>
      <c r="E19" s="144">
        <f t="shared" si="8"/>
        <v>67.5</v>
      </c>
      <c r="F19" s="144">
        <v>30</v>
      </c>
      <c r="G19" s="186">
        <v>5</v>
      </c>
      <c r="H19" s="186">
        <v>8</v>
      </c>
      <c r="I19" s="173">
        <f t="shared" si="9"/>
        <v>13</v>
      </c>
      <c r="J19" s="173">
        <v>13</v>
      </c>
      <c r="K19" s="173">
        <f t="shared" si="21"/>
        <v>0</v>
      </c>
      <c r="L19" s="186">
        <v>0</v>
      </c>
      <c r="M19" s="186">
        <v>0</v>
      </c>
      <c r="N19" s="173">
        <f t="shared" si="10"/>
        <v>0</v>
      </c>
      <c r="O19" s="186">
        <v>0</v>
      </c>
      <c r="P19" s="186">
        <v>0</v>
      </c>
      <c r="Q19" s="173">
        <f t="shared" si="11"/>
        <v>0</v>
      </c>
      <c r="R19" s="186">
        <v>0</v>
      </c>
      <c r="S19" s="186">
        <v>0</v>
      </c>
      <c r="T19" s="173">
        <f>SUM(T18)</f>
        <v>0</v>
      </c>
      <c r="U19" s="173"/>
      <c r="V19" s="173"/>
      <c r="W19" s="173"/>
      <c r="X19" s="175">
        <f t="shared" si="12"/>
        <v>0.43333333333333335</v>
      </c>
      <c r="Y19" s="175"/>
      <c r="Z19" s="175">
        <f t="shared" si="13"/>
        <v>0.32500000000000001</v>
      </c>
      <c r="AA19" s="178"/>
      <c r="AB19" s="178"/>
      <c r="AC19" s="178"/>
      <c r="AD19" s="186"/>
      <c r="AE19" s="186">
        <v>2</v>
      </c>
      <c r="AF19" s="186">
        <v>4</v>
      </c>
      <c r="AG19" s="186"/>
      <c r="AH19" s="186"/>
      <c r="AI19" s="178">
        <f t="shared" si="19"/>
        <v>6</v>
      </c>
      <c r="AJ19" s="178"/>
      <c r="AK19" s="173"/>
      <c r="AL19" s="173"/>
      <c r="AM19" s="186"/>
      <c r="AN19" s="186">
        <v>2</v>
      </c>
      <c r="AO19" s="186">
        <v>2</v>
      </c>
      <c r="AP19" s="186"/>
      <c r="AQ19" s="186"/>
      <c r="AR19" s="178">
        <f t="shared" si="20"/>
        <v>4</v>
      </c>
      <c r="AS19" s="179">
        <f t="shared" si="25"/>
        <v>9</v>
      </c>
      <c r="AT19" s="179">
        <f t="shared" si="26"/>
        <v>14</v>
      </c>
      <c r="AU19" s="180">
        <f t="shared" si="14"/>
        <v>23</v>
      </c>
      <c r="AV19" s="180">
        <v>9</v>
      </c>
      <c r="AW19" s="180">
        <v>14</v>
      </c>
      <c r="AX19" s="176">
        <f t="shared" si="3"/>
        <v>0.68421052631578949</v>
      </c>
      <c r="AY19" s="176">
        <v>0.68</v>
      </c>
      <c r="AZ19" s="176">
        <f t="shared" si="4"/>
        <v>0.34074074074074073</v>
      </c>
      <c r="BA19" s="175">
        <f t="shared" ref="BA19:BA37" si="30">AU19*4/(D19*0.00177)</f>
        <v>0.25988700564971751</v>
      </c>
      <c r="BB19" s="175">
        <f t="shared" si="6"/>
        <v>0</v>
      </c>
      <c r="BC19" s="187">
        <f t="shared" si="15"/>
        <v>25.999999999999996</v>
      </c>
      <c r="BD19" s="188">
        <f t="shared" ref="BD19:BD33" si="31">AU19*4/D19*100000</f>
        <v>46</v>
      </c>
      <c r="BE19" s="189"/>
      <c r="BF19" s="184">
        <v>12</v>
      </c>
      <c r="BG19" s="142" t="s">
        <v>83</v>
      </c>
      <c r="BH19" s="143" t="s">
        <v>62</v>
      </c>
      <c r="BI19" s="219"/>
      <c r="BJ19" s="219"/>
      <c r="BK19" s="186">
        <v>1</v>
      </c>
      <c r="BL19" s="186">
        <v>0</v>
      </c>
      <c r="BM19" s="186">
        <v>1</v>
      </c>
      <c r="BN19" s="186">
        <v>5</v>
      </c>
      <c r="BO19" s="186">
        <v>2</v>
      </c>
      <c r="BP19" s="186">
        <v>2</v>
      </c>
      <c r="BQ19" s="186">
        <v>0</v>
      </c>
      <c r="BR19" s="186">
        <v>1</v>
      </c>
      <c r="BS19" s="186">
        <v>0</v>
      </c>
      <c r="BT19" s="186">
        <v>0</v>
      </c>
      <c r="BU19" s="186">
        <v>0</v>
      </c>
      <c r="BV19" s="186">
        <v>0</v>
      </c>
      <c r="BW19" s="186">
        <v>1</v>
      </c>
      <c r="BX19" s="186">
        <v>0</v>
      </c>
      <c r="BY19" s="179">
        <f t="shared" ref="BY19:BY35" si="32">BK19+BM19+BO19+BQ19+BS19+BU19+BW19</f>
        <v>5</v>
      </c>
      <c r="BZ19" s="179">
        <f t="shared" ref="BZ19:BZ35" si="33">BL19+BN19+BP19+BR19+BT19+BV19+BX19</f>
        <v>8</v>
      </c>
      <c r="CA19" s="185">
        <f t="shared" ref="CA19:CA35" si="34">BZ19+BY19</f>
        <v>13</v>
      </c>
    </row>
    <row r="20" spans="1:79" ht="80.099999999999994" customHeight="1">
      <c r="A20" s="173"/>
      <c r="B20" s="153" t="s">
        <v>84</v>
      </c>
      <c r="C20" s="154" t="s">
        <v>85</v>
      </c>
      <c r="D20" s="155">
        <v>50000</v>
      </c>
      <c r="E20" s="156">
        <f t="shared" si="8"/>
        <v>0</v>
      </c>
      <c r="F20" s="155"/>
      <c r="G20" s="192"/>
      <c r="H20" s="192"/>
      <c r="I20" s="193">
        <f t="shared" si="9"/>
        <v>0</v>
      </c>
      <c r="J20" s="193"/>
      <c r="K20" s="173">
        <f t="shared" si="21"/>
        <v>0</v>
      </c>
      <c r="L20" s="192"/>
      <c r="M20" s="192"/>
      <c r="N20" s="193">
        <f t="shared" si="10"/>
        <v>0</v>
      </c>
      <c r="O20" s="192"/>
      <c r="P20" s="192"/>
      <c r="Q20" s="193">
        <f t="shared" si="11"/>
        <v>0</v>
      </c>
      <c r="R20" s="192"/>
      <c r="S20" s="192"/>
      <c r="T20" s="193">
        <f>SUM(Q20,N20,I20)</f>
        <v>0</v>
      </c>
      <c r="U20" s="193"/>
      <c r="V20" s="193"/>
      <c r="W20" s="193"/>
      <c r="X20" s="194" t="e">
        <f t="shared" si="12"/>
        <v>#DIV/0!</v>
      </c>
      <c r="Y20" s="194"/>
      <c r="Z20" s="194">
        <f t="shared" si="13"/>
        <v>0</v>
      </c>
      <c r="AA20" s="195"/>
      <c r="AB20" s="195"/>
      <c r="AC20" s="195"/>
      <c r="AD20" s="192"/>
      <c r="AE20" s="192"/>
      <c r="AF20" s="192"/>
      <c r="AG20" s="192"/>
      <c r="AH20" s="192"/>
      <c r="AI20" s="178">
        <f t="shared" si="19"/>
        <v>0</v>
      </c>
      <c r="AJ20" s="195"/>
      <c r="AK20" s="193"/>
      <c r="AL20" s="193"/>
      <c r="AM20" s="192"/>
      <c r="AN20" s="192"/>
      <c r="AO20" s="192"/>
      <c r="AP20" s="192"/>
      <c r="AQ20" s="192"/>
      <c r="AR20" s="178">
        <f t="shared" si="20"/>
        <v>0</v>
      </c>
      <c r="AS20" s="193">
        <f t="shared" si="25"/>
        <v>0</v>
      </c>
      <c r="AT20" s="193">
        <f t="shared" si="26"/>
        <v>0</v>
      </c>
      <c r="AU20" s="180">
        <f t="shared" si="14"/>
        <v>0</v>
      </c>
      <c r="AV20" s="180"/>
      <c r="AW20" s="180"/>
      <c r="AX20" s="176" t="e">
        <f t="shared" si="3"/>
        <v>#DIV/0!</v>
      </c>
      <c r="AY20" s="176"/>
      <c r="AZ20" s="176" t="e">
        <f t="shared" si="4"/>
        <v>#DIV/0!</v>
      </c>
      <c r="BA20" s="194">
        <f t="shared" si="30"/>
        <v>0</v>
      </c>
      <c r="BB20" s="194" t="e">
        <f t="shared" si="6"/>
        <v>#DIV/0!</v>
      </c>
      <c r="BC20" s="196">
        <f t="shared" si="15"/>
        <v>0</v>
      </c>
      <c r="BD20" s="197">
        <f t="shared" si="31"/>
        <v>0</v>
      </c>
      <c r="BE20" s="198"/>
      <c r="BF20" s="199">
        <v>13</v>
      </c>
      <c r="BG20" s="153" t="s">
        <v>84</v>
      </c>
      <c r="BH20" s="154" t="s">
        <v>85</v>
      </c>
      <c r="BI20" s="219"/>
      <c r="BJ20" s="219"/>
      <c r="BK20" s="192"/>
      <c r="BL20" s="192"/>
      <c r="BM20" s="192"/>
      <c r="BN20" s="192"/>
      <c r="BO20" s="192"/>
      <c r="BP20" s="192"/>
      <c r="BQ20" s="192"/>
      <c r="BR20" s="192"/>
      <c r="BS20" s="192"/>
      <c r="BT20" s="192"/>
      <c r="BU20" s="192"/>
      <c r="BV20" s="192"/>
      <c r="BW20" s="192"/>
      <c r="BX20" s="192"/>
      <c r="BY20" s="179">
        <f t="shared" si="32"/>
        <v>0</v>
      </c>
      <c r="BZ20" s="179">
        <f t="shared" si="33"/>
        <v>0</v>
      </c>
      <c r="CA20" s="185">
        <f t="shared" si="34"/>
        <v>0</v>
      </c>
    </row>
    <row r="21" spans="1:79" ht="80.099999999999994" customHeight="1">
      <c r="A21" s="173">
        <v>13</v>
      </c>
      <c r="B21" s="151" t="s">
        <v>86</v>
      </c>
      <c r="C21" s="146" t="s">
        <v>53</v>
      </c>
      <c r="D21" s="147">
        <v>100000</v>
      </c>
      <c r="E21" s="144">
        <f t="shared" si="8"/>
        <v>56.25</v>
      </c>
      <c r="F21" s="147">
        <v>25</v>
      </c>
      <c r="G21" s="186">
        <v>4</v>
      </c>
      <c r="H21" s="186">
        <v>11</v>
      </c>
      <c r="I21" s="173">
        <f t="shared" si="9"/>
        <v>15</v>
      </c>
      <c r="J21" s="173">
        <v>15</v>
      </c>
      <c r="K21" s="173">
        <f t="shared" si="21"/>
        <v>2</v>
      </c>
      <c r="L21" s="186">
        <v>0</v>
      </c>
      <c r="M21" s="186">
        <v>2</v>
      </c>
      <c r="N21" s="173">
        <f t="shared" si="10"/>
        <v>2</v>
      </c>
      <c r="O21" s="186">
        <v>0</v>
      </c>
      <c r="P21" s="186">
        <v>0</v>
      </c>
      <c r="Q21" s="173">
        <f t="shared" si="11"/>
        <v>0</v>
      </c>
      <c r="R21" s="186">
        <v>0</v>
      </c>
      <c r="S21" s="186">
        <v>0</v>
      </c>
      <c r="T21" s="173">
        <f t="shared" si="0"/>
        <v>0</v>
      </c>
      <c r="U21" s="173"/>
      <c r="V21" s="173"/>
      <c r="W21" s="173"/>
      <c r="X21" s="175">
        <f t="shared" si="12"/>
        <v>0.6</v>
      </c>
      <c r="Y21" s="175"/>
      <c r="Z21" s="175">
        <f t="shared" si="13"/>
        <v>0.75</v>
      </c>
      <c r="AA21" s="178"/>
      <c r="AB21" s="178"/>
      <c r="AC21" s="178"/>
      <c r="AD21" s="186"/>
      <c r="AE21" s="186">
        <v>0</v>
      </c>
      <c r="AF21" s="186">
        <v>0</v>
      </c>
      <c r="AG21" s="186"/>
      <c r="AH21" s="186"/>
      <c r="AI21" s="178">
        <f t="shared" si="19"/>
        <v>0</v>
      </c>
      <c r="AJ21" s="178"/>
      <c r="AK21" s="173"/>
      <c r="AL21" s="173"/>
      <c r="AM21" s="186"/>
      <c r="AN21" s="186">
        <v>1</v>
      </c>
      <c r="AO21" s="186">
        <v>4</v>
      </c>
      <c r="AP21" s="186"/>
      <c r="AQ21" s="186"/>
      <c r="AR21" s="178">
        <f t="shared" si="20"/>
        <v>5</v>
      </c>
      <c r="AS21" s="179">
        <f t="shared" si="25"/>
        <v>5</v>
      </c>
      <c r="AT21" s="179">
        <f t="shared" si="26"/>
        <v>17</v>
      </c>
      <c r="AU21" s="180">
        <f t="shared" si="14"/>
        <v>22</v>
      </c>
      <c r="AV21" s="180">
        <v>5</v>
      </c>
      <c r="AW21" s="180">
        <v>17</v>
      </c>
      <c r="AX21" s="176">
        <f t="shared" si="3"/>
        <v>1</v>
      </c>
      <c r="AY21" s="176">
        <v>1</v>
      </c>
      <c r="AZ21" s="176">
        <f t="shared" si="4"/>
        <v>0.39111111111111113</v>
      </c>
      <c r="BA21" s="175">
        <f t="shared" si="30"/>
        <v>0.49717514124293788</v>
      </c>
      <c r="BB21" s="175">
        <f t="shared" si="6"/>
        <v>9.0909090909090912E-2</v>
      </c>
      <c r="BC21" s="187">
        <f t="shared" si="15"/>
        <v>59.999999999999993</v>
      </c>
      <c r="BD21" s="188">
        <f t="shared" si="31"/>
        <v>88</v>
      </c>
      <c r="BE21" s="189"/>
      <c r="BF21" s="184">
        <v>14</v>
      </c>
      <c r="BG21" s="151" t="s">
        <v>86</v>
      </c>
      <c r="BH21" s="146" t="s">
        <v>53</v>
      </c>
      <c r="BI21" s="219"/>
      <c r="BJ21" s="219"/>
      <c r="BK21" s="186">
        <v>0</v>
      </c>
      <c r="BL21" s="186">
        <v>0</v>
      </c>
      <c r="BM21" s="186">
        <v>0</v>
      </c>
      <c r="BN21" s="186">
        <v>5</v>
      </c>
      <c r="BO21" s="186">
        <v>2</v>
      </c>
      <c r="BP21" s="186">
        <v>2</v>
      </c>
      <c r="BQ21" s="186">
        <v>0</v>
      </c>
      <c r="BR21" s="186">
        <v>3</v>
      </c>
      <c r="BS21" s="186">
        <v>2</v>
      </c>
      <c r="BT21" s="186">
        <v>1</v>
      </c>
      <c r="BU21" s="186">
        <v>0</v>
      </c>
      <c r="BV21" s="186">
        <v>0</v>
      </c>
      <c r="BW21" s="186">
        <v>0</v>
      </c>
      <c r="BX21" s="186">
        <v>0</v>
      </c>
      <c r="BY21" s="179">
        <f t="shared" si="32"/>
        <v>4</v>
      </c>
      <c r="BZ21" s="179">
        <f t="shared" si="33"/>
        <v>11</v>
      </c>
      <c r="CA21" s="185">
        <f t="shared" si="34"/>
        <v>15</v>
      </c>
    </row>
    <row r="22" spans="1:79" ht="80.099999999999994" customHeight="1">
      <c r="A22" s="173">
        <v>14</v>
      </c>
      <c r="B22" s="151" t="s">
        <v>87</v>
      </c>
      <c r="C22" s="146" t="s">
        <v>57</v>
      </c>
      <c r="D22" s="147">
        <v>100000</v>
      </c>
      <c r="E22" s="144">
        <f t="shared" si="8"/>
        <v>67.5</v>
      </c>
      <c r="F22" s="147">
        <v>30</v>
      </c>
      <c r="G22" s="174">
        <v>12</v>
      </c>
      <c r="H22" s="174">
        <v>11</v>
      </c>
      <c r="I22" s="173">
        <f t="shared" si="9"/>
        <v>23</v>
      </c>
      <c r="J22" s="173">
        <v>23</v>
      </c>
      <c r="K22" s="173">
        <f t="shared" si="21"/>
        <v>4</v>
      </c>
      <c r="L22" s="174">
        <v>0</v>
      </c>
      <c r="M22" s="174">
        <v>2</v>
      </c>
      <c r="N22" s="173">
        <f t="shared" si="10"/>
        <v>2</v>
      </c>
      <c r="O22" s="174">
        <v>0</v>
      </c>
      <c r="P22" s="174">
        <v>0</v>
      </c>
      <c r="Q22" s="173">
        <f t="shared" si="11"/>
        <v>0</v>
      </c>
      <c r="R22" s="174">
        <v>1</v>
      </c>
      <c r="S22" s="174">
        <v>1</v>
      </c>
      <c r="T22" s="173">
        <f t="shared" si="0"/>
        <v>2</v>
      </c>
      <c r="U22" s="173"/>
      <c r="V22" s="173"/>
      <c r="W22" s="173"/>
      <c r="X22" s="175">
        <f t="shared" si="12"/>
        <v>0.76666666666666672</v>
      </c>
      <c r="Y22" s="175"/>
      <c r="Z22" s="176">
        <f t="shared" si="13"/>
        <v>1.1499999999999999</v>
      </c>
      <c r="AA22" s="177"/>
      <c r="AB22" s="177"/>
      <c r="AC22" s="177"/>
      <c r="AD22" s="174"/>
      <c r="AE22" s="174">
        <v>8</v>
      </c>
      <c r="AF22" s="174">
        <v>10</v>
      </c>
      <c r="AG22" s="174"/>
      <c r="AH22" s="174"/>
      <c r="AI22" s="178">
        <f t="shared" si="19"/>
        <v>18</v>
      </c>
      <c r="AJ22" s="177"/>
      <c r="AK22" s="179"/>
      <c r="AL22" s="179"/>
      <c r="AM22" s="174"/>
      <c r="AN22" s="174">
        <v>7</v>
      </c>
      <c r="AO22" s="174">
        <v>12</v>
      </c>
      <c r="AP22" s="174"/>
      <c r="AQ22" s="174"/>
      <c r="AR22" s="178">
        <f t="shared" si="20"/>
        <v>19</v>
      </c>
      <c r="AS22" s="179">
        <f t="shared" si="25"/>
        <v>28</v>
      </c>
      <c r="AT22" s="179">
        <f t="shared" si="26"/>
        <v>36</v>
      </c>
      <c r="AU22" s="180">
        <f t="shared" si="14"/>
        <v>64</v>
      </c>
      <c r="AV22" s="180">
        <v>28</v>
      </c>
      <c r="AW22" s="180">
        <v>36</v>
      </c>
      <c r="AX22" s="176">
        <f t="shared" si="3"/>
        <v>0.56097560975609762</v>
      </c>
      <c r="AY22" s="176">
        <v>0.56000000000000005</v>
      </c>
      <c r="AZ22" s="176">
        <f t="shared" si="4"/>
        <v>0.94814814814814818</v>
      </c>
      <c r="BA22" s="176">
        <f t="shared" si="30"/>
        <v>1.4463276836158192</v>
      </c>
      <c r="BB22" s="176">
        <f t="shared" si="6"/>
        <v>6.25E-2</v>
      </c>
      <c r="BC22" s="181">
        <f t="shared" si="15"/>
        <v>92</v>
      </c>
      <c r="BD22" s="182">
        <f t="shared" si="31"/>
        <v>256</v>
      </c>
      <c r="BE22" s="183"/>
      <c r="BF22" s="199">
        <v>15</v>
      </c>
      <c r="BG22" s="151" t="s">
        <v>87</v>
      </c>
      <c r="BH22" s="146" t="s">
        <v>57</v>
      </c>
      <c r="BI22" s="219"/>
      <c r="BJ22" s="219"/>
      <c r="BK22" s="174">
        <v>0</v>
      </c>
      <c r="BL22" s="174">
        <v>2</v>
      </c>
      <c r="BM22" s="174">
        <v>4</v>
      </c>
      <c r="BN22" s="174">
        <v>3</v>
      </c>
      <c r="BO22" s="174">
        <v>3</v>
      </c>
      <c r="BP22" s="174">
        <v>4</v>
      </c>
      <c r="BQ22" s="174">
        <v>2</v>
      </c>
      <c r="BR22" s="174">
        <v>2</v>
      </c>
      <c r="BS22" s="174">
        <v>1</v>
      </c>
      <c r="BT22" s="174">
        <v>0</v>
      </c>
      <c r="BU22" s="174">
        <v>2</v>
      </c>
      <c r="BV22" s="174">
        <v>0</v>
      </c>
      <c r="BW22" s="174">
        <v>0</v>
      </c>
      <c r="BX22" s="174">
        <v>0</v>
      </c>
      <c r="BY22" s="179">
        <f t="shared" si="32"/>
        <v>12</v>
      </c>
      <c r="BZ22" s="179">
        <f t="shared" si="33"/>
        <v>11</v>
      </c>
      <c r="CA22" s="185">
        <f t="shared" si="34"/>
        <v>23</v>
      </c>
    </row>
    <row r="23" spans="1:79" ht="80.099999999999994" customHeight="1">
      <c r="A23" s="173">
        <v>15</v>
      </c>
      <c r="B23" s="151" t="s">
        <v>88</v>
      </c>
      <c r="C23" s="146" t="s">
        <v>57</v>
      </c>
      <c r="D23" s="147">
        <v>150000</v>
      </c>
      <c r="E23" s="144">
        <f t="shared" si="8"/>
        <v>67.5</v>
      </c>
      <c r="F23" s="147">
        <v>30</v>
      </c>
      <c r="G23" s="186">
        <v>7</v>
      </c>
      <c r="H23" s="186">
        <v>5</v>
      </c>
      <c r="I23" s="173">
        <f t="shared" si="9"/>
        <v>12</v>
      </c>
      <c r="J23" s="173">
        <v>12</v>
      </c>
      <c r="K23" s="173">
        <f t="shared" si="21"/>
        <v>2</v>
      </c>
      <c r="L23" s="186">
        <v>0</v>
      </c>
      <c r="M23" s="186">
        <v>1</v>
      </c>
      <c r="N23" s="173">
        <f t="shared" si="10"/>
        <v>1</v>
      </c>
      <c r="O23" s="186">
        <v>1</v>
      </c>
      <c r="P23" s="186">
        <v>0</v>
      </c>
      <c r="Q23" s="173">
        <f t="shared" si="11"/>
        <v>1</v>
      </c>
      <c r="R23" s="186">
        <v>0</v>
      </c>
      <c r="S23" s="186">
        <v>0</v>
      </c>
      <c r="T23" s="173">
        <v>0</v>
      </c>
      <c r="U23" s="173"/>
      <c r="V23" s="173"/>
      <c r="W23" s="173"/>
      <c r="X23" s="175">
        <f t="shared" si="12"/>
        <v>0.4</v>
      </c>
      <c r="Y23" s="175"/>
      <c r="Z23" s="175">
        <f t="shared" si="13"/>
        <v>0.4</v>
      </c>
      <c r="AA23" s="178"/>
      <c r="AB23" s="178"/>
      <c r="AC23" s="178"/>
      <c r="AD23" s="186"/>
      <c r="AE23" s="186">
        <v>7</v>
      </c>
      <c r="AF23" s="186">
        <v>4</v>
      </c>
      <c r="AG23" s="186"/>
      <c r="AH23" s="186"/>
      <c r="AI23" s="178">
        <f t="shared" si="19"/>
        <v>11</v>
      </c>
      <c r="AJ23" s="178"/>
      <c r="AK23" s="173"/>
      <c r="AL23" s="173"/>
      <c r="AM23" s="186"/>
      <c r="AN23" s="186">
        <v>2</v>
      </c>
      <c r="AO23" s="186">
        <v>4</v>
      </c>
      <c r="AP23" s="186"/>
      <c r="AQ23" s="186"/>
      <c r="AR23" s="178">
        <f t="shared" si="20"/>
        <v>6</v>
      </c>
      <c r="AS23" s="179">
        <f t="shared" si="25"/>
        <v>17</v>
      </c>
      <c r="AT23" s="179">
        <f t="shared" si="26"/>
        <v>14</v>
      </c>
      <c r="AU23" s="180">
        <f t="shared" si="14"/>
        <v>31</v>
      </c>
      <c r="AV23" s="180">
        <v>17</v>
      </c>
      <c r="AW23" s="180">
        <v>14</v>
      </c>
      <c r="AX23" s="176">
        <f t="shared" si="3"/>
        <v>0.52173913043478259</v>
      </c>
      <c r="AY23" s="176">
        <v>0.52</v>
      </c>
      <c r="AZ23" s="176">
        <f t="shared" si="4"/>
        <v>0.45925925925925926</v>
      </c>
      <c r="BA23" s="175">
        <f t="shared" si="30"/>
        <v>0.46704331450094161</v>
      </c>
      <c r="BB23" s="175">
        <f t="shared" si="6"/>
        <v>6.4516129032258063E-2</v>
      </c>
      <c r="BC23" s="187">
        <f t="shared" si="15"/>
        <v>32</v>
      </c>
      <c r="BD23" s="188">
        <f t="shared" si="31"/>
        <v>82.666666666666657</v>
      </c>
      <c r="BE23" s="189"/>
      <c r="BF23" s="184">
        <v>16</v>
      </c>
      <c r="BG23" s="151" t="s">
        <v>88</v>
      </c>
      <c r="BH23" s="146" t="s">
        <v>57</v>
      </c>
      <c r="BI23" s="219"/>
      <c r="BJ23" s="219"/>
      <c r="BK23" s="186">
        <v>0</v>
      </c>
      <c r="BL23" s="186">
        <v>1</v>
      </c>
      <c r="BM23" s="186">
        <v>2</v>
      </c>
      <c r="BN23" s="186">
        <v>1</v>
      </c>
      <c r="BO23" s="186">
        <v>4</v>
      </c>
      <c r="BP23" s="186">
        <v>2</v>
      </c>
      <c r="BQ23" s="186">
        <v>1</v>
      </c>
      <c r="BR23" s="186">
        <v>1</v>
      </c>
      <c r="BS23" s="186">
        <v>0</v>
      </c>
      <c r="BT23" s="186">
        <v>0</v>
      </c>
      <c r="BU23" s="186">
        <v>0</v>
      </c>
      <c r="BV23" s="186">
        <v>0</v>
      </c>
      <c r="BW23" s="186">
        <v>0</v>
      </c>
      <c r="BX23" s="186">
        <v>0</v>
      </c>
      <c r="BY23" s="179">
        <f t="shared" si="32"/>
        <v>7</v>
      </c>
      <c r="BZ23" s="179">
        <f t="shared" si="33"/>
        <v>5</v>
      </c>
      <c r="CA23" s="185">
        <f t="shared" si="34"/>
        <v>12</v>
      </c>
    </row>
    <row r="24" spans="1:79" ht="80.099999999999994" customHeight="1">
      <c r="A24" s="173">
        <v>16</v>
      </c>
      <c r="B24" s="151" t="s">
        <v>89</v>
      </c>
      <c r="C24" s="146" t="s">
        <v>76</v>
      </c>
      <c r="D24" s="147">
        <v>200000</v>
      </c>
      <c r="E24" s="144">
        <f t="shared" si="8"/>
        <v>56.25</v>
      </c>
      <c r="F24" s="147">
        <v>25</v>
      </c>
      <c r="G24" s="174">
        <v>5</v>
      </c>
      <c r="H24" s="174">
        <v>7</v>
      </c>
      <c r="I24" s="173">
        <f t="shared" si="9"/>
        <v>12</v>
      </c>
      <c r="J24" s="173">
        <v>12</v>
      </c>
      <c r="K24" s="173">
        <f t="shared" si="21"/>
        <v>4</v>
      </c>
      <c r="L24" s="174">
        <v>2</v>
      </c>
      <c r="M24" s="174">
        <v>2</v>
      </c>
      <c r="N24" s="173">
        <f t="shared" si="10"/>
        <v>4</v>
      </c>
      <c r="O24" s="174">
        <v>0</v>
      </c>
      <c r="P24" s="174">
        <v>0</v>
      </c>
      <c r="Q24" s="173">
        <f t="shared" si="11"/>
        <v>0</v>
      </c>
      <c r="R24" s="174">
        <v>0</v>
      </c>
      <c r="S24" s="174">
        <v>0</v>
      </c>
      <c r="T24" s="173">
        <f t="shared" si="0"/>
        <v>0</v>
      </c>
      <c r="U24" s="173"/>
      <c r="V24" s="173"/>
      <c r="W24" s="173"/>
      <c r="X24" s="175">
        <f t="shared" si="12"/>
        <v>0.48</v>
      </c>
      <c r="Y24" s="175"/>
      <c r="Z24" s="176">
        <f t="shared" si="13"/>
        <v>0.3</v>
      </c>
      <c r="AA24" s="177"/>
      <c r="AB24" s="177"/>
      <c r="AC24" s="177"/>
      <c r="AD24" s="174"/>
      <c r="AE24" s="174">
        <v>3</v>
      </c>
      <c r="AF24" s="174">
        <v>11</v>
      </c>
      <c r="AG24" s="174"/>
      <c r="AH24" s="174"/>
      <c r="AI24" s="178">
        <f t="shared" si="19"/>
        <v>14</v>
      </c>
      <c r="AJ24" s="177"/>
      <c r="AK24" s="179"/>
      <c r="AL24" s="179"/>
      <c r="AM24" s="174"/>
      <c r="AN24" s="174">
        <v>0</v>
      </c>
      <c r="AO24" s="174">
        <v>6</v>
      </c>
      <c r="AP24" s="174"/>
      <c r="AQ24" s="174"/>
      <c r="AR24" s="178">
        <f t="shared" si="20"/>
        <v>6</v>
      </c>
      <c r="AS24" s="179">
        <f t="shared" si="25"/>
        <v>10</v>
      </c>
      <c r="AT24" s="179">
        <f t="shared" si="26"/>
        <v>26</v>
      </c>
      <c r="AU24" s="180">
        <f t="shared" si="14"/>
        <v>36</v>
      </c>
      <c r="AV24" s="180">
        <v>10</v>
      </c>
      <c r="AW24" s="180">
        <v>26</v>
      </c>
      <c r="AX24" s="176">
        <f t="shared" si="3"/>
        <v>0.46153846153846156</v>
      </c>
      <c r="AY24" s="176">
        <v>0.46</v>
      </c>
      <c r="AZ24" s="176">
        <f t="shared" si="4"/>
        <v>0.64</v>
      </c>
      <c r="BA24" s="176">
        <f t="shared" si="30"/>
        <v>0.40677966101694918</v>
      </c>
      <c r="BB24" s="176">
        <f t="shared" si="6"/>
        <v>0.1111111111111111</v>
      </c>
      <c r="BC24" s="181">
        <f t="shared" si="15"/>
        <v>24</v>
      </c>
      <c r="BD24" s="182">
        <f t="shared" si="31"/>
        <v>72</v>
      </c>
      <c r="BE24" s="183"/>
      <c r="BF24" s="199">
        <v>17</v>
      </c>
      <c r="BG24" s="151" t="s">
        <v>89</v>
      </c>
      <c r="BH24" s="146" t="s">
        <v>76</v>
      </c>
      <c r="BI24" s="219"/>
      <c r="BJ24" s="219"/>
      <c r="BK24" s="174">
        <v>0</v>
      </c>
      <c r="BL24" s="174">
        <v>1</v>
      </c>
      <c r="BM24" s="174">
        <v>2</v>
      </c>
      <c r="BN24" s="174">
        <v>4</v>
      </c>
      <c r="BO24" s="174">
        <v>2</v>
      </c>
      <c r="BP24" s="174">
        <v>1</v>
      </c>
      <c r="BQ24" s="174">
        <v>1</v>
      </c>
      <c r="BR24" s="174">
        <v>1</v>
      </c>
      <c r="BS24" s="174">
        <v>0</v>
      </c>
      <c r="BT24" s="174">
        <v>0</v>
      </c>
      <c r="BU24" s="174">
        <v>0</v>
      </c>
      <c r="BV24" s="174">
        <v>0</v>
      </c>
      <c r="BW24" s="174">
        <v>0</v>
      </c>
      <c r="BX24" s="174">
        <v>0</v>
      </c>
      <c r="BY24" s="179">
        <f t="shared" si="32"/>
        <v>5</v>
      </c>
      <c r="BZ24" s="179">
        <f t="shared" si="33"/>
        <v>7</v>
      </c>
      <c r="CA24" s="185">
        <f t="shared" si="34"/>
        <v>12</v>
      </c>
    </row>
    <row r="25" spans="1:79" ht="80.099999999999994" customHeight="1">
      <c r="A25" s="173">
        <v>17</v>
      </c>
      <c r="B25" s="142" t="s">
        <v>90</v>
      </c>
      <c r="C25" s="143" t="s">
        <v>71</v>
      </c>
      <c r="D25" s="145">
        <v>100000</v>
      </c>
      <c r="E25" s="144">
        <f t="shared" si="8"/>
        <v>67.5</v>
      </c>
      <c r="F25" s="145">
        <v>30</v>
      </c>
      <c r="G25" s="186">
        <v>1</v>
      </c>
      <c r="H25" s="186">
        <v>7</v>
      </c>
      <c r="I25" s="173">
        <f t="shared" si="9"/>
        <v>8</v>
      </c>
      <c r="J25" s="173">
        <v>8</v>
      </c>
      <c r="K25" s="173">
        <f t="shared" si="21"/>
        <v>2</v>
      </c>
      <c r="L25" s="186">
        <v>1</v>
      </c>
      <c r="M25" s="186">
        <v>1</v>
      </c>
      <c r="N25" s="173">
        <f t="shared" si="10"/>
        <v>2</v>
      </c>
      <c r="O25" s="186">
        <v>0</v>
      </c>
      <c r="P25" s="186">
        <v>0</v>
      </c>
      <c r="Q25" s="173">
        <f t="shared" si="11"/>
        <v>0</v>
      </c>
      <c r="R25" s="186">
        <v>0</v>
      </c>
      <c r="S25" s="186">
        <v>0</v>
      </c>
      <c r="T25" s="173">
        <f t="shared" si="0"/>
        <v>0</v>
      </c>
      <c r="U25" s="173"/>
      <c r="V25" s="173"/>
      <c r="W25" s="173"/>
      <c r="X25" s="175">
        <f t="shared" si="12"/>
        <v>0.26666666666666666</v>
      </c>
      <c r="Y25" s="175"/>
      <c r="Z25" s="175">
        <f t="shared" si="13"/>
        <v>0.4</v>
      </c>
      <c r="AA25" s="178"/>
      <c r="AB25" s="178"/>
      <c r="AC25" s="178"/>
      <c r="AD25" s="186"/>
      <c r="AE25" s="186">
        <v>3</v>
      </c>
      <c r="AF25" s="186">
        <v>9</v>
      </c>
      <c r="AG25" s="186"/>
      <c r="AH25" s="186"/>
      <c r="AI25" s="178">
        <f t="shared" si="19"/>
        <v>12</v>
      </c>
      <c r="AJ25" s="178"/>
      <c r="AK25" s="173"/>
      <c r="AL25" s="173"/>
      <c r="AM25" s="186"/>
      <c r="AN25" s="186">
        <v>2</v>
      </c>
      <c r="AO25" s="186">
        <v>1</v>
      </c>
      <c r="AP25" s="186"/>
      <c r="AQ25" s="186"/>
      <c r="AR25" s="178">
        <f t="shared" si="20"/>
        <v>3</v>
      </c>
      <c r="AS25" s="179">
        <f t="shared" si="25"/>
        <v>7</v>
      </c>
      <c r="AT25" s="179">
        <f t="shared" si="26"/>
        <v>18</v>
      </c>
      <c r="AU25" s="180">
        <f t="shared" si="14"/>
        <v>25</v>
      </c>
      <c r="AV25" s="180">
        <v>7</v>
      </c>
      <c r="AW25" s="180">
        <v>18</v>
      </c>
      <c r="AX25" s="176">
        <f t="shared" si="3"/>
        <v>0.4</v>
      </c>
      <c r="AY25" s="176">
        <v>0.4</v>
      </c>
      <c r="AZ25" s="176">
        <f t="shared" si="4"/>
        <v>0.37037037037037035</v>
      </c>
      <c r="BA25" s="175">
        <f t="shared" si="30"/>
        <v>0.56497175141242939</v>
      </c>
      <c r="BB25" s="175">
        <f t="shared" si="6"/>
        <v>0.08</v>
      </c>
      <c r="BC25" s="187">
        <f t="shared" si="15"/>
        <v>32</v>
      </c>
      <c r="BD25" s="188">
        <f t="shared" si="31"/>
        <v>100</v>
      </c>
      <c r="BE25" s="189"/>
      <c r="BF25" s="184">
        <v>18</v>
      </c>
      <c r="BG25" s="142" t="s">
        <v>90</v>
      </c>
      <c r="BH25" s="143" t="s">
        <v>71</v>
      </c>
      <c r="BI25" s="219"/>
      <c r="BJ25" s="219"/>
      <c r="BK25" s="186">
        <v>0</v>
      </c>
      <c r="BL25" s="186">
        <v>0</v>
      </c>
      <c r="BM25" s="186">
        <v>1</v>
      </c>
      <c r="BN25" s="186">
        <v>2</v>
      </c>
      <c r="BO25" s="186">
        <v>0</v>
      </c>
      <c r="BP25" s="186">
        <v>0</v>
      </c>
      <c r="BQ25" s="186">
        <v>0</v>
      </c>
      <c r="BR25" s="186">
        <v>4</v>
      </c>
      <c r="BS25" s="186">
        <v>0</v>
      </c>
      <c r="BT25" s="186">
        <v>1</v>
      </c>
      <c r="BU25" s="186">
        <v>0</v>
      </c>
      <c r="BV25" s="186">
        <v>0</v>
      </c>
      <c r="BW25" s="186">
        <v>0</v>
      </c>
      <c r="BX25" s="186">
        <v>0</v>
      </c>
      <c r="BY25" s="179">
        <f t="shared" si="32"/>
        <v>1</v>
      </c>
      <c r="BZ25" s="179">
        <f t="shared" si="33"/>
        <v>7</v>
      </c>
      <c r="CA25" s="185">
        <f t="shared" si="34"/>
        <v>8</v>
      </c>
    </row>
    <row r="26" spans="1:79" ht="80.099999999999994" customHeight="1">
      <c r="A26" s="173">
        <v>18</v>
      </c>
      <c r="B26" s="142" t="s">
        <v>91</v>
      </c>
      <c r="C26" s="146" t="s">
        <v>57</v>
      </c>
      <c r="D26" s="147">
        <v>150000</v>
      </c>
      <c r="E26" s="144">
        <f t="shared" si="8"/>
        <v>67.5</v>
      </c>
      <c r="F26" s="147">
        <v>30</v>
      </c>
      <c r="G26" s="174">
        <v>9</v>
      </c>
      <c r="H26" s="174">
        <v>4</v>
      </c>
      <c r="I26" s="173">
        <f t="shared" si="9"/>
        <v>13</v>
      </c>
      <c r="J26" s="173">
        <v>13</v>
      </c>
      <c r="K26" s="173">
        <f t="shared" si="21"/>
        <v>0</v>
      </c>
      <c r="L26" s="174">
        <v>0</v>
      </c>
      <c r="M26" s="174">
        <v>0</v>
      </c>
      <c r="N26" s="173">
        <f t="shared" si="10"/>
        <v>0</v>
      </c>
      <c r="O26" s="174">
        <v>0</v>
      </c>
      <c r="P26" s="174">
        <v>0</v>
      </c>
      <c r="Q26" s="173">
        <f t="shared" si="11"/>
        <v>0</v>
      </c>
      <c r="R26" s="174">
        <v>0</v>
      </c>
      <c r="S26" s="174">
        <v>0</v>
      </c>
      <c r="T26" s="173">
        <f>SUM(T24:T25)</f>
        <v>0</v>
      </c>
      <c r="U26" s="173"/>
      <c r="V26" s="173"/>
      <c r="W26" s="173"/>
      <c r="X26" s="175">
        <f t="shared" si="12"/>
        <v>0.43333333333333335</v>
      </c>
      <c r="Y26" s="175"/>
      <c r="Z26" s="176">
        <f t="shared" si="13"/>
        <v>0.43333333333333335</v>
      </c>
      <c r="AA26" s="177"/>
      <c r="AB26" s="177"/>
      <c r="AC26" s="177"/>
      <c r="AD26" s="174"/>
      <c r="AE26" s="174">
        <v>9</v>
      </c>
      <c r="AF26" s="174">
        <v>9</v>
      </c>
      <c r="AG26" s="174"/>
      <c r="AH26" s="174"/>
      <c r="AI26" s="178">
        <f t="shared" si="19"/>
        <v>18</v>
      </c>
      <c r="AJ26" s="177"/>
      <c r="AK26" s="179"/>
      <c r="AL26" s="179"/>
      <c r="AM26" s="174"/>
      <c r="AN26" s="174">
        <v>0</v>
      </c>
      <c r="AO26" s="174">
        <v>0</v>
      </c>
      <c r="AP26" s="174"/>
      <c r="AQ26" s="174"/>
      <c r="AR26" s="178">
        <f t="shared" si="20"/>
        <v>0</v>
      </c>
      <c r="AS26" s="179">
        <f t="shared" si="25"/>
        <v>18</v>
      </c>
      <c r="AT26" s="179">
        <f t="shared" si="26"/>
        <v>13</v>
      </c>
      <c r="AU26" s="180">
        <f t="shared" si="14"/>
        <v>31</v>
      </c>
      <c r="AV26" s="180">
        <v>18</v>
      </c>
      <c r="AW26" s="180">
        <v>13</v>
      </c>
      <c r="AX26" s="176">
        <f t="shared" si="3"/>
        <v>0.41935483870967744</v>
      </c>
      <c r="AY26" s="176">
        <v>0.42</v>
      </c>
      <c r="AZ26" s="176">
        <f t="shared" si="4"/>
        <v>0.45925925925925926</v>
      </c>
      <c r="BA26" s="176">
        <f t="shared" si="30"/>
        <v>0.46704331450094161</v>
      </c>
      <c r="BB26" s="176">
        <f t="shared" si="6"/>
        <v>0</v>
      </c>
      <c r="BC26" s="181">
        <f t="shared" si="15"/>
        <v>34.666666666666664</v>
      </c>
      <c r="BD26" s="182">
        <f t="shared" si="31"/>
        <v>82.666666666666657</v>
      </c>
      <c r="BE26" s="183"/>
      <c r="BF26" s="199">
        <v>19</v>
      </c>
      <c r="BG26" s="142" t="s">
        <v>91</v>
      </c>
      <c r="BH26" s="146" t="s">
        <v>57</v>
      </c>
      <c r="BI26" s="219"/>
      <c r="BJ26" s="219"/>
      <c r="BK26" s="174">
        <v>0</v>
      </c>
      <c r="BL26" s="174">
        <v>1</v>
      </c>
      <c r="BM26" s="174">
        <v>1</v>
      </c>
      <c r="BN26" s="174">
        <v>0</v>
      </c>
      <c r="BO26" s="174">
        <v>4</v>
      </c>
      <c r="BP26" s="174">
        <v>0</v>
      </c>
      <c r="BQ26" s="174">
        <v>0</v>
      </c>
      <c r="BR26" s="174">
        <v>2</v>
      </c>
      <c r="BS26" s="174">
        <v>4</v>
      </c>
      <c r="BT26" s="174">
        <v>1</v>
      </c>
      <c r="BU26" s="174">
        <v>0</v>
      </c>
      <c r="BV26" s="174">
        <v>0</v>
      </c>
      <c r="BW26" s="174">
        <v>0</v>
      </c>
      <c r="BX26" s="174">
        <v>0</v>
      </c>
      <c r="BY26" s="179">
        <f t="shared" si="32"/>
        <v>9</v>
      </c>
      <c r="BZ26" s="179">
        <f t="shared" si="33"/>
        <v>4</v>
      </c>
      <c r="CA26" s="185">
        <f t="shared" si="34"/>
        <v>13</v>
      </c>
    </row>
    <row r="27" spans="1:79" ht="80.099999999999994" customHeight="1">
      <c r="A27" s="173">
        <v>19</v>
      </c>
      <c r="B27" s="157" t="s">
        <v>92</v>
      </c>
      <c r="C27" s="143" t="s">
        <v>49</v>
      </c>
      <c r="D27" s="144">
        <v>50000</v>
      </c>
      <c r="E27" s="144">
        <f t="shared" si="8"/>
        <v>0</v>
      </c>
      <c r="F27" s="158">
        <v>0</v>
      </c>
      <c r="G27" s="200"/>
      <c r="H27" s="200"/>
      <c r="I27" s="201">
        <f t="shared" si="9"/>
        <v>0</v>
      </c>
      <c r="J27" s="201"/>
      <c r="K27" s="173">
        <f t="shared" si="21"/>
        <v>0</v>
      </c>
      <c r="L27" s="200"/>
      <c r="M27" s="200"/>
      <c r="N27" s="201">
        <f t="shared" si="10"/>
        <v>0</v>
      </c>
      <c r="O27" s="200"/>
      <c r="P27" s="200"/>
      <c r="Q27" s="201">
        <f t="shared" si="11"/>
        <v>0</v>
      </c>
      <c r="R27" s="200"/>
      <c r="S27" s="200"/>
      <c r="T27" s="201">
        <f>SUM(Q27,N27,I27)</f>
        <v>0</v>
      </c>
      <c r="U27" s="201"/>
      <c r="V27" s="201"/>
      <c r="W27" s="201"/>
      <c r="X27" s="175" t="e">
        <f t="shared" si="12"/>
        <v>#DIV/0!</v>
      </c>
      <c r="Y27" s="175"/>
      <c r="Z27" s="202">
        <f t="shared" si="13"/>
        <v>0</v>
      </c>
      <c r="AA27" s="203"/>
      <c r="AB27" s="203"/>
      <c r="AC27" s="203"/>
      <c r="AD27" s="200"/>
      <c r="AE27" s="200"/>
      <c r="AF27" s="200"/>
      <c r="AG27" s="200"/>
      <c r="AH27" s="200"/>
      <c r="AI27" s="178">
        <f t="shared" si="19"/>
        <v>0</v>
      </c>
      <c r="AJ27" s="203"/>
      <c r="AK27" s="201"/>
      <c r="AL27" s="201"/>
      <c r="AM27" s="200"/>
      <c r="AN27" s="200"/>
      <c r="AO27" s="200"/>
      <c r="AP27" s="200"/>
      <c r="AQ27" s="200"/>
      <c r="AR27" s="178">
        <f t="shared" si="20"/>
        <v>0</v>
      </c>
      <c r="AS27" s="201">
        <f t="shared" si="25"/>
        <v>0</v>
      </c>
      <c r="AT27" s="201">
        <f t="shared" si="26"/>
        <v>0</v>
      </c>
      <c r="AU27" s="180">
        <f t="shared" si="14"/>
        <v>0</v>
      </c>
      <c r="AV27" s="180"/>
      <c r="AW27" s="180"/>
      <c r="AX27" s="176" t="e">
        <f t="shared" si="3"/>
        <v>#DIV/0!</v>
      </c>
      <c r="AY27" s="176"/>
      <c r="AZ27" s="176" t="e">
        <f t="shared" si="4"/>
        <v>#DIV/0!</v>
      </c>
      <c r="BA27" s="202">
        <f t="shared" si="30"/>
        <v>0</v>
      </c>
      <c r="BB27" s="202" t="e">
        <f t="shared" si="6"/>
        <v>#DIV/0!</v>
      </c>
      <c r="BC27" s="204">
        <f t="shared" si="15"/>
        <v>0</v>
      </c>
      <c r="BD27" s="205">
        <f t="shared" si="31"/>
        <v>0</v>
      </c>
      <c r="BE27" s="206"/>
      <c r="BF27" s="184">
        <v>20</v>
      </c>
      <c r="BG27" s="157" t="s">
        <v>92</v>
      </c>
      <c r="BH27" s="159" t="s">
        <v>49</v>
      </c>
      <c r="BI27" s="219"/>
      <c r="BJ27" s="219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79">
        <f t="shared" si="32"/>
        <v>0</v>
      </c>
      <c r="BZ27" s="179">
        <f t="shared" si="33"/>
        <v>0</v>
      </c>
      <c r="CA27" s="185">
        <f t="shared" si="34"/>
        <v>0</v>
      </c>
    </row>
    <row r="28" spans="1:79" ht="80.099999999999994" customHeight="1">
      <c r="A28" s="173">
        <v>20</v>
      </c>
      <c r="B28" s="142" t="s">
        <v>93</v>
      </c>
      <c r="C28" s="143" t="s">
        <v>80</v>
      </c>
      <c r="D28" s="145">
        <v>100000</v>
      </c>
      <c r="E28" s="144">
        <f t="shared" si="8"/>
        <v>56.25</v>
      </c>
      <c r="F28" s="145">
        <v>25</v>
      </c>
      <c r="G28" s="174">
        <v>3</v>
      </c>
      <c r="H28" s="174">
        <v>6</v>
      </c>
      <c r="I28" s="173">
        <f t="shared" si="9"/>
        <v>9</v>
      </c>
      <c r="J28" s="173">
        <v>9</v>
      </c>
      <c r="K28" s="173">
        <f t="shared" si="21"/>
        <v>0</v>
      </c>
      <c r="L28" s="174">
        <v>0</v>
      </c>
      <c r="M28" s="174">
        <v>0</v>
      </c>
      <c r="N28" s="173">
        <f t="shared" si="10"/>
        <v>0</v>
      </c>
      <c r="O28" s="174">
        <v>0</v>
      </c>
      <c r="P28" s="174">
        <v>0</v>
      </c>
      <c r="Q28" s="173">
        <f t="shared" si="11"/>
        <v>0</v>
      </c>
      <c r="R28" s="174">
        <v>0</v>
      </c>
      <c r="S28" s="174">
        <v>0</v>
      </c>
      <c r="T28" s="173">
        <f t="shared" si="0"/>
        <v>0</v>
      </c>
      <c r="U28" s="173"/>
      <c r="V28" s="173"/>
      <c r="W28" s="173"/>
      <c r="X28" s="175">
        <f t="shared" si="12"/>
        <v>0.36</v>
      </c>
      <c r="Y28" s="175"/>
      <c r="Z28" s="176">
        <f t="shared" si="13"/>
        <v>0.45</v>
      </c>
      <c r="AA28" s="177"/>
      <c r="AB28" s="177"/>
      <c r="AC28" s="177"/>
      <c r="AD28" s="174"/>
      <c r="AE28" s="174">
        <v>1</v>
      </c>
      <c r="AF28" s="174">
        <v>0</v>
      </c>
      <c r="AG28" s="174"/>
      <c r="AH28" s="174"/>
      <c r="AI28" s="178">
        <f t="shared" si="19"/>
        <v>1</v>
      </c>
      <c r="AJ28" s="177"/>
      <c r="AK28" s="179"/>
      <c r="AL28" s="179"/>
      <c r="AM28" s="174"/>
      <c r="AN28" s="174">
        <v>0</v>
      </c>
      <c r="AO28" s="174">
        <v>0</v>
      </c>
      <c r="AP28" s="174"/>
      <c r="AQ28" s="174"/>
      <c r="AR28" s="178">
        <f t="shared" si="20"/>
        <v>0</v>
      </c>
      <c r="AS28" s="179">
        <f t="shared" si="25"/>
        <v>4</v>
      </c>
      <c r="AT28" s="179">
        <f t="shared" si="26"/>
        <v>6</v>
      </c>
      <c r="AU28" s="180">
        <f t="shared" si="14"/>
        <v>10</v>
      </c>
      <c r="AV28" s="180">
        <v>4</v>
      </c>
      <c r="AW28" s="180">
        <v>6</v>
      </c>
      <c r="AX28" s="176">
        <f t="shared" si="3"/>
        <v>0.9</v>
      </c>
      <c r="AY28" s="176">
        <v>0.9</v>
      </c>
      <c r="AZ28" s="176">
        <f t="shared" si="4"/>
        <v>0.17777777777777778</v>
      </c>
      <c r="BA28" s="176">
        <f t="shared" si="30"/>
        <v>0.22598870056497175</v>
      </c>
      <c r="BB28" s="176">
        <f t="shared" si="6"/>
        <v>0</v>
      </c>
      <c r="BC28" s="181">
        <f t="shared" si="15"/>
        <v>36</v>
      </c>
      <c r="BD28" s="182">
        <f t="shared" si="31"/>
        <v>40</v>
      </c>
      <c r="BE28" s="183"/>
      <c r="BF28" s="199">
        <v>21</v>
      </c>
      <c r="BG28" s="142" t="s">
        <v>93</v>
      </c>
      <c r="BH28" s="143" t="s">
        <v>80</v>
      </c>
      <c r="BI28" s="219"/>
      <c r="BJ28" s="219"/>
      <c r="BK28" s="174">
        <v>0</v>
      </c>
      <c r="BL28" s="174">
        <v>0</v>
      </c>
      <c r="BM28" s="174">
        <v>1</v>
      </c>
      <c r="BN28" s="174">
        <v>5</v>
      </c>
      <c r="BO28" s="174">
        <v>2</v>
      </c>
      <c r="BP28" s="174">
        <v>1</v>
      </c>
      <c r="BQ28" s="174">
        <v>0</v>
      </c>
      <c r="BR28" s="174">
        <v>0</v>
      </c>
      <c r="BS28" s="174">
        <v>0</v>
      </c>
      <c r="BT28" s="174">
        <v>0</v>
      </c>
      <c r="BU28" s="174">
        <v>0</v>
      </c>
      <c r="BV28" s="174">
        <v>0</v>
      </c>
      <c r="BW28" s="174">
        <v>0</v>
      </c>
      <c r="BX28" s="174">
        <v>0</v>
      </c>
      <c r="BY28" s="179">
        <f t="shared" si="32"/>
        <v>3</v>
      </c>
      <c r="BZ28" s="179">
        <f t="shared" si="33"/>
        <v>6</v>
      </c>
      <c r="CA28" s="185">
        <f t="shared" si="34"/>
        <v>9</v>
      </c>
    </row>
    <row r="29" spans="1:79" ht="80.099999999999994" customHeight="1">
      <c r="A29" s="173">
        <v>21</v>
      </c>
      <c r="B29" s="142" t="s">
        <v>94</v>
      </c>
      <c r="C29" s="143" t="s">
        <v>95</v>
      </c>
      <c r="D29" s="145">
        <v>200000</v>
      </c>
      <c r="E29" s="144">
        <f t="shared" si="8"/>
        <v>67.5</v>
      </c>
      <c r="F29" s="145">
        <v>30</v>
      </c>
      <c r="G29" s="186">
        <v>6</v>
      </c>
      <c r="H29" s="186">
        <v>9</v>
      </c>
      <c r="I29" s="173">
        <f t="shared" si="9"/>
        <v>15</v>
      </c>
      <c r="J29" s="173">
        <v>15</v>
      </c>
      <c r="K29" s="173">
        <f t="shared" si="21"/>
        <v>3</v>
      </c>
      <c r="L29" s="186">
        <v>2</v>
      </c>
      <c r="M29" s="186">
        <v>1</v>
      </c>
      <c r="N29" s="173">
        <f t="shared" si="10"/>
        <v>3</v>
      </c>
      <c r="O29" s="186">
        <v>0</v>
      </c>
      <c r="P29" s="186">
        <v>0</v>
      </c>
      <c r="Q29" s="173">
        <f t="shared" si="11"/>
        <v>0</v>
      </c>
      <c r="R29" s="186">
        <v>0</v>
      </c>
      <c r="S29" s="186">
        <v>0</v>
      </c>
      <c r="T29" s="173">
        <f t="shared" si="0"/>
        <v>0</v>
      </c>
      <c r="U29" s="173"/>
      <c r="V29" s="173"/>
      <c r="W29" s="173"/>
      <c r="X29" s="175">
        <f t="shared" si="12"/>
        <v>0.5</v>
      </c>
      <c r="Y29" s="175"/>
      <c r="Z29" s="175">
        <f t="shared" si="13"/>
        <v>0.375</v>
      </c>
      <c r="AA29" s="178"/>
      <c r="AB29" s="178"/>
      <c r="AC29" s="178"/>
      <c r="AD29" s="186"/>
      <c r="AE29" s="186">
        <v>8</v>
      </c>
      <c r="AF29" s="186">
        <v>19</v>
      </c>
      <c r="AG29" s="186"/>
      <c r="AH29" s="186"/>
      <c r="AI29" s="178">
        <f t="shared" si="19"/>
        <v>27</v>
      </c>
      <c r="AJ29" s="178"/>
      <c r="AK29" s="173"/>
      <c r="AL29" s="173"/>
      <c r="AM29" s="186"/>
      <c r="AN29" s="186">
        <v>4</v>
      </c>
      <c r="AO29" s="186">
        <v>10</v>
      </c>
      <c r="AP29" s="186"/>
      <c r="AQ29" s="186"/>
      <c r="AR29" s="178">
        <f t="shared" si="20"/>
        <v>14</v>
      </c>
      <c r="AS29" s="179">
        <f t="shared" si="25"/>
        <v>20</v>
      </c>
      <c r="AT29" s="179">
        <f t="shared" si="26"/>
        <v>39</v>
      </c>
      <c r="AU29" s="180">
        <f t="shared" si="14"/>
        <v>59</v>
      </c>
      <c r="AV29" s="180">
        <v>20</v>
      </c>
      <c r="AW29" s="180">
        <v>39</v>
      </c>
      <c r="AX29" s="176">
        <f t="shared" si="3"/>
        <v>0.35714285714285715</v>
      </c>
      <c r="AY29" s="176">
        <v>0.36</v>
      </c>
      <c r="AZ29" s="176">
        <f t="shared" si="4"/>
        <v>0.87407407407407411</v>
      </c>
      <c r="BA29" s="175">
        <f t="shared" si="30"/>
        <v>0.66666666666666663</v>
      </c>
      <c r="BB29" s="175">
        <f t="shared" si="6"/>
        <v>5.0847457627118647E-2</v>
      </c>
      <c r="BC29" s="187">
        <f t="shared" si="15"/>
        <v>29.999999999999996</v>
      </c>
      <c r="BD29" s="188">
        <f t="shared" si="31"/>
        <v>118</v>
      </c>
      <c r="BE29" s="189"/>
      <c r="BF29" s="184">
        <v>22</v>
      </c>
      <c r="BG29" s="142" t="s">
        <v>94</v>
      </c>
      <c r="BH29" s="143" t="s">
        <v>95</v>
      </c>
      <c r="BI29" s="219"/>
      <c r="BJ29" s="219"/>
      <c r="BK29" s="186">
        <v>1</v>
      </c>
      <c r="BL29" s="186">
        <v>2</v>
      </c>
      <c r="BM29" s="186">
        <v>2</v>
      </c>
      <c r="BN29" s="186">
        <v>4</v>
      </c>
      <c r="BO29" s="186">
        <v>2</v>
      </c>
      <c r="BP29" s="186">
        <v>2</v>
      </c>
      <c r="BQ29" s="186">
        <v>1</v>
      </c>
      <c r="BR29" s="186">
        <v>0</v>
      </c>
      <c r="BS29" s="186">
        <v>0</v>
      </c>
      <c r="BT29" s="186">
        <v>0</v>
      </c>
      <c r="BU29" s="186">
        <v>0</v>
      </c>
      <c r="BV29" s="186">
        <v>1</v>
      </c>
      <c r="BW29" s="186">
        <v>0</v>
      </c>
      <c r="BX29" s="186">
        <v>0</v>
      </c>
      <c r="BY29" s="179">
        <f t="shared" si="32"/>
        <v>6</v>
      </c>
      <c r="BZ29" s="179">
        <f t="shared" si="33"/>
        <v>9</v>
      </c>
      <c r="CA29" s="185">
        <f t="shared" si="34"/>
        <v>15</v>
      </c>
    </row>
    <row r="30" spans="1:79" ht="112.5" customHeight="1">
      <c r="A30" s="173">
        <v>22</v>
      </c>
      <c r="B30" s="151" t="s">
        <v>96</v>
      </c>
      <c r="C30" s="146" t="s">
        <v>49</v>
      </c>
      <c r="D30" s="147">
        <v>150000</v>
      </c>
      <c r="E30" s="144">
        <f t="shared" si="8"/>
        <v>56.25</v>
      </c>
      <c r="F30" s="147">
        <v>25</v>
      </c>
      <c r="G30" s="186">
        <v>2</v>
      </c>
      <c r="H30" s="186">
        <v>3</v>
      </c>
      <c r="I30" s="173">
        <f t="shared" ref="I30:I35" si="35">SUM(G30:H30)</f>
        <v>5</v>
      </c>
      <c r="J30" s="173">
        <v>5</v>
      </c>
      <c r="K30" s="173">
        <f t="shared" si="21"/>
        <v>0</v>
      </c>
      <c r="L30" s="186">
        <v>0</v>
      </c>
      <c r="M30" s="186">
        <v>0</v>
      </c>
      <c r="N30" s="173">
        <f t="shared" ref="N30:N35" si="36">SUM(L30:M30)</f>
        <v>0</v>
      </c>
      <c r="O30" s="186">
        <v>0</v>
      </c>
      <c r="P30" s="186">
        <v>0</v>
      </c>
      <c r="Q30" s="173">
        <f t="shared" ref="Q30:Q35" si="37">SUM(O30:P30)</f>
        <v>0</v>
      </c>
      <c r="R30" s="186">
        <v>1</v>
      </c>
      <c r="S30" s="186">
        <v>0</v>
      </c>
      <c r="T30" s="173">
        <f>SUM(T28:T29)</f>
        <v>0</v>
      </c>
      <c r="U30" s="173"/>
      <c r="V30" s="173"/>
      <c r="W30" s="173"/>
      <c r="X30" s="175">
        <f t="shared" si="12"/>
        <v>0.2</v>
      </c>
      <c r="Y30" s="175"/>
      <c r="Z30" s="175">
        <f t="shared" ref="Z30:Z37" si="38">I30*4/(D30*0.0008)</f>
        <v>0.16666666666666666</v>
      </c>
      <c r="AA30" s="178"/>
      <c r="AB30" s="178"/>
      <c r="AC30" s="178"/>
      <c r="AD30" s="186"/>
      <c r="AE30" s="186">
        <v>6</v>
      </c>
      <c r="AF30" s="186">
        <v>10</v>
      </c>
      <c r="AG30" s="186"/>
      <c r="AH30" s="186"/>
      <c r="AI30" s="178">
        <f t="shared" si="19"/>
        <v>16</v>
      </c>
      <c r="AJ30" s="178"/>
      <c r="AK30" s="173"/>
      <c r="AL30" s="173"/>
      <c r="AM30" s="186"/>
      <c r="AN30" s="186">
        <v>2</v>
      </c>
      <c r="AO30" s="186">
        <v>4</v>
      </c>
      <c r="AP30" s="186"/>
      <c r="AQ30" s="186"/>
      <c r="AR30" s="178">
        <f t="shared" si="20"/>
        <v>6</v>
      </c>
      <c r="AS30" s="179">
        <f t="shared" si="25"/>
        <v>11</v>
      </c>
      <c r="AT30" s="179">
        <f t="shared" si="26"/>
        <v>17</v>
      </c>
      <c r="AU30" s="180">
        <f t="shared" si="14"/>
        <v>28</v>
      </c>
      <c r="AV30" s="180">
        <v>11</v>
      </c>
      <c r="AW30" s="180">
        <v>17</v>
      </c>
      <c r="AX30" s="176">
        <f t="shared" si="3"/>
        <v>0.23809523809523808</v>
      </c>
      <c r="AY30" s="176">
        <v>0.24</v>
      </c>
      <c r="AZ30" s="176">
        <f t="shared" si="4"/>
        <v>0.49777777777777776</v>
      </c>
      <c r="BA30" s="175">
        <f t="shared" si="30"/>
        <v>0.42184557438794729</v>
      </c>
      <c r="BB30" s="175">
        <f t="shared" ref="BB30:BB37" si="39">(N30+Q30+T30)/AU30</f>
        <v>0</v>
      </c>
      <c r="BC30" s="187">
        <f t="shared" ref="BC30:BC37" si="40">I30*4/D30*100000</f>
        <v>13.333333333333334</v>
      </c>
      <c r="BD30" s="188">
        <f t="shared" si="31"/>
        <v>74.666666666666657</v>
      </c>
      <c r="BE30" s="189"/>
      <c r="BF30" s="199">
        <v>23</v>
      </c>
      <c r="BG30" s="151" t="s">
        <v>96</v>
      </c>
      <c r="BH30" s="146" t="s">
        <v>49</v>
      </c>
      <c r="BI30" s="219"/>
      <c r="BJ30" s="219"/>
      <c r="BK30" s="186">
        <v>0</v>
      </c>
      <c r="BL30" s="186">
        <v>0</v>
      </c>
      <c r="BM30" s="186">
        <v>1</v>
      </c>
      <c r="BN30" s="186">
        <v>2</v>
      </c>
      <c r="BO30" s="186">
        <v>1</v>
      </c>
      <c r="BP30" s="186">
        <v>1</v>
      </c>
      <c r="BQ30" s="186">
        <v>0</v>
      </c>
      <c r="BR30" s="186">
        <v>0</v>
      </c>
      <c r="BS30" s="186">
        <v>0</v>
      </c>
      <c r="BT30" s="186">
        <v>0</v>
      </c>
      <c r="BU30" s="186">
        <v>0</v>
      </c>
      <c r="BV30" s="186">
        <v>0</v>
      </c>
      <c r="BW30" s="186">
        <v>0</v>
      </c>
      <c r="BX30" s="186">
        <v>0</v>
      </c>
      <c r="BY30" s="179">
        <f t="shared" si="32"/>
        <v>2</v>
      </c>
      <c r="BZ30" s="179">
        <f t="shared" si="33"/>
        <v>3</v>
      </c>
      <c r="CA30" s="185">
        <f t="shared" si="34"/>
        <v>5</v>
      </c>
    </row>
    <row r="31" spans="1:79" ht="80.099999999999994" customHeight="1">
      <c r="A31" s="173">
        <v>23</v>
      </c>
      <c r="B31" s="142" t="s">
        <v>97</v>
      </c>
      <c r="C31" s="143" t="s">
        <v>68</v>
      </c>
      <c r="D31" s="145">
        <v>100000</v>
      </c>
      <c r="E31" s="144">
        <f t="shared" si="8"/>
        <v>56.25</v>
      </c>
      <c r="F31" s="145">
        <v>25</v>
      </c>
      <c r="G31" s="186">
        <v>1</v>
      </c>
      <c r="H31" s="186">
        <v>0</v>
      </c>
      <c r="I31" s="173">
        <f t="shared" si="35"/>
        <v>1</v>
      </c>
      <c r="J31" s="173">
        <v>1</v>
      </c>
      <c r="K31" s="173">
        <f t="shared" si="21"/>
        <v>0</v>
      </c>
      <c r="L31" s="186">
        <v>0</v>
      </c>
      <c r="M31" s="186">
        <v>0</v>
      </c>
      <c r="N31" s="173">
        <f t="shared" si="36"/>
        <v>0</v>
      </c>
      <c r="O31" s="186">
        <v>0</v>
      </c>
      <c r="P31" s="186">
        <v>0</v>
      </c>
      <c r="Q31" s="173">
        <f t="shared" si="37"/>
        <v>0</v>
      </c>
      <c r="R31" s="186">
        <v>0</v>
      </c>
      <c r="S31" s="186">
        <v>0</v>
      </c>
      <c r="T31" s="173">
        <f>SUM(R31:S31)</f>
        <v>0</v>
      </c>
      <c r="U31" s="173"/>
      <c r="V31" s="173"/>
      <c r="W31" s="173"/>
      <c r="X31" s="175">
        <f t="shared" si="12"/>
        <v>0.04</v>
      </c>
      <c r="Y31" s="175"/>
      <c r="Z31" s="175">
        <f t="shared" si="38"/>
        <v>0.05</v>
      </c>
      <c r="AA31" s="178"/>
      <c r="AB31" s="178"/>
      <c r="AC31" s="178"/>
      <c r="AD31" s="186"/>
      <c r="AE31" s="186">
        <v>0</v>
      </c>
      <c r="AF31" s="186">
        <v>1</v>
      </c>
      <c r="AG31" s="186"/>
      <c r="AH31" s="186"/>
      <c r="AI31" s="178">
        <f t="shared" si="19"/>
        <v>1</v>
      </c>
      <c r="AJ31" s="178"/>
      <c r="AK31" s="173"/>
      <c r="AL31" s="173"/>
      <c r="AM31" s="186"/>
      <c r="AN31" s="186">
        <v>0</v>
      </c>
      <c r="AO31" s="186">
        <v>4</v>
      </c>
      <c r="AP31" s="186"/>
      <c r="AQ31" s="186"/>
      <c r="AR31" s="178">
        <f t="shared" si="20"/>
        <v>4</v>
      </c>
      <c r="AS31" s="179">
        <f t="shared" si="25"/>
        <v>1</v>
      </c>
      <c r="AT31" s="179">
        <f t="shared" si="26"/>
        <v>5</v>
      </c>
      <c r="AU31" s="180">
        <f t="shared" si="14"/>
        <v>6</v>
      </c>
      <c r="AV31" s="180">
        <v>1</v>
      </c>
      <c r="AW31" s="180">
        <v>5</v>
      </c>
      <c r="AX31" s="176">
        <f t="shared" si="3"/>
        <v>0.5</v>
      </c>
      <c r="AY31" s="176">
        <v>0.5</v>
      </c>
      <c r="AZ31" s="176">
        <f t="shared" si="4"/>
        <v>0.10666666666666667</v>
      </c>
      <c r="BA31" s="175">
        <f t="shared" si="30"/>
        <v>0.13559322033898305</v>
      </c>
      <c r="BB31" s="175">
        <f t="shared" si="39"/>
        <v>0</v>
      </c>
      <c r="BC31" s="187">
        <f t="shared" si="40"/>
        <v>4</v>
      </c>
      <c r="BD31" s="188">
        <f t="shared" si="31"/>
        <v>24</v>
      </c>
      <c r="BE31" s="189"/>
      <c r="BF31" s="184">
        <v>24</v>
      </c>
      <c r="BG31" s="142" t="s">
        <v>97</v>
      </c>
      <c r="BH31" s="143" t="s">
        <v>68</v>
      </c>
      <c r="BI31" s="219"/>
      <c r="BJ31" s="219"/>
      <c r="BK31" s="186">
        <v>0</v>
      </c>
      <c r="BL31" s="186">
        <v>0</v>
      </c>
      <c r="BM31" s="186">
        <v>0</v>
      </c>
      <c r="BN31" s="186">
        <v>0</v>
      </c>
      <c r="BO31" s="186">
        <v>0</v>
      </c>
      <c r="BP31" s="186">
        <v>0</v>
      </c>
      <c r="BQ31" s="186">
        <v>1</v>
      </c>
      <c r="BR31" s="186">
        <v>0</v>
      </c>
      <c r="BS31" s="186">
        <v>0</v>
      </c>
      <c r="BT31" s="186">
        <v>0</v>
      </c>
      <c r="BU31" s="186">
        <v>0</v>
      </c>
      <c r="BV31" s="186">
        <v>0</v>
      </c>
      <c r="BW31" s="186">
        <v>0</v>
      </c>
      <c r="BX31" s="186">
        <v>0</v>
      </c>
      <c r="BY31" s="179">
        <f t="shared" si="32"/>
        <v>1</v>
      </c>
      <c r="BZ31" s="179">
        <f t="shared" si="33"/>
        <v>0</v>
      </c>
      <c r="CA31" s="185">
        <f t="shared" si="34"/>
        <v>1</v>
      </c>
    </row>
    <row r="32" spans="1:79" ht="80.099999999999994" customHeight="1">
      <c r="A32" s="173">
        <v>24</v>
      </c>
      <c r="B32" s="142" t="s">
        <v>98</v>
      </c>
      <c r="C32" s="143" t="s">
        <v>49</v>
      </c>
      <c r="D32" s="145">
        <v>200000</v>
      </c>
      <c r="E32" s="144">
        <f t="shared" si="8"/>
        <v>101.25</v>
      </c>
      <c r="F32" s="145">
        <v>45</v>
      </c>
      <c r="G32" s="186">
        <v>7</v>
      </c>
      <c r="H32" s="186">
        <v>9</v>
      </c>
      <c r="I32" s="173">
        <f t="shared" si="35"/>
        <v>16</v>
      </c>
      <c r="J32" s="173">
        <v>16</v>
      </c>
      <c r="K32" s="173">
        <f t="shared" si="21"/>
        <v>6</v>
      </c>
      <c r="L32" s="186">
        <v>2</v>
      </c>
      <c r="M32" s="186">
        <v>2</v>
      </c>
      <c r="N32" s="173">
        <f t="shared" si="36"/>
        <v>4</v>
      </c>
      <c r="O32" s="186">
        <v>1</v>
      </c>
      <c r="P32" s="186">
        <v>0</v>
      </c>
      <c r="Q32" s="173">
        <f t="shared" si="37"/>
        <v>1</v>
      </c>
      <c r="R32" s="186">
        <v>1</v>
      </c>
      <c r="S32" s="186">
        <v>0</v>
      </c>
      <c r="T32" s="173">
        <f>SUM(R32:S32)</f>
        <v>1</v>
      </c>
      <c r="U32" s="173"/>
      <c r="V32" s="173"/>
      <c r="W32" s="173"/>
      <c r="X32" s="175">
        <f t="shared" si="12"/>
        <v>0.35555555555555557</v>
      </c>
      <c r="Y32" s="175"/>
      <c r="Z32" s="175">
        <f t="shared" si="38"/>
        <v>0.4</v>
      </c>
      <c r="AA32" s="178"/>
      <c r="AB32" s="178"/>
      <c r="AC32" s="178"/>
      <c r="AD32" s="186"/>
      <c r="AE32" s="186">
        <v>0</v>
      </c>
      <c r="AF32" s="186">
        <v>4</v>
      </c>
      <c r="AG32" s="186"/>
      <c r="AH32" s="186"/>
      <c r="AI32" s="178">
        <f t="shared" si="19"/>
        <v>4</v>
      </c>
      <c r="AJ32" s="178"/>
      <c r="AK32" s="173"/>
      <c r="AL32" s="173"/>
      <c r="AM32" s="186"/>
      <c r="AN32" s="186">
        <v>12</v>
      </c>
      <c r="AO32" s="186">
        <v>15</v>
      </c>
      <c r="AP32" s="186"/>
      <c r="AQ32" s="186"/>
      <c r="AR32" s="178">
        <f t="shared" si="20"/>
        <v>27</v>
      </c>
      <c r="AS32" s="179">
        <f t="shared" si="25"/>
        <v>23</v>
      </c>
      <c r="AT32" s="179">
        <f t="shared" si="26"/>
        <v>30</v>
      </c>
      <c r="AU32" s="180">
        <f t="shared" si="14"/>
        <v>53</v>
      </c>
      <c r="AV32" s="180">
        <v>23</v>
      </c>
      <c r="AW32" s="180">
        <v>30</v>
      </c>
      <c r="AX32" s="176">
        <f t="shared" si="3"/>
        <v>0.8</v>
      </c>
      <c r="AY32" s="176">
        <v>0.8</v>
      </c>
      <c r="AZ32" s="176">
        <f t="shared" si="4"/>
        <v>0.52345679012345681</v>
      </c>
      <c r="BA32" s="175">
        <f t="shared" si="30"/>
        <v>0.59887005649717517</v>
      </c>
      <c r="BB32" s="175">
        <f t="shared" si="39"/>
        <v>0.11320754716981132</v>
      </c>
      <c r="BC32" s="187">
        <f t="shared" si="40"/>
        <v>32</v>
      </c>
      <c r="BD32" s="188">
        <f t="shared" si="31"/>
        <v>106</v>
      </c>
      <c r="BE32" s="189"/>
      <c r="BF32" s="199">
        <v>25</v>
      </c>
      <c r="BG32" s="142" t="s">
        <v>98</v>
      </c>
      <c r="BH32" s="143" t="s">
        <v>49</v>
      </c>
      <c r="BI32" s="219"/>
      <c r="BJ32" s="219"/>
      <c r="BK32" s="186">
        <v>0</v>
      </c>
      <c r="BL32" s="186">
        <v>1</v>
      </c>
      <c r="BM32" s="186">
        <v>3</v>
      </c>
      <c r="BN32" s="186">
        <v>4</v>
      </c>
      <c r="BO32" s="186">
        <v>1</v>
      </c>
      <c r="BP32" s="186">
        <v>3</v>
      </c>
      <c r="BQ32" s="186">
        <v>1</v>
      </c>
      <c r="BR32" s="186">
        <v>0</v>
      </c>
      <c r="BS32" s="186">
        <v>2</v>
      </c>
      <c r="BT32" s="186">
        <v>1</v>
      </c>
      <c r="BU32" s="186">
        <v>0</v>
      </c>
      <c r="BV32" s="186">
        <v>0</v>
      </c>
      <c r="BW32" s="186">
        <v>0</v>
      </c>
      <c r="BX32" s="186">
        <v>0</v>
      </c>
      <c r="BY32" s="179">
        <f t="shared" si="32"/>
        <v>7</v>
      </c>
      <c r="BZ32" s="179">
        <f t="shared" si="33"/>
        <v>9</v>
      </c>
      <c r="CA32" s="185">
        <f t="shared" si="34"/>
        <v>16</v>
      </c>
    </row>
    <row r="33" spans="1:79" ht="80.099999999999994" customHeight="1">
      <c r="A33" s="173">
        <v>25</v>
      </c>
      <c r="B33" s="143" t="s">
        <v>125</v>
      </c>
      <c r="C33" s="143" t="s">
        <v>85</v>
      </c>
      <c r="D33" s="147">
        <v>250000</v>
      </c>
      <c r="E33" s="144">
        <f t="shared" si="8"/>
        <v>56.25</v>
      </c>
      <c r="F33" s="147">
        <v>25</v>
      </c>
      <c r="G33" s="186">
        <v>2</v>
      </c>
      <c r="H33" s="186">
        <v>5</v>
      </c>
      <c r="I33" s="173">
        <f t="shared" si="35"/>
        <v>7</v>
      </c>
      <c r="J33" s="173">
        <v>7</v>
      </c>
      <c r="K33" s="173">
        <f t="shared" si="21"/>
        <v>0</v>
      </c>
      <c r="L33" s="186">
        <v>0</v>
      </c>
      <c r="M33" s="186">
        <v>0</v>
      </c>
      <c r="N33" s="173">
        <f t="shared" si="36"/>
        <v>0</v>
      </c>
      <c r="O33" s="186">
        <v>0</v>
      </c>
      <c r="P33" s="186">
        <v>0</v>
      </c>
      <c r="Q33" s="173">
        <f t="shared" si="37"/>
        <v>0</v>
      </c>
      <c r="R33" s="186">
        <v>0</v>
      </c>
      <c r="S33" s="186">
        <v>0</v>
      </c>
      <c r="T33" s="173">
        <v>0</v>
      </c>
      <c r="U33" s="173"/>
      <c r="V33" s="173"/>
      <c r="W33" s="173"/>
      <c r="X33" s="175">
        <f t="shared" si="12"/>
        <v>0.28000000000000003</v>
      </c>
      <c r="Y33" s="175"/>
      <c r="Z33" s="175">
        <f t="shared" si="38"/>
        <v>0.14000000000000001</v>
      </c>
      <c r="AA33" s="178"/>
      <c r="AB33" s="178"/>
      <c r="AC33" s="178"/>
      <c r="AD33" s="186"/>
      <c r="AE33" s="186">
        <v>0</v>
      </c>
      <c r="AF33" s="186">
        <v>0</v>
      </c>
      <c r="AG33" s="186"/>
      <c r="AH33" s="186"/>
      <c r="AI33" s="178">
        <f t="shared" si="19"/>
        <v>0</v>
      </c>
      <c r="AJ33" s="178"/>
      <c r="AK33" s="173"/>
      <c r="AL33" s="173"/>
      <c r="AM33" s="186"/>
      <c r="AN33" s="186">
        <v>0</v>
      </c>
      <c r="AO33" s="186">
        <v>0</v>
      </c>
      <c r="AP33" s="186"/>
      <c r="AQ33" s="186"/>
      <c r="AR33" s="178">
        <f t="shared" si="20"/>
        <v>0</v>
      </c>
      <c r="AS33" s="179">
        <f t="shared" si="25"/>
        <v>2</v>
      </c>
      <c r="AT33" s="179">
        <f t="shared" si="26"/>
        <v>5</v>
      </c>
      <c r="AU33" s="180">
        <f t="shared" si="14"/>
        <v>7</v>
      </c>
      <c r="AV33" s="180">
        <v>2</v>
      </c>
      <c r="AW33" s="180">
        <v>5</v>
      </c>
      <c r="AX33" s="176">
        <f t="shared" si="3"/>
        <v>1</v>
      </c>
      <c r="AY33" s="176">
        <v>1</v>
      </c>
      <c r="AZ33" s="176">
        <f t="shared" si="4"/>
        <v>0.12444444444444444</v>
      </c>
      <c r="BA33" s="175">
        <f t="shared" si="30"/>
        <v>6.3276836158192087E-2</v>
      </c>
      <c r="BB33" s="175">
        <f t="shared" si="39"/>
        <v>0</v>
      </c>
      <c r="BC33" s="187">
        <f t="shared" si="40"/>
        <v>11.2</v>
      </c>
      <c r="BD33" s="188">
        <f t="shared" si="31"/>
        <v>11.2</v>
      </c>
      <c r="BE33" s="189"/>
      <c r="BF33" s="184">
        <v>26</v>
      </c>
      <c r="BG33" s="143" t="s">
        <v>99</v>
      </c>
      <c r="BH33" s="143" t="s">
        <v>85</v>
      </c>
      <c r="BI33" s="219"/>
      <c r="BJ33" s="219"/>
      <c r="BK33" s="186">
        <v>0</v>
      </c>
      <c r="BL33" s="186">
        <v>0</v>
      </c>
      <c r="BM33" s="186">
        <v>1</v>
      </c>
      <c r="BN33" s="186">
        <v>4</v>
      </c>
      <c r="BO33" s="186">
        <v>0</v>
      </c>
      <c r="BP33" s="186">
        <v>0</v>
      </c>
      <c r="BQ33" s="186">
        <v>0</v>
      </c>
      <c r="BR33" s="186">
        <v>1</v>
      </c>
      <c r="BS33" s="186">
        <v>0</v>
      </c>
      <c r="BT33" s="186">
        <v>0</v>
      </c>
      <c r="BU33" s="186">
        <v>1</v>
      </c>
      <c r="BV33" s="186">
        <v>0</v>
      </c>
      <c r="BW33" s="186">
        <v>0</v>
      </c>
      <c r="BX33" s="186">
        <v>0</v>
      </c>
      <c r="BY33" s="179">
        <f t="shared" si="32"/>
        <v>2</v>
      </c>
      <c r="BZ33" s="179">
        <f t="shared" si="33"/>
        <v>5</v>
      </c>
      <c r="CA33" s="185">
        <f t="shared" si="34"/>
        <v>7</v>
      </c>
    </row>
    <row r="34" spans="1:79" ht="80.099999999999994" customHeight="1">
      <c r="A34" s="173">
        <v>26</v>
      </c>
      <c r="B34" s="143" t="s">
        <v>143</v>
      </c>
      <c r="C34" s="143" t="s">
        <v>85</v>
      </c>
      <c r="D34" s="147"/>
      <c r="E34" s="144">
        <f>(F34*2)+F34*0.25</f>
        <v>56.25</v>
      </c>
      <c r="F34" s="147">
        <v>25</v>
      </c>
      <c r="G34" s="186">
        <v>1</v>
      </c>
      <c r="H34" s="186">
        <v>0</v>
      </c>
      <c r="I34" s="173">
        <f t="shared" si="35"/>
        <v>1</v>
      </c>
      <c r="J34" s="173">
        <v>1</v>
      </c>
      <c r="K34" s="173">
        <f t="shared" si="21"/>
        <v>0</v>
      </c>
      <c r="L34" s="186">
        <v>0</v>
      </c>
      <c r="M34" s="186">
        <v>0</v>
      </c>
      <c r="N34" s="173">
        <f t="shared" si="36"/>
        <v>0</v>
      </c>
      <c r="O34" s="186">
        <v>0</v>
      </c>
      <c r="P34" s="186">
        <v>0</v>
      </c>
      <c r="Q34" s="173">
        <f t="shared" si="37"/>
        <v>0</v>
      </c>
      <c r="R34" s="186">
        <v>0</v>
      </c>
      <c r="S34" s="186">
        <v>0</v>
      </c>
      <c r="T34" s="173">
        <f>SUM(R34:S34)</f>
        <v>0</v>
      </c>
      <c r="U34" s="173"/>
      <c r="V34" s="173"/>
      <c r="W34" s="173"/>
      <c r="X34" s="175">
        <f>I34/F34</f>
        <v>0.04</v>
      </c>
      <c r="Y34" s="175"/>
      <c r="Z34" s="175" t="e">
        <f>I34*4/(D34*0.0008)</f>
        <v>#DIV/0!</v>
      </c>
      <c r="AA34" s="178"/>
      <c r="AB34" s="178"/>
      <c r="AC34" s="178"/>
      <c r="AD34" s="186"/>
      <c r="AE34" s="186">
        <v>0</v>
      </c>
      <c r="AF34" s="186">
        <v>1</v>
      </c>
      <c r="AG34" s="186"/>
      <c r="AH34" s="186"/>
      <c r="AI34" s="178">
        <f>AE34+AF34</f>
        <v>1</v>
      </c>
      <c r="AJ34" s="178"/>
      <c r="AK34" s="173"/>
      <c r="AL34" s="173"/>
      <c r="AM34" s="186"/>
      <c r="AN34" s="186">
        <v>0</v>
      </c>
      <c r="AO34" s="186">
        <v>0</v>
      </c>
      <c r="AP34" s="186"/>
      <c r="AQ34" s="186"/>
      <c r="AR34" s="178">
        <f>AN34+AO34</f>
        <v>0</v>
      </c>
      <c r="AS34" s="179">
        <f t="shared" si="25"/>
        <v>1</v>
      </c>
      <c r="AT34" s="179">
        <f t="shared" si="26"/>
        <v>1</v>
      </c>
      <c r="AU34" s="180">
        <f t="shared" si="14"/>
        <v>2</v>
      </c>
      <c r="AV34" s="180">
        <v>1</v>
      </c>
      <c r="AW34" s="180">
        <v>1</v>
      </c>
      <c r="AX34" s="176">
        <f t="shared" si="3"/>
        <v>0.5</v>
      </c>
      <c r="AY34" s="176">
        <v>0.5</v>
      </c>
      <c r="AZ34" s="176">
        <f t="shared" si="4"/>
        <v>3.5555555555555556E-2</v>
      </c>
      <c r="BA34" s="175" t="e">
        <f t="shared" si="30"/>
        <v>#DIV/0!</v>
      </c>
      <c r="BB34" s="175">
        <f>(N34+Q34+T34)/AU34</f>
        <v>0</v>
      </c>
      <c r="BC34" s="187">
        <v>0</v>
      </c>
      <c r="BD34" s="188">
        <v>0</v>
      </c>
      <c r="BE34" s="189"/>
      <c r="BF34" s="199">
        <v>27</v>
      </c>
      <c r="BG34" s="143" t="s">
        <v>143</v>
      </c>
      <c r="BH34" s="143" t="s">
        <v>85</v>
      </c>
      <c r="BI34" s="219"/>
      <c r="BJ34" s="219"/>
      <c r="BK34" s="186">
        <v>0</v>
      </c>
      <c r="BL34" s="186">
        <v>0</v>
      </c>
      <c r="BM34" s="186">
        <v>1</v>
      </c>
      <c r="BN34" s="186">
        <v>0</v>
      </c>
      <c r="BO34" s="186">
        <v>0</v>
      </c>
      <c r="BP34" s="186">
        <v>0</v>
      </c>
      <c r="BQ34" s="186">
        <v>0</v>
      </c>
      <c r="BR34" s="186">
        <v>0</v>
      </c>
      <c r="BS34" s="186">
        <v>0</v>
      </c>
      <c r="BT34" s="186">
        <v>0</v>
      </c>
      <c r="BU34" s="186">
        <v>0</v>
      </c>
      <c r="BV34" s="186">
        <v>0</v>
      </c>
      <c r="BW34" s="186">
        <v>0</v>
      </c>
      <c r="BX34" s="186">
        <v>0</v>
      </c>
      <c r="BY34" s="179">
        <f t="shared" si="32"/>
        <v>1</v>
      </c>
      <c r="BZ34" s="179">
        <f t="shared" si="33"/>
        <v>0</v>
      </c>
      <c r="CA34" s="185">
        <f t="shared" si="34"/>
        <v>1</v>
      </c>
    </row>
    <row r="35" spans="1:79" ht="120.75" customHeight="1">
      <c r="A35" s="173">
        <v>28</v>
      </c>
      <c r="B35" s="143" t="s">
        <v>100</v>
      </c>
      <c r="C35" s="143"/>
      <c r="D35" s="147"/>
      <c r="E35" s="144">
        <f t="shared" si="8"/>
        <v>56.25</v>
      </c>
      <c r="F35" s="147">
        <v>25</v>
      </c>
      <c r="G35" s="186">
        <v>0</v>
      </c>
      <c r="H35" s="186">
        <v>4</v>
      </c>
      <c r="I35" s="173">
        <f t="shared" si="35"/>
        <v>4</v>
      </c>
      <c r="J35" s="173">
        <v>4</v>
      </c>
      <c r="K35" s="173">
        <f t="shared" si="21"/>
        <v>0</v>
      </c>
      <c r="L35" s="186">
        <v>0</v>
      </c>
      <c r="M35" s="186">
        <v>0</v>
      </c>
      <c r="N35" s="173">
        <f t="shared" si="36"/>
        <v>0</v>
      </c>
      <c r="O35" s="186">
        <v>0</v>
      </c>
      <c r="P35" s="186">
        <v>0</v>
      </c>
      <c r="Q35" s="173">
        <f t="shared" si="37"/>
        <v>0</v>
      </c>
      <c r="R35" s="186">
        <v>0</v>
      </c>
      <c r="S35" s="186">
        <v>0</v>
      </c>
      <c r="T35" s="173">
        <f>SUM(R35:S35)</f>
        <v>0</v>
      </c>
      <c r="U35" s="173"/>
      <c r="V35" s="173"/>
      <c r="W35" s="173"/>
      <c r="X35" s="175">
        <f t="shared" si="12"/>
        <v>0.16</v>
      </c>
      <c r="Y35" s="175"/>
      <c r="Z35" s="175" t="e">
        <f t="shared" si="38"/>
        <v>#DIV/0!</v>
      </c>
      <c r="AA35" s="178"/>
      <c r="AB35" s="178"/>
      <c r="AC35" s="178"/>
      <c r="AD35" s="186"/>
      <c r="AE35" s="186">
        <v>0</v>
      </c>
      <c r="AF35" s="186">
        <v>1</v>
      </c>
      <c r="AG35" s="186"/>
      <c r="AH35" s="186"/>
      <c r="AI35" s="178">
        <f t="shared" si="19"/>
        <v>1</v>
      </c>
      <c r="AJ35" s="178"/>
      <c r="AK35" s="173"/>
      <c r="AL35" s="173"/>
      <c r="AM35" s="186"/>
      <c r="AN35" s="186">
        <v>0</v>
      </c>
      <c r="AO35" s="186">
        <v>0</v>
      </c>
      <c r="AP35" s="186"/>
      <c r="AQ35" s="186"/>
      <c r="AR35" s="178">
        <f t="shared" si="20"/>
        <v>0</v>
      </c>
      <c r="AS35" s="179">
        <f t="shared" si="25"/>
        <v>0</v>
      </c>
      <c r="AT35" s="179">
        <f t="shared" si="26"/>
        <v>5</v>
      </c>
      <c r="AU35" s="180">
        <f t="shared" si="14"/>
        <v>5</v>
      </c>
      <c r="AV35" s="180">
        <v>0</v>
      </c>
      <c r="AW35" s="180">
        <v>5</v>
      </c>
      <c r="AX35" s="176">
        <f t="shared" si="3"/>
        <v>0.8</v>
      </c>
      <c r="AY35" s="176">
        <v>0.8</v>
      </c>
      <c r="AZ35" s="176">
        <f t="shared" si="4"/>
        <v>8.8888888888888892E-2</v>
      </c>
      <c r="BA35" s="175" t="e">
        <f t="shared" si="30"/>
        <v>#DIV/0!</v>
      </c>
      <c r="BB35" s="175">
        <f t="shared" si="39"/>
        <v>0</v>
      </c>
      <c r="BC35" s="187">
        <v>0</v>
      </c>
      <c r="BD35" s="188">
        <v>0</v>
      </c>
      <c r="BE35" s="189"/>
      <c r="BF35" s="184">
        <v>28</v>
      </c>
      <c r="BG35" s="143" t="s">
        <v>100</v>
      </c>
      <c r="BH35" s="143"/>
      <c r="BI35" s="219"/>
      <c r="BJ35" s="219"/>
      <c r="BK35" s="186"/>
      <c r="BL35" s="186"/>
      <c r="BM35" s="186"/>
      <c r="BN35" s="186">
        <v>1</v>
      </c>
      <c r="BO35" s="186"/>
      <c r="BP35" s="186"/>
      <c r="BQ35" s="186"/>
      <c r="BR35" s="186">
        <v>1</v>
      </c>
      <c r="BS35" s="186"/>
      <c r="BT35" s="186">
        <v>1</v>
      </c>
      <c r="BU35" s="186"/>
      <c r="BV35" s="186">
        <v>1</v>
      </c>
      <c r="BW35" s="186"/>
      <c r="BX35" s="186"/>
      <c r="BY35" s="179">
        <f t="shared" si="32"/>
        <v>0</v>
      </c>
      <c r="BZ35" s="179">
        <f t="shared" si="33"/>
        <v>4</v>
      </c>
      <c r="CA35" s="185">
        <f t="shared" si="34"/>
        <v>4</v>
      </c>
    </row>
    <row r="36" spans="1:79" ht="80.099999999999994" customHeight="1">
      <c r="A36" s="207"/>
      <c r="B36" s="160" t="s">
        <v>144</v>
      </c>
      <c r="C36" s="161" t="s">
        <v>101</v>
      </c>
      <c r="D36" s="162">
        <f>D33+D32+D31+D30+D29+D28+D26+D25+D24+D23+D22+D21+D19</f>
        <v>2000000</v>
      </c>
      <c r="E36" s="162">
        <f t="shared" ref="E36:S36" si="41">SUM(E19:E35)</f>
        <v>956.25</v>
      </c>
      <c r="F36" s="162">
        <f t="shared" si="41"/>
        <v>425</v>
      </c>
      <c r="G36" s="208">
        <f>SUM(G19:G35)</f>
        <v>65</v>
      </c>
      <c r="H36" s="208">
        <f>SUM(H19:H35)</f>
        <v>89</v>
      </c>
      <c r="I36" s="208">
        <f t="shared" si="41"/>
        <v>154</v>
      </c>
      <c r="J36" s="208">
        <v>154</v>
      </c>
      <c r="K36" s="173">
        <f t="shared" si="21"/>
        <v>24</v>
      </c>
      <c r="L36" s="208">
        <f t="shared" si="41"/>
        <v>7</v>
      </c>
      <c r="M36" s="208">
        <f t="shared" si="41"/>
        <v>11</v>
      </c>
      <c r="N36" s="208">
        <f t="shared" si="41"/>
        <v>18</v>
      </c>
      <c r="O36" s="208">
        <f t="shared" si="41"/>
        <v>2</v>
      </c>
      <c r="P36" s="208">
        <f t="shared" si="41"/>
        <v>0</v>
      </c>
      <c r="Q36" s="208">
        <f t="shared" si="41"/>
        <v>2</v>
      </c>
      <c r="R36" s="208">
        <f t="shared" si="41"/>
        <v>3</v>
      </c>
      <c r="S36" s="208">
        <f t="shared" si="41"/>
        <v>1</v>
      </c>
      <c r="T36" s="208">
        <v>4</v>
      </c>
      <c r="U36" s="208">
        <f>U35+U33+U32+U31+U30+U29+U28+U27+U26+U25+U24+U23+U22+U21+U20+U19</f>
        <v>0</v>
      </c>
      <c r="V36" s="208">
        <f>V35+V33+V32+V31+V30+V29+V28+V27+V26+V25+V24+V23+V22+V21+V20+V19</f>
        <v>0</v>
      </c>
      <c r="W36" s="208">
        <f>W35+W33+W32+W31+W30+W29+W28+W27+W26+W25+W24+W23+W22+W21+W20+W19</f>
        <v>0</v>
      </c>
      <c r="X36" s="175">
        <f t="shared" si="12"/>
        <v>0.3623529411764706</v>
      </c>
      <c r="Y36" s="175"/>
      <c r="Z36" s="209">
        <f t="shared" si="38"/>
        <v>0.38500000000000001</v>
      </c>
      <c r="AA36" s="208">
        <f t="shared" ref="AA36:AF36" si="42">AA35+AA33+AA32+AA31+AA30+AA29+AA28+AA27+AA26+AA25+AA24+AA23+AA22+AA21+AA20+AA19</f>
        <v>0</v>
      </c>
      <c r="AB36" s="208">
        <f t="shared" si="42"/>
        <v>0</v>
      </c>
      <c r="AC36" s="208">
        <f t="shared" si="42"/>
        <v>0</v>
      </c>
      <c r="AD36" s="208">
        <f t="shared" si="42"/>
        <v>0</v>
      </c>
      <c r="AE36" s="208">
        <f t="shared" si="42"/>
        <v>47</v>
      </c>
      <c r="AF36" s="208">
        <f t="shared" si="42"/>
        <v>82</v>
      </c>
      <c r="AG36" s="208"/>
      <c r="AH36" s="208"/>
      <c r="AI36" s="178">
        <f t="shared" si="19"/>
        <v>129</v>
      </c>
      <c r="AJ36" s="208">
        <f>AJ35+AJ33+AJ32+AJ31+AJ30+AJ29+AJ28+AJ27+AJ26+AJ25+AJ24+AJ23+AJ22+AJ21+AJ20+AJ19</f>
        <v>0</v>
      </c>
      <c r="AK36" s="208">
        <f>AK35+AK33+AK32+AK31+AK30+AK29+AK28+AK27+AK26+AK25+AK24+AK23+AK22+AK21+AK20+AK19</f>
        <v>0</v>
      </c>
      <c r="AL36" s="208">
        <f>AL35+AL33+AL32+AL31+AL30+AL29+AL28+AL27+AL26+AL25+AL24+AL23+AL22+AL21+AL20+AL19</f>
        <v>0</v>
      </c>
      <c r="AM36" s="208">
        <f>AM35+AM33+AM32+AM31+AM30+AM29+AM28+AM27+AM26+AM25+AM24+AM23+AM22+AM21+AM20+AM19</f>
        <v>0</v>
      </c>
      <c r="AN36" s="208">
        <f>SUM(AN19:AN35)</f>
        <v>32</v>
      </c>
      <c r="AO36" s="208">
        <f>SUM(AO19:AO35)</f>
        <v>62</v>
      </c>
      <c r="AP36" s="208"/>
      <c r="AQ36" s="208"/>
      <c r="AR36" s="178">
        <f>SUM(AR19:AR35)</f>
        <v>94</v>
      </c>
      <c r="AS36" s="179">
        <f>SUM(AS19:AS35)</f>
        <v>156</v>
      </c>
      <c r="AT36" s="179">
        <f>SUM(AT19:AT35)</f>
        <v>246</v>
      </c>
      <c r="AU36" s="180">
        <f t="shared" si="14"/>
        <v>402</v>
      </c>
      <c r="AV36" s="180">
        <v>156</v>
      </c>
      <c r="AW36" s="180">
        <v>246</v>
      </c>
      <c r="AX36" s="176">
        <f t="shared" si="3"/>
        <v>0.54416961130742048</v>
      </c>
      <c r="AY36" s="176">
        <v>0.54</v>
      </c>
      <c r="AZ36" s="176">
        <f t="shared" si="4"/>
        <v>0.42039215686274511</v>
      </c>
      <c r="BA36" s="175">
        <f t="shared" si="30"/>
        <v>0.45423728813559322</v>
      </c>
      <c r="BB36" s="175">
        <f t="shared" si="39"/>
        <v>5.9701492537313432E-2</v>
      </c>
      <c r="BC36" s="187">
        <f t="shared" si="40"/>
        <v>30.8</v>
      </c>
      <c r="BD36" s="188">
        <f>AU36*4/D36*100000</f>
        <v>80.400000000000006</v>
      </c>
      <c r="BE36" s="189"/>
      <c r="BF36" s="210"/>
      <c r="BG36" s="160" t="s">
        <v>144</v>
      </c>
      <c r="BH36" s="161" t="s">
        <v>101</v>
      </c>
      <c r="BI36" s="219">
        <f>BI35+BI33+BI32+BI31+BI30+BI29+BI28+BI27+BI26+BI25+BI24+BI23+BI22+BI21+BI20+BI19</f>
        <v>0</v>
      </c>
      <c r="BJ36" s="219">
        <f>BJ35+BJ33+BJ32+BJ31+BJ30+BJ29+BJ28+BJ27+BJ26+BJ25+BJ24+BJ23+BJ22+BJ21+BJ20+BJ19</f>
        <v>0</v>
      </c>
      <c r="BK36" s="208">
        <f t="shared" ref="BK36:CA36" si="43">SUM(BK19:BK35)</f>
        <v>2</v>
      </c>
      <c r="BL36" s="208">
        <f t="shared" si="43"/>
        <v>8</v>
      </c>
      <c r="BM36" s="208">
        <f t="shared" si="43"/>
        <v>20</v>
      </c>
      <c r="BN36" s="208">
        <f t="shared" si="43"/>
        <v>40</v>
      </c>
      <c r="BO36" s="208">
        <f t="shared" si="43"/>
        <v>23</v>
      </c>
      <c r="BP36" s="208">
        <f t="shared" si="43"/>
        <v>18</v>
      </c>
      <c r="BQ36" s="208">
        <f t="shared" si="43"/>
        <v>7</v>
      </c>
      <c r="BR36" s="208">
        <f t="shared" si="43"/>
        <v>16</v>
      </c>
      <c r="BS36" s="208">
        <f t="shared" si="43"/>
        <v>9</v>
      </c>
      <c r="BT36" s="208">
        <f t="shared" si="43"/>
        <v>5</v>
      </c>
      <c r="BU36" s="208">
        <f t="shared" si="43"/>
        <v>3</v>
      </c>
      <c r="BV36" s="208">
        <f t="shared" si="43"/>
        <v>2</v>
      </c>
      <c r="BW36" s="208">
        <f t="shared" si="43"/>
        <v>1</v>
      </c>
      <c r="BX36" s="208">
        <f t="shared" si="43"/>
        <v>0</v>
      </c>
      <c r="BY36" s="208">
        <f t="shared" si="43"/>
        <v>65</v>
      </c>
      <c r="BZ36" s="208">
        <f t="shared" si="43"/>
        <v>89</v>
      </c>
      <c r="CA36" s="208">
        <f t="shared" si="43"/>
        <v>154</v>
      </c>
    </row>
    <row r="37" spans="1:79" ht="80.099999999999994" customHeight="1">
      <c r="A37" s="163" t="s">
        <v>111</v>
      </c>
      <c r="B37" s="164" t="s">
        <v>112</v>
      </c>
      <c r="C37" s="165" t="s">
        <v>113</v>
      </c>
      <c r="D37" s="166">
        <f t="shared" ref="D37:I37" si="44">D36+D18+D14</f>
        <v>3620000</v>
      </c>
      <c r="E37" s="166">
        <f t="shared" si="44"/>
        <v>1687.5</v>
      </c>
      <c r="F37" s="166">
        <f t="shared" si="44"/>
        <v>750</v>
      </c>
      <c r="G37" s="211">
        <f t="shared" si="44"/>
        <v>142</v>
      </c>
      <c r="H37" s="211">
        <f t="shared" si="44"/>
        <v>166</v>
      </c>
      <c r="I37" s="211">
        <f t="shared" si="44"/>
        <v>308</v>
      </c>
      <c r="J37" s="211">
        <v>308</v>
      </c>
      <c r="K37" s="173">
        <f t="shared" si="21"/>
        <v>38</v>
      </c>
      <c r="L37" s="211">
        <f t="shared" ref="L37:W37" si="45">L36+L18+L14</f>
        <v>16</v>
      </c>
      <c r="M37" s="211">
        <f t="shared" si="45"/>
        <v>16</v>
      </c>
      <c r="N37" s="211">
        <f t="shared" si="45"/>
        <v>32</v>
      </c>
      <c r="O37" s="211">
        <f t="shared" si="45"/>
        <v>2</v>
      </c>
      <c r="P37" s="211">
        <f t="shared" si="45"/>
        <v>0</v>
      </c>
      <c r="Q37" s="211">
        <f t="shared" si="45"/>
        <v>2</v>
      </c>
      <c r="R37" s="211">
        <f t="shared" si="45"/>
        <v>3</v>
      </c>
      <c r="S37" s="211">
        <f t="shared" si="45"/>
        <v>1</v>
      </c>
      <c r="T37" s="211">
        <f t="shared" si="45"/>
        <v>4</v>
      </c>
      <c r="U37" s="211">
        <f t="shared" si="45"/>
        <v>0</v>
      </c>
      <c r="V37" s="211">
        <f t="shared" si="45"/>
        <v>0</v>
      </c>
      <c r="W37" s="211">
        <f t="shared" si="45"/>
        <v>107</v>
      </c>
      <c r="X37" s="175">
        <f t="shared" si="12"/>
        <v>0.41066666666666668</v>
      </c>
      <c r="Y37" s="175"/>
      <c r="Z37" s="209">
        <f t="shared" si="38"/>
        <v>0.425414364640884</v>
      </c>
      <c r="AA37" s="211">
        <f t="shared" ref="AA37:AF37" si="46">AA36+AA18+AA14</f>
        <v>0</v>
      </c>
      <c r="AB37" s="211">
        <f t="shared" si="46"/>
        <v>0</v>
      </c>
      <c r="AC37" s="211">
        <f t="shared" si="46"/>
        <v>0</v>
      </c>
      <c r="AD37" s="211">
        <f t="shared" si="46"/>
        <v>0</v>
      </c>
      <c r="AE37" s="211">
        <f t="shared" si="46"/>
        <v>82</v>
      </c>
      <c r="AF37" s="211">
        <f t="shared" si="46"/>
        <v>134</v>
      </c>
      <c r="AG37" s="211"/>
      <c r="AH37" s="211"/>
      <c r="AI37" s="178">
        <f t="shared" si="19"/>
        <v>216</v>
      </c>
      <c r="AJ37" s="211">
        <f t="shared" ref="AJ37:AO37" si="47">AJ36+AJ18+AJ14</f>
        <v>0</v>
      </c>
      <c r="AK37" s="211">
        <f t="shared" si="47"/>
        <v>0</v>
      </c>
      <c r="AL37" s="211">
        <f t="shared" si="47"/>
        <v>0</v>
      </c>
      <c r="AM37" s="211">
        <f t="shared" si="47"/>
        <v>0</v>
      </c>
      <c r="AN37" s="211">
        <f t="shared" si="47"/>
        <v>54</v>
      </c>
      <c r="AO37" s="211">
        <f t="shared" si="47"/>
        <v>97</v>
      </c>
      <c r="AP37" s="211"/>
      <c r="AQ37" s="211"/>
      <c r="AR37" s="178">
        <f t="shared" si="20"/>
        <v>151</v>
      </c>
      <c r="AS37" s="179">
        <f>AN37+AL37+AJ37+AE37+AC37+AA37+U37+R37+O37+L37+G37</f>
        <v>299</v>
      </c>
      <c r="AT37" s="179">
        <f>AO37+AM37+AK37+AF37+AD37+AB37+V37+S37+P37+M37+H37</f>
        <v>414</v>
      </c>
      <c r="AU37" s="180">
        <f t="shared" si="14"/>
        <v>713</v>
      </c>
      <c r="AV37" s="180">
        <v>299</v>
      </c>
      <c r="AW37" s="180">
        <v>414</v>
      </c>
      <c r="AX37" s="176">
        <f t="shared" si="3"/>
        <v>0.58778625954198471</v>
      </c>
      <c r="AY37" s="176">
        <v>0.59</v>
      </c>
      <c r="AZ37" s="176">
        <f t="shared" si="4"/>
        <v>0.42251851851851852</v>
      </c>
      <c r="BA37" s="212">
        <f t="shared" si="30"/>
        <v>0.44511034116802445</v>
      </c>
      <c r="BB37" s="212">
        <f t="shared" si="39"/>
        <v>5.3295932678821878E-2</v>
      </c>
      <c r="BC37" s="213">
        <f t="shared" si="40"/>
        <v>34.033149171270722</v>
      </c>
      <c r="BD37" s="214">
        <f>AU37*4/D37*100000</f>
        <v>78.784530386740329</v>
      </c>
      <c r="BE37" s="215"/>
      <c r="BF37" s="216" t="s">
        <v>111</v>
      </c>
      <c r="BG37" s="211"/>
      <c r="BH37" s="211"/>
      <c r="BI37" s="220">
        <f t="shared" ref="BI37:CA37" si="48">BI36+BI18+BI14</f>
        <v>0</v>
      </c>
      <c r="BJ37" s="220">
        <f t="shared" si="48"/>
        <v>0</v>
      </c>
      <c r="BK37" s="211">
        <f t="shared" si="48"/>
        <v>3</v>
      </c>
      <c r="BL37" s="211">
        <f t="shared" si="48"/>
        <v>16</v>
      </c>
      <c r="BM37" s="211">
        <f t="shared" si="48"/>
        <v>50</v>
      </c>
      <c r="BN37" s="211">
        <f t="shared" si="48"/>
        <v>74</v>
      </c>
      <c r="BO37" s="211">
        <f t="shared" si="48"/>
        <v>38</v>
      </c>
      <c r="BP37" s="211">
        <f t="shared" si="48"/>
        <v>30</v>
      </c>
      <c r="BQ37" s="211">
        <f t="shared" si="48"/>
        <v>16</v>
      </c>
      <c r="BR37" s="211">
        <f t="shared" si="48"/>
        <v>26</v>
      </c>
      <c r="BS37" s="211">
        <f t="shared" si="48"/>
        <v>19</v>
      </c>
      <c r="BT37" s="211">
        <f t="shared" si="48"/>
        <v>12</v>
      </c>
      <c r="BU37" s="211">
        <f t="shared" si="48"/>
        <v>11</v>
      </c>
      <c r="BV37" s="211">
        <f t="shared" si="48"/>
        <v>4</v>
      </c>
      <c r="BW37" s="211">
        <f t="shared" si="48"/>
        <v>5</v>
      </c>
      <c r="BX37" s="211">
        <f t="shared" si="48"/>
        <v>4</v>
      </c>
      <c r="BY37" s="211">
        <f t="shared" si="48"/>
        <v>142</v>
      </c>
      <c r="BZ37" s="211">
        <f t="shared" si="48"/>
        <v>166</v>
      </c>
      <c r="CA37" s="211">
        <f t="shared" si="48"/>
        <v>308</v>
      </c>
    </row>
    <row r="38" spans="1:79" ht="80.099999999999994" customHeight="1">
      <c r="A38" s="217"/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21"/>
      <c r="BJ38" s="221"/>
      <c r="BK38" s="217"/>
      <c r="BL38" s="217"/>
      <c r="BM38" s="217"/>
      <c r="BN38" s="217"/>
      <c r="BO38" s="217"/>
      <c r="BP38" s="217"/>
      <c r="BQ38" s="217"/>
      <c r="BR38" s="217"/>
      <c r="BS38" s="217"/>
      <c r="BT38" s="217"/>
      <c r="BU38" s="217"/>
      <c r="BV38" s="217"/>
      <c r="BW38" s="217"/>
      <c r="BX38" s="217"/>
      <c r="BY38" s="217"/>
      <c r="BZ38" s="217"/>
      <c r="CA38" s="217"/>
    </row>
    <row r="39" spans="1:79" ht="80.099999999999994" customHeight="1">
      <c r="A39" s="217"/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21"/>
      <c r="BJ39" s="221"/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7"/>
    </row>
    <row r="40" spans="1:79" ht="80.099999999999994" customHeight="1">
      <c r="A40" s="869" t="s">
        <v>40</v>
      </c>
      <c r="B40" s="870"/>
      <c r="C40" s="171"/>
      <c r="D40" s="172"/>
      <c r="E40" s="172">
        <f>E37*4</f>
        <v>6750</v>
      </c>
      <c r="F40" s="133">
        <f>F37*4</f>
        <v>3000</v>
      </c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872" t="s">
        <v>40</v>
      </c>
      <c r="BG40" s="873"/>
      <c r="BH40" s="171"/>
      <c r="BI40" s="222"/>
      <c r="BJ40" s="22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</row>
    <row r="41" spans="1:79" ht="80.099999999999994" customHeight="1">
      <c r="A41" s="887" t="s">
        <v>106</v>
      </c>
      <c r="B41" s="887"/>
      <c r="C41" s="125"/>
      <c r="D41" s="126">
        <f>E41-E40</f>
        <v>-226</v>
      </c>
      <c r="E41" s="126">
        <v>6524</v>
      </c>
      <c r="F41" s="126"/>
      <c r="G41" s="864" t="s">
        <v>34</v>
      </c>
      <c r="H41" s="864"/>
      <c r="I41" s="864"/>
      <c r="J41" s="864"/>
      <c r="K41" s="864"/>
      <c r="L41" s="864"/>
      <c r="M41" s="864"/>
      <c r="N41" s="864"/>
      <c r="O41" s="864"/>
      <c r="P41" s="864"/>
      <c r="Q41" s="864"/>
      <c r="R41" s="864"/>
      <c r="S41" s="864"/>
      <c r="T41" s="864"/>
      <c r="U41" s="127"/>
      <c r="V41" s="127"/>
      <c r="W41" s="127"/>
      <c r="X41" s="127"/>
      <c r="Y41" s="127"/>
      <c r="Z41" s="128"/>
      <c r="AA41" s="864" t="s">
        <v>28</v>
      </c>
      <c r="AB41" s="864"/>
      <c r="AC41" s="864"/>
      <c r="AD41" s="864"/>
      <c r="AE41" s="864"/>
      <c r="AF41" s="864"/>
      <c r="AG41" s="864"/>
      <c r="AH41" s="864"/>
      <c r="AI41" s="864"/>
      <c r="AJ41" s="864" t="s">
        <v>35</v>
      </c>
      <c r="AK41" s="864"/>
      <c r="AL41" s="864"/>
      <c r="AM41" s="864"/>
      <c r="AN41" s="864"/>
      <c r="AO41" s="864"/>
      <c r="AP41" s="864"/>
      <c r="AQ41" s="864"/>
      <c r="AR41" s="864"/>
      <c r="AS41" s="129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1"/>
      <c r="BE41" s="130"/>
      <c r="BF41" s="874" t="s">
        <v>106</v>
      </c>
      <c r="BG41" s="875"/>
      <c r="BH41" s="132"/>
      <c r="BI41" s="223"/>
      <c r="BJ41" s="223"/>
      <c r="BK41" s="133"/>
      <c r="BL41" s="133"/>
      <c r="BM41" s="133"/>
      <c r="BN41" s="133"/>
      <c r="BO41" s="133"/>
      <c r="BP41" s="133"/>
      <c r="BQ41" s="133"/>
      <c r="BR41" s="133"/>
      <c r="BS41" s="133"/>
      <c r="BT41" s="133"/>
      <c r="BU41" s="133"/>
      <c r="BV41" s="133"/>
      <c r="BW41" s="133"/>
      <c r="BX41" s="133"/>
      <c r="BY41" s="133"/>
      <c r="BZ41" s="133"/>
      <c r="CA41" s="133"/>
    </row>
    <row r="42" spans="1:79" ht="80.099999999999994" customHeight="1">
      <c r="A42" s="868" t="s">
        <v>2</v>
      </c>
      <c r="B42" s="868"/>
      <c r="C42" s="134"/>
      <c r="D42" s="135"/>
      <c r="E42" s="135"/>
      <c r="F42" s="135"/>
      <c r="G42" s="864" t="s">
        <v>10</v>
      </c>
      <c r="H42" s="864"/>
      <c r="I42" s="864"/>
      <c r="J42" s="121"/>
      <c r="K42" s="121"/>
      <c r="L42" s="864" t="s">
        <v>29</v>
      </c>
      <c r="M42" s="864"/>
      <c r="N42" s="864"/>
      <c r="O42" s="864"/>
      <c r="P42" s="864"/>
      <c r="Q42" s="864"/>
      <c r="R42" s="864"/>
      <c r="S42" s="864"/>
      <c r="T42" s="864"/>
      <c r="U42" s="136"/>
      <c r="V42" s="136"/>
      <c r="W42" s="136"/>
      <c r="X42" s="136"/>
      <c r="Y42" s="136"/>
      <c r="Z42" s="137"/>
      <c r="AA42" s="864" t="s">
        <v>12</v>
      </c>
      <c r="AB42" s="864"/>
      <c r="AC42" s="864"/>
      <c r="AD42" s="864"/>
      <c r="AE42" s="864"/>
      <c r="AF42" s="864"/>
      <c r="AG42" s="864"/>
      <c r="AH42" s="864"/>
      <c r="AI42" s="864"/>
      <c r="AJ42" s="864"/>
      <c r="AK42" s="864"/>
      <c r="AL42" s="864"/>
      <c r="AM42" s="864"/>
      <c r="AN42" s="864"/>
      <c r="AO42" s="864"/>
      <c r="AP42" s="864"/>
      <c r="AQ42" s="864"/>
      <c r="AR42" s="864"/>
      <c r="AS42" s="134"/>
      <c r="AT42" s="138"/>
      <c r="AU42" s="138"/>
      <c r="AV42" s="138"/>
      <c r="AW42" s="138"/>
      <c r="AX42" s="139"/>
      <c r="AY42" s="139"/>
      <c r="AZ42" s="139"/>
      <c r="BA42" s="139"/>
      <c r="BB42" s="139"/>
      <c r="BC42" s="139"/>
      <c r="BD42" s="140"/>
      <c r="BE42" s="139"/>
      <c r="BF42" s="876" t="s">
        <v>3</v>
      </c>
      <c r="BG42" s="877"/>
      <c r="BH42" s="141"/>
      <c r="BI42" s="223"/>
      <c r="BJ42" s="22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3"/>
      <c r="BY42" s="133"/>
      <c r="BZ42" s="133"/>
      <c r="CA42" s="133"/>
    </row>
    <row r="43" spans="1:79" ht="80.099999999999994" customHeight="1">
      <c r="A43" s="868" t="s">
        <v>0</v>
      </c>
      <c r="B43" s="878" t="s">
        <v>42</v>
      </c>
      <c r="C43" s="878" t="s">
        <v>43</v>
      </c>
      <c r="D43" s="868" t="s">
        <v>44</v>
      </c>
      <c r="E43" s="880" t="s">
        <v>136</v>
      </c>
      <c r="F43" s="880" t="s">
        <v>131</v>
      </c>
      <c r="G43" s="864"/>
      <c r="H43" s="864"/>
      <c r="I43" s="864"/>
      <c r="J43" s="121"/>
      <c r="K43" s="121"/>
      <c r="L43" s="864" t="s">
        <v>11</v>
      </c>
      <c r="M43" s="864"/>
      <c r="N43" s="864"/>
      <c r="O43" s="864" t="s">
        <v>38</v>
      </c>
      <c r="P43" s="864"/>
      <c r="Q43" s="864"/>
      <c r="R43" s="864" t="s">
        <v>39</v>
      </c>
      <c r="S43" s="864"/>
      <c r="T43" s="864"/>
      <c r="U43" s="865" t="s">
        <v>47</v>
      </c>
      <c r="V43" s="866"/>
      <c r="W43" s="867"/>
      <c r="X43" s="119"/>
      <c r="Y43" s="888" t="s">
        <v>137</v>
      </c>
      <c r="Z43" s="864" t="s">
        <v>13</v>
      </c>
      <c r="AA43" s="868" t="s">
        <v>30</v>
      </c>
      <c r="AB43" s="868"/>
      <c r="AC43" s="868" t="s">
        <v>23</v>
      </c>
      <c r="AD43" s="868"/>
      <c r="AE43" s="868" t="s">
        <v>31</v>
      </c>
      <c r="AF43" s="868"/>
      <c r="AG43" s="291"/>
      <c r="AH43" s="291"/>
      <c r="AI43" s="868" t="s">
        <v>32</v>
      </c>
      <c r="AJ43" s="868" t="s">
        <v>30</v>
      </c>
      <c r="AK43" s="868"/>
      <c r="AL43" s="868" t="s">
        <v>23</v>
      </c>
      <c r="AM43" s="868"/>
      <c r="AN43" s="868" t="s">
        <v>31</v>
      </c>
      <c r="AO43" s="868"/>
      <c r="AP43" s="291"/>
      <c r="AQ43" s="291"/>
      <c r="AR43" s="868" t="s">
        <v>32</v>
      </c>
      <c r="AS43" s="864" t="s">
        <v>33</v>
      </c>
      <c r="AT43" s="864"/>
      <c r="AU43" s="864"/>
      <c r="AV43" s="121"/>
      <c r="AW43" s="121"/>
      <c r="AX43" s="882" t="s">
        <v>22</v>
      </c>
      <c r="AY43" s="122"/>
      <c r="AZ43" s="864" t="s">
        <v>150</v>
      </c>
      <c r="BA43" s="864" t="s">
        <v>14</v>
      </c>
      <c r="BB43" s="864" t="s">
        <v>18</v>
      </c>
      <c r="BC43" s="864" t="s">
        <v>19</v>
      </c>
      <c r="BD43" s="864" t="s">
        <v>20</v>
      </c>
      <c r="BE43" s="119"/>
      <c r="BF43" s="877" t="s">
        <v>0</v>
      </c>
      <c r="BG43" s="878" t="s">
        <v>42</v>
      </c>
      <c r="BH43" s="878" t="s">
        <v>43</v>
      </c>
      <c r="BI43" s="886" t="s">
        <v>36</v>
      </c>
      <c r="BJ43" s="886"/>
      <c r="BK43" s="885" t="s">
        <v>37</v>
      </c>
      <c r="BL43" s="885"/>
      <c r="BM43" s="868" t="s">
        <v>4</v>
      </c>
      <c r="BN43" s="868"/>
      <c r="BO43" s="868" t="s">
        <v>5</v>
      </c>
      <c r="BP43" s="868"/>
      <c r="BQ43" s="868" t="s">
        <v>6</v>
      </c>
      <c r="BR43" s="868"/>
      <c r="BS43" s="868" t="s">
        <v>7</v>
      </c>
      <c r="BT43" s="868"/>
      <c r="BU43" s="868" t="s">
        <v>8</v>
      </c>
      <c r="BV43" s="868"/>
      <c r="BW43" s="868" t="s">
        <v>9</v>
      </c>
      <c r="BX43" s="868"/>
      <c r="BY43" s="868" t="s">
        <v>21</v>
      </c>
      <c r="BZ43" s="868"/>
      <c r="CA43" s="868"/>
    </row>
    <row r="44" spans="1:79" ht="80.099999999999994" customHeight="1">
      <c r="A44" s="868"/>
      <c r="B44" s="879"/>
      <c r="C44" s="879"/>
      <c r="D44" s="868"/>
      <c r="E44" s="881"/>
      <c r="F44" s="881"/>
      <c r="G44" s="121" t="s">
        <v>16</v>
      </c>
      <c r="H44" s="121" t="s">
        <v>17</v>
      </c>
      <c r="I44" s="121" t="s">
        <v>32</v>
      </c>
      <c r="J44" s="121"/>
      <c r="K44" s="121"/>
      <c r="L44" s="121" t="s">
        <v>16</v>
      </c>
      <c r="M44" s="121" t="s">
        <v>17</v>
      </c>
      <c r="N44" s="121" t="s">
        <v>32</v>
      </c>
      <c r="O44" s="121" t="s">
        <v>16</v>
      </c>
      <c r="P44" s="121" t="s">
        <v>17</v>
      </c>
      <c r="Q44" s="121" t="s">
        <v>32</v>
      </c>
      <c r="R44" s="121" t="s">
        <v>16</v>
      </c>
      <c r="S44" s="121" t="s">
        <v>17</v>
      </c>
      <c r="T44" s="121" t="s">
        <v>32</v>
      </c>
      <c r="U44" s="121" t="s">
        <v>16</v>
      </c>
      <c r="V44" s="121" t="s">
        <v>17</v>
      </c>
      <c r="W44" s="121" t="s">
        <v>32</v>
      </c>
      <c r="X44" s="121"/>
      <c r="Y44" s="889"/>
      <c r="Z44" s="864"/>
      <c r="AA44" s="121" t="s">
        <v>16</v>
      </c>
      <c r="AB44" s="121" t="s">
        <v>17</v>
      </c>
      <c r="AC44" s="121" t="s">
        <v>16</v>
      </c>
      <c r="AD44" s="121" t="s">
        <v>17</v>
      </c>
      <c r="AE44" s="121" t="s">
        <v>16</v>
      </c>
      <c r="AF44" s="121" t="s">
        <v>17</v>
      </c>
      <c r="AG44" s="121"/>
      <c r="AH44" s="121"/>
      <c r="AI44" s="868"/>
      <c r="AJ44" s="121" t="s">
        <v>16</v>
      </c>
      <c r="AK44" s="121" t="s">
        <v>17</v>
      </c>
      <c r="AL44" s="121" t="s">
        <v>16</v>
      </c>
      <c r="AM44" s="121" t="s">
        <v>17</v>
      </c>
      <c r="AN44" s="121" t="s">
        <v>16</v>
      </c>
      <c r="AO44" s="121" t="s">
        <v>17</v>
      </c>
      <c r="AP44" s="121"/>
      <c r="AQ44" s="121"/>
      <c r="AR44" s="868"/>
      <c r="AS44" s="121" t="s">
        <v>16</v>
      </c>
      <c r="AT44" s="121" t="s">
        <v>17</v>
      </c>
      <c r="AU44" s="121" t="s">
        <v>32</v>
      </c>
      <c r="AV44" s="121"/>
      <c r="AW44" s="121"/>
      <c r="AX44" s="882"/>
      <c r="AY44" s="122"/>
      <c r="AZ44" s="864"/>
      <c r="BA44" s="864"/>
      <c r="BB44" s="864"/>
      <c r="BC44" s="864"/>
      <c r="BD44" s="864"/>
      <c r="BE44" s="119"/>
      <c r="BF44" s="877"/>
      <c r="BG44" s="879"/>
      <c r="BH44" s="879"/>
      <c r="BI44" s="218" t="s">
        <v>16</v>
      </c>
      <c r="BJ44" s="218" t="s">
        <v>17</v>
      </c>
      <c r="BK44" s="121" t="s">
        <v>16</v>
      </c>
      <c r="BL44" s="121" t="s">
        <v>17</v>
      </c>
      <c r="BM44" s="121" t="s">
        <v>16</v>
      </c>
      <c r="BN44" s="121" t="s">
        <v>17</v>
      </c>
      <c r="BO44" s="121" t="s">
        <v>16</v>
      </c>
      <c r="BP44" s="121" t="s">
        <v>17</v>
      </c>
      <c r="BQ44" s="121" t="s">
        <v>16</v>
      </c>
      <c r="BR44" s="121" t="s">
        <v>17</v>
      </c>
      <c r="BS44" s="121" t="s">
        <v>16</v>
      </c>
      <c r="BT44" s="121" t="s">
        <v>17</v>
      </c>
      <c r="BU44" s="121" t="s">
        <v>16</v>
      </c>
      <c r="BV44" s="121" t="s">
        <v>17</v>
      </c>
      <c r="BW44" s="121" t="s">
        <v>16</v>
      </c>
      <c r="BX44" s="121" t="s">
        <v>17</v>
      </c>
      <c r="BY44" s="121" t="s">
        <v>16</v>
      </c>
      <c r="BZ44" s="121" t="s">
        <v>17</v>
      </c>
      <c r="CA44" s="120" t="s">
        <v>32</v>
      </c>
    </row>
    <row r="45" spans="1:79" ht="80.099999999999994" customHeight="1">
      <c r="A45" s="173">
        <v>1</v>
      </c>
      <c r="B45" s="142" t="s">
        <v>61</v>
      </c>
      <c r="C45" s="143" t="s">
        <v>62</v>
      </c>
      <c r="D45" s="144">
        <v>100000</v>
      </c>
      <c r="E45" s="144">
        <f>(F45*2)+F45*0.25</f>
        <v>56.25</v>
      </c>
      <c r="F45" s="144">
        <v>25</v>
      </c>
      <c r="G45" s="174">
        <v>6</v>
      </c>
      <c r="H45" s="174">
        <v>3</v>
      </c>
      <c r="I45" s="173">
        <f t="shared" ref="I45:I52" si="49">SUM(G45:H45)</f>
        <v>9</v>
      </c>
      <c r="J45" s="173">
        <v>9</v>
      </c>
      <c r="K45" s="173">
        <f t="shared" ref="K45:K76" si="50">N45+Q45+T45</f>
        <v>5</v>
      </c>
      <c r="L45" s="174">
        <v>3</v>
      </c>
      <c r="M45" s="174">
        <v>2</v>
      </c>
      <c r="N45" s="173">
        <f t="shared" ref="N45:N52" si="51">SUM(L45:M45)</f>
        <v>5</v>
      </c>
      <c r="O45" s="174">
        <v>0</v>
      </c>
      <c r="P45" s="174">
        <v>0</v>
      </c>
      <c r="Q45" s="173">
        <f t="shared" ref="Q45:Q52" si="52">SUM(O45:P45)</f>
        <v>0</v>
      </c>
      <c r="R45" s="174">
        <v>0</v>
      </c>
      <c r="S45" s="174">
        <v>0</v>
      </c>
      <c r="T45" s="173">
        <f t="shared" ref="T45:T52" si="53">SUM(R45:S45)</f>
        <v>0</v>
      </c>
      <c r="U45" s="173"/>
      <c r="V45" s="173"/>
      <c r="W45" s="173"/>
      <c r="X45" s="173"/>
      <c r="Y45" s="175">
        <f>I45/F45</f>
        <v>0.36</v>
      </c>
      <c r="Z45" s="176">
        <f t="shared" ref="Z45:Z52" si="54">I45*4/(D45*0.0008)</f>
        <v>0.45</v>
      </c>
      <c r="AA45" s="174">
        <v>0</v>
      </c>
      <c r="AB45" s="174">
        <v>0</v>
      </c>
      <c r="AC45" s="174">
        <v>0</v>
      </c>
      <c r="AD45" s="174">
        <v>0</v>
      </c>
      <c r="AE45" s="174">
        <v>6</v>
      </c>
      <c r="AF45" s="174">
        <v>4</v>
      </c>
      <c r="AG45" s="174"/>
      <c r="AH45" s="174"/>
      <c r="AI45" s="178">
        <f t="shared" ref="AI45:AI76" si="55">AE45+AF45</f>
        <v>10</v>
      </c>
      <c r="AJ45" s="174">
        <v>0</v>
      </c>
      <c r="AK45" s="174">
        <v>0</v>
      </c>
      <c r="AL45" s="174">
        <v>0</v>
      </c>
      <c r="AM45" s="174">
        <v>0</v>
      </c>
      <c r="AN45" s="174">
        <v>1</v>
      </c>
      <c r="AO45" s="174">
        <v>3</v>
      </c>
      <c r="AP45" s="174"/>
      <c r="AQ45" s="174"/>
      <c r="AR45" s="178">
        <f t="shared" ref="AR45:AR76" si="56">AN45+AO45</f>
        <v>4</v>
      </c>
      <c r="AS45" s="179">
        <f t="shared" ref="AS45:AS74" si="57">AN45+AL45+AJ45+AE45+AC45+AA45+U45+R45+O45+L45+G45</f>
        <v>16</v>
      </c>
      <c r="AT45" s="179">
        <f t="shared" ref="AT45:AT74" si="58">AO45+AM45+AK45+AF45+AD45+AB45+V45+S45+P45+M45+H45</f>
        <v>12</v>
      </c>
      <c r="AU45" s="180">
        <f t="shared" ref="AU45:AU52" si="59">SUM(AS45:AT45)</f>
        <v>28</v>
      </c>
      <c r="AV45" s="180">
        <v>16</v>
      </c>
      <c r="AW45" s="180">
        <v>12</v>
      </c>
      <c r="AX45" s="176">
        <f t="shared" ref="AX45:AX76" si="60">(I45)/(I45+AI45)</f>
        <v>0.47368421052631576</v>
      </c>
      <c r="AY45" s="176">
        <v>0.47</v>
      </c>
      <c r="AZ45" s="176">
        <f t="shared" ref="AZ45:AZ76" si="61">AU45/E45</f>
        <v>0.49777777777777776</v>
      </c>
      <c r="BA45" s="176">
        <f t="shared" ref="BA45:BA52" si="62">AU45*4/(D45*0.00177)</f>
        <v>0.63276836158192096</v>
      </c>
      <c r="BB45" s="176">
        <f t="shared" ref="BB45:BB52" si="63">(N45+Q45+T45)/AU45</f>
        <v>0.17857142857142858</v>
      </c>
      <c r="BC45" s="181">
        <f t="shared" ref="BC45:BC52" si="64">I45*4/D45*100000</f>
        <v>36</v>
      </c>
      <c r="BD45" s="182">
        <f t="shared" ref="BD45:BD52" si="65">AU45*4/D45*100000</f>
        <v>111.99999999999999</v>
      </c>
      <c r="BE45" s="183"/>
      <c r="BF45" s="184">
        <v>1</v>
      </c>
      <c r="BG45" s="142" t="s">
        <v>61</v>
      </c>
      <c r="BH45" s="143" t="s">
        <v>62</v>
      </c>
      <c r="BI45" s="219"/>
      <c r="BJ45" s="219"/>
      <c r="BK45" s="174">
        <v>0</v>
      </c>
      <c r="BL45" s="174">
        <v>0</v>
      </c>
      <c r="BM45" s="174">
        <v>3</v>
      </c>
      <c r="BN45" s="174">
        <v>3</v>
      </c>
      <c r="BO45" s="174">
        <v>0</v>
      </c>
      <c r="BP45" s="174">
        <v>0</v>
      </c>
      <c r="BQ45" s="174">
        <v>2</v>
      </c>
      <c r="BR45" s="174">
        <v>0</v>
      </c>
      <c r="BS45" s="174">
        <v>1</v>
      </c>
      <c r="BT45" s="174">
        <v>0</v>
      </c>
      <c r="BU45" s="174">
        <v>0</v>
      </c>
      <c r="BV45" s="174">
        <v>0</v>
      </c>
      <c r="BW45" s="174">
        <v>0</v>
      </c>
      <c r="BX45" s="174">
        <v>0</v>
      </c>
      <c r="BY45" s="179">
        <f t="shared" ref="BY45:BZ52" si="66">BW45+BU45+BS45+BQ45+BO45+BM45+BK45+BI45</f>
        <v>6</v>
      </c>
      <c r="BZ45" s="179">
        <f t="shared" si="66"/>
        <v>3</v>
      </c>
      <c r="CA45" s="185">
        <f>BZ45+BY45</f>
        <v>9</v>
      </c>
    </row>
    <row r="46" spans="1:79" ht="80.099999999999994" customHeight="1">
      <c r="A46" s="173">
        <v>2</v>
      </c>
      <c r="B46" s="142" t="s">
        <v>63</v>
      </c>
      <c r="C46" s="143" t="s">
        <v>51</v>
      </c>
      <c r="D46" s="145">
        <v>100000</v>
      </c>
      <c r="E46" s="144">
        <f t="shared" ref="E46:E72" si="67">(F46*2)+F46*0.25</f>
        <v>56.25</v>
      </c>
      <c r="F46" s="145">
        <v>25</v>
      </c>
      <c r="G46" s="186">
        <v>4</v>
      </c>
      <c r="H46" s="186">
        <v>4</v>
      </c>
      <c r="I46" s="173">
        <f t="shared" si="49"/>
        <v>8</v>
      </c>
      <c r="J46" s="173">
        <v>8</v>
      </c>
      <c r="K46" s="173">
        <f t="shared" si="50"/>
        <v>1</v>
      </c>
      <c r="L46" s="174">
        <v>1</v>
      </c>
      <c r="M46" s="174">
        <v>0</v>
      </c>
      <c r="N46" s="173">
        <f t="shared" si="51"/>
        <v>1</v>
      </c>
      <c r="O46" s="174">
        <v>0</v>
      </c>
      <c r="P46" s="174">
        <v>0</v>
      </c>
      <c r="Q46" s="173">
        <f t="shared" si="52"/>
        <v>0</v>
      </c>
      <c r="R46" s="174">
        <v>0</v>
      </c>
      <c r="S46" s="174">
        <v>0</v>
      </c>
      <c r="T46" s="173">
        <f t="shared" si="53"/>
        <v>0</v>
      </c>
      <c r="U46" s="173"/>
      <c r="V46" s="173"/>
      <c r="W46" s="173"/>
      <c r="X46" s="173"/>
      <c r="Y46" s="175">
        <f t="shared" ref="Y46:Y76" si="68">I46/F46</f>
        <v>0.32</v>
      </c>
      <c r="Z46" s="175">
        <f t="shared" si="54"/>
        <v>0.4</v>
      </c>
      <c r="AA46" s="174">
        <v>0</v>
      </c>
      <c r="AB46" s="174">
        <v>0</v>
      </c>
      <c r="AC46" s="174">
        <v>0</v>
      </c>
      <c r="AD46" s="174">
        <v>0</v>
      </c>
      <c r="AE46" s="174">
        <v>0</v>
      </c>
      <c r="AF46" s="174">
        <v>2</v>
      </c>
      <c r="AG46" s="174"/>
      <c r="AH46" s="174"/>
      <c r="AI46" s="178">
        <f t="shared" si="55"/>
        <v>2</v>
      </c>
      <c r="AJ46" s="174">
        <v>0</v>
      </c>
      <c r="AK46" s="174">
        <v>0</v>
      </c>
      <c r="AL46" s="174">
        <v>0</v>
      </c>
      <c r="AM46" s="174">
        <v>0</v>
      </c>
      <c r="AN46" s="174">
        <v>0</v>
      </c>
      <c r="AO46" s="174">
        <v>2</v>
      </c>
      <c r="AP46" s="174"/>
      <c r="AQ46" s="174"/>
      <c r="AR46" s="178">
        <f t="shared" si="56"/>
        <v>2</v>
      </c>
      <c r="AS46" s="179">
        <f t="shared" si="57"/>
        <v>5</v>
      </c>
      <c r="AT46" s="179">
        <f t="shared" si="58"/>
        <v>8</v>
      </c>
      <c r="AU46" s="180">
        <f t="shared" si="59"/>
        <v>13</v>
      </c>
      <c r="AV46" s="180">
        <v>5</v>
      </c>
      <c r="AW46" s="180">
        <v>8</v>
      </c>
      <c r="AX46" s="176">
        <f t="shared" si="60"/>
        <v>0.8</v>
      </c>
      <c r="AY46" s="176">
        <v>0.8</v>
      </c>
      <c r="AZ46" s="176">
        <f t="shared" si="61"/>
        <v>0.2311111111111111</v>
      </c>
      <c r="BA46" s="175">
        <f t="shared" si="62"/>
        <v>0.29378531073446329</v>
      </c>
      <c r="BB46" s="175">
        <f t="shared" si="63"/>
        <v>7.6923076923076927E-2</v>
      </c>
      <c r="BC46" s="187">
        <f t="shared" si="64"/>
        <v>32</v>
      </c>
      <c r="BD46" s="188">
        <f t="shared" si="65"/>
        <v>51.999999999999993</v>
      </c>
      <c r="BE46" s="189"/>
      <c r="BF46" s="184">
        <v>2</v>
      </c>
      <c r="BG46" s="142" t="s">
        <v>63</v>
      </c>
      <c r="BH46" s="143" t="s">
        <v>51</v>
      </c>
      <c r="BI46" s="219"/>
      <c r="BJ46" s="219"/>
      <c r="BK46" s="174">
        <v>0</v>
      </c>
      <c r="BL46" s="174">
        <v>0</v>
      </c>
      <c r="BM46" s="174">
        <v>0</v>
      </c>
      <c r="BN46" s="174">
        <v>1</v>
      </c>
      <c r="BO46" s="174">
        <v>2</v>
      </c>
      <c r="BP46" s="174">
        <v>1</v>
      </c>
      <c r="BQ46" s="174">
        <v>0</v>
      </c>
      <c r="BR46" s="174">
        <v>1</v>
      </c>
      <c r="BS46" s="174">
        <v>0</v>
      </c>
      <c r="BT46" s="174">
        <v>1</v>
      </c>
      <c r="BU46" s="174">
        <v>2</v>
      </c>
      <c r="BV46" s="174">
        <v>0</v>
      </c>
      <c r="BW46" s="174">
        <v>0</v>
      </c>
      <c r="BX46" s="174">
        <v>0</v>
      </c>
      <c r="BY46" s="173">
        <f t="shared" si="66"/>
        <v>4</v>
      </c>
      <c r="BZ46" s="173">
        <f t="shared" si="66"/>
        <v>4</v>
      </c>
      <c r="CA46" s="180">
        <f t="shared" ref="CA46:CA52" si="69">BZ46+BY46</f>
        <v>8</v>
      </c>
    </row>
    <row r="47" spans="1:79" ht="80.099999999999994" customHeight="1">
      <c r="A47" s="173">
        <v>3</v>
      </c>
      <c r="B47" s="142" t="s">
        <v>64</v>
      </c>
      <c r="C47" s="143" t="s">
        <v>65</v>
      </c>
      <c r="D47" s="145">
        <v>200000</v>
      </c>
      <c r="E47" s="144">
        <f t="shared" si="67"/>
        <v>67.5</v>
      </c>
      <c r="F47" s="145">
        <v>30</v>
      </c>
      <c r="G47" s="174">
        <v>7</v>
      </c>
      <c r="H47" s="174">
        <v>5</v>
      </c>
      <c r="I47" s="173">
        <f t="shared" si="49"/>
        <v>12</v>
      </c>
      <c r="J47" s="173">
        <v>12</v>
      </c>
      <c r="K47" s="173">
        <f t="shared" si="50"/>
        <v>2</v>
      </c>
      <c r="L47" s="174">
        <v>0</v>
      </c>
      <c r="M47" s="174">
        <v>2</v>
      </c>
      <c r="N47" s="173">
        <f t="shared" si="51"/>
        <v>2</v>
      </c>
      <c r="O47" s="174">
        <v>0</v>
      </c>
      <c r="P47" s="174">
        <v>0</v>
      </c>
      <c r="Q47" s="173">
        <f t="shared" si="52"/>
        <v>0</v>
      </c>
      <c r="R47" s="174">
        <v>0</v>
      </c>
      <c r="S47" s="174">
        <v>0</v>
      </c>
      <c r="T47" s="173">
        <f t="shared" si="53"/>
        <v>0</v>
      </c>
      <c r="U47" s="173"/>
      <c r="V47" s="173"/>
      <c r="W47" s="173"/>
      <c r="X47" s="173"/>
      <c r="Y47" s="175">
        <f t="shared" si="68"/>
        <v>0.4</v>
      </c>
      <c r="Z47" s="176">
        <f t="shared" si="54"/>
        <v>0.3</v>
      </c>
      <c r="AA47" s="174">
        <v>0</v>
      </c>
      <c r="AB47" s="174">
        <v>0</v>
      </c>
      <c r="AC47" s="174">
        <v>0</v>
      </c>
      <c r="AD47" s="174">
        <v>0</v>
      </c>
      <c r="AE47" s="174">
        <v>3</v>
      </c>
      <c r="AF47" s="174">
        <v>1</v>
      </c>
      <c r="AG47" s="174"/>
      <c r="AH47" s="174"/>
      <c r="AI47" s="178">
        <f t="shared" si="55"/>
        <v>4</v>
      </c>
      <c r="AJ47" s="174">
        <v>0</v>
      </c>
      <c r="AK47" s="174">
        <v>0</v>
      </c>
      <c r="AL47" s="174">
        <v>0</v>
      </c>
      <c r="AM47" s="174">
        <v>0</v>
      </c>
      <c r="AN47" s="174">
        <v>2</v>
      </c>
      <c r="AO47" s="174">
        <v>5</v>
      </c>
      <c r="AP47" s="174"/>
      <c r="AQ47" s="174"/>
      <c r="AR47" s="178">
        <f t="shared" si="56"/>
        <v>7</v>
      </c>
      <c r="AS47" s="179">
        <f t="shared" si="57"/>
        <v>12</v>
      </c>
      <c r="AT47" s="179">
        <f t="shared" si="58"/>
        <v>13</v>
      </c>
      <c r="AU47" s="180">
        <f t="shared" si="59"/>
        <v>25</v>
      </c>
      <c r="AV47" s="180">
        <v>12</v>
      </c>
      <c r="AW47" s="180">
        <v>13</v>
      </c>
      <c r="AX47" s="176">
        <f t="shared" si="60"/>
        <v>0.75</v>
      </c>
      <c r="AY47" s="176">
        <v>0.75</v>
      </c>
      <c r="AZ47" s="176">
        <f t="shared" si="61"/>
        <v>0.37037037037037035</v>
      </c>
      <c r="BA47" s="176">
        <f t="shared" si="62"/>
        <v>0.2824858757062147</v>
      </c>
      <c r="BB47" s="176">
        <f t="shared" si="63"/>
        <v>0.08</v>
      </c>
      <c r="BC47" s="181">
        <f t="shared" si="64"/>
        <v>24</v>
      </c>
      <c r="BD47" s="182">
        <f t="shared" si="65"/>
        <v>50</v>
      </c>
      <c r="BE47" s="183"/>
      <c r="BF47" s="184">
        <v>3</v>
      </c>
      <c r="BG47" s="142" t="s">
        <v>64</v>
      </c>
      <c r="BH47" s="143" t="s">
        <v>65</v>
      </c>
      <c r="BI47" s="219"/>
      <c r="BJ47" s="219"/>
      <c r="BK47" s="174">
        <v>1</v>
      </c>
      <c r="BL47" s="174">
        <v>0</v>
      </c>
      <c r="BM47" s="174">
        <v>2</v>
      </c>
      <c r="BN47" s="174">
        <v>0</v>
      </c>
      <c r="BO47" s="174">
        <v>0</v>
      </c>
      <c r="BP47" s="174">
        <v>1</v>
      </c>
      <c r="BQ47" s="174">
        <v>1</v>
      </c>
      <c r="BR47" s="174">
        <v>3</v>
      </c>
      <c r="BS47" s="174">
        <v>1</v>
      </c>
      <c r="BT47" s="174">
        <v>1</v>
      </c>
      <c r="BU47" s="174">
        <v>1</v>
      </c>
      <c r="BV47" s="174">
        <v>0</v>
      </c>
      <c r="BW47" s="174">
        <v>1</v>
      </c>
      <c r="BX47" s="174">
        <v>0</v>
      </c>
      <c r="BY47" s="179">
        <f t="shared" si="66"/>
        <v>7</v>
      </c>
      <c r="BZ47" s="179">
        <f t="shared" si="66"/>
        <v>5</v>
      </c>
      <c r="CA47" s="185">
        <f t="shared" si="69"/>
        <v>12</v>
      </c>
    </row>
    <row r="48" spans="1:79" ht="80.099999999999994" customHeight="1">
      <c r="A48" s="173">
        <v>4</v>
      </c>
      <c r="B48" s="142" t="s">
        <v>66</v>
      </c>
      <c r="C48" s="143" t="s">
        <v>55</v>
      </c>
      <c r="D48" s="145">
        <v>150000</v>
      </c>
      <c r="E48" s="144">
        <f t="shared" si="67"/>
        <v>112.5</v>
      </c>
      <c r="F48" s="145">
        <v>50</v>
      </c>
      <c r="G48" s="186">
        <v>15</v>
      </c>
      <c r="H48" s="186">
        <v>8</v>
      </c>
      <c r="I48" s="173">
        <f t="shared" si="49"/>
        <v>23</v>
      </c>
      <c r="J48" s="173">
        <v>23</v>
      </c>
      <c r="K48" s="173">
        <f t="shared" si="50"/>
        <v>1</v>
      </c>
      <c r="L48" s="174">
        <v>0</v>
      </c>
      <c r="M48" s="174">
        <v>1</v>
      </c>
      <c r="N48" s="173">
        <f t="shared" si="51"/>
        <v>1</v>
      </c>
      <c r="O48" s="174">
        <v>0</v>
      </c>
      <c r="P48" s="174">
        <v>0</v>
      </c>
      <c r="Q48" s="173">
        <f t="shared" si="52"/>
        <v>0</v>
      </c>
      <c r="R48" s="174">
        <v>0</v>
      </c>
      <c r="S48" s="174">
        <v>0</v>
      </c>
      <c r="T48" s="173">
        <f t="shared" si="53"/>
        <v>0</v>
      </c>
      <c r="U48" s="173"/>
      <c r="V48" s="173"/>
      <c r="W48" s="173"/>
      <c r="X48" s="173"/>
      <c r="Y48" s="175">
        <f t="shared" si="68"/>
        <v>0.46</v>
      </c>
      <c r="Z48" s="175">
        <f t="shared" si="54"/>
        <v>0.76666666666666672</v>
      </c>
      <c r="AA48" s="174">
        <v>0</v>
      </c>
      <c r="AB48" s="174">
        <v>0</v>
      </c>
      <c r="AC48" s="174">
        <v>0</v>
      </c>
      <c r="AD48" s="174">
        <v>0</v>
      </c>
      <c r="AE48" s="174">
        <v>1</v>
      </c>
      <c r="AF48" s="174">
        <v>7</v>
      </c>
      <c r="AG48" s="174"/>
      <c r="AH48" s="174"/>
      <c r="AI48" s="178">
        <f t="shared" si="55"/>
        <v>8</v>
      </c>
      <c r="AJ48" s="174">
        <v>0</v>
      </c>
      <c r="AK48" s="174">
        <v>0</v>
      </c>
      <c r="AL48" s="174">
        <v>0</v>
      </c>
      <c r="AM48" s="174">
        <v>0</v>
      </c>
      <c r="AN48" s="174">
        <v>3</v>
      </c>
      <c r="AO48" s="174">
        <v>6</v>
      </c>
      <c r="AP48" s="174"/>
      <c r="AQ48" s="174"/>
      <c r="AR48" s="178">
        <f t="shared" si="56"/>
        <v>9</v>
      </c>
      <c r="AS48" s="179">
        <f t="shared" si="57"/>
        <v>19</v>
      </c>
      <c r="AT48" s="179">
        <f t="shared" si="58"/>
        <v>22</v>
      </c>
      <c r="AU48" s="180">
        <f t="shared" si="59"/>
        <v>41</v>
      </c>
      <c r="AV48" s="180">
        <v>19</v>
      </c>
      <c r="AW48" s="180">
        <v>22</v>
      </c>
      <c r="AX48" s="176">
        <f t="shared" si="60"/>
        <v>0.74193548387096775</v>
      </c>
      <c r="AY48" s="176">
        <v>0.74</v>
      </c>
      <c r="AZ48" s="176">
        <f t="shared" si="61"/>
        <v>0.36444444444444446</v>
      </c>
      <c r="BA48" s="175">
        <f t="shared" si="62"/>
        <v>0.61770244821092279</v>
      </c>
      <c r="BB48" s="175">
        <f t="shared" si="63"/>
        <v>2.4390243902439025E-2</v>
      </c>
      <c r="BC48" s="187">
        <f t="shared" si="64"/>
        <v>61.333333333333336</v>
      </c>
      <c r="BD48" s="188">
        <f t="shared" si="65"/>
        <v>109.33333333333333</v>
      </c>
      <c r="BE48" s="189"/>
      <c r="BF48" s="184">
        <v>4</v>
      </c>
      <c r="BG48" s="142" t="s">
        <v>66</v>
      </c>
      <c r="BH48" s="143" t="s">
        <v>55</v>
      </c>
      <c r="BI48" s="219"/>
      <c r="BJ48" s="219"/>
      <c r="BK48" s="174">
        <v>0</v>
      </c>
      <c r="BL48" s="174">
        <v>0</v>
      </c>
      <c r="BM48" s="174">
        <v>4</v>
      </c>
      <c r="BN48" s="174">
        <v>5</v>
      </c>
      <c r="BO48" s="174">
        <v>7</v>
      </c>
      <c r="BP48" s="174">
        <v>1</v>
      </c>
      <c r="BQ48" s="174">
        <v>2</v>
      </c>
      <c r="BR48" s="174">
        <v>1</v>
      </c>
      <c r="BS48" s="174">
        <v>1</v>
      </c>
      <c r="BT48" s="174">
        <v>1</v>
      </c>
      <c r="BU48" s="174">
        <v>1</v>
      </c>
      <c r="BV48" s="174">
        <v>0</v>
      </c>
      <c r="BW48" s="174">
        <v>0</v>
      </c>
      <c r="BX48" s="174">
        <v>0</v>
      </c>
      <c r="BY48" s="173">
        <f t="shared" si="66"/>
        <v>15</v>
      </c>
      <c r="BZ48" s="173">
        <f t="shared" si="66"/>
        <v>8</v>
      </c>
      <c r="CA48" s="180">
        <f t="shared" si="69"/>
        <v>23</v>
      </c>
    </row>
    <row r="49" spans="1:79" ht="80.099999999999994" customHeight="1">
      <c r="A49" s="173">
        <v>5</v>
      </c>
      <c r="B49" s="142" t="s">
        <v>67</v>
      </c>
      <c r="C49" s="143" t="s">
        <v>68</v>
      </c>
      <c r="D49" s="145">
        <v>100000</v>
      </c>
      <c r="E49" s="144">
        <f t="shared" si="67"/>
        <v>56.25</v>
      </c>
      <c r="F49" s="145">
        <v>25</v>
      </c>
      <c r="G49" s="174">
        <v>5</v>
      </c>
      <c r="H49" s="174">
        <v>2</v>
      </c>
      <c r="I49" s="173">
        <f t="shared" si="49"/>
        <v>7</v>
      </c>
      <c r="J49" s="173">
        <v>7</v>
      </c>
      <c r="K49" s="173">
        <f t="shared" si="50"/>
        <v>2</v>
      </c>
      <c r="L49" s="174">
        <v>0</v>
      </c>
      <c r="M49" s="174">
        <v>2</v>
      </c>
      <c r="N49" s="173">
        <f t="shared" si="51"/>
        <v>2</v>
      </c>
      <c r="O49" s="174">
        <v>0</v>
      </c>
      <c r="P49" s="174">
        <v>0</v>
      </c>
      <c r="Q49" s="173">
        <f t="shared" si="52"/>
        <v>0</v>
      </c>
      <c r="R49" s="174">
        <v>0</v>
      </c>
      <c r="S49" s="174">
        <v>0</v>
      </c>
      <c r="T49" s="173">
        <f t="shared" si="53"/>
        <v>0</v>
      </c>
      <c r="U49" s="173"/>
      <c r="V49" s="173"/>
      <c r="W49" s="173"/>
      <c r="X49" s="173"/>
      <c r="Y49" s="175">
        <f t="shared" si="68"/>
        <v>0.28000000000000003</v>
      </c>
      <c r="Z49" s="176">
        <f t="shared" si="54"/>
        <v>0.35</v>
      </c>
      <c r="AA49" s="174">
        <v>0</v>
      </c>
      <c r="AB49" s="174">
        <v>0</v>
      </c>
      <c r="AC49" s="174">
        <v>0</v>
      </c>
      <c r="AD49" s="174">
        <v>0</v>
      </c>
      <c r="AE49" s="174">
        <v>4</v>
      </c>
      <c r="AF49" s="174">
        <v>5</v>
      </c>
      <c r="AG49" s="174"/>
      <c r="AH49" s="174"/>
      <c r="AI49" s="178">
        <f t="shared" si="55"/>
        <v>9</v>
      </c>
      <c r="AJ49" s="174">
        <v>0</v>
      </c>
      <c r="AK49" s="174">
        <v>0</v>
      </c>
      <c r="AL49" s="174">
        <v>0</v>
      </c>
      <c r="AM49" s="174">
        <v>0</v>
      </c>
      <c r="AN49" s="174">
        <v>2</v>
      </c>
      <c r="AO49" s="174">
        <v>2</v>
      </c>
      <c r="AP49" s="174"/>
      <c r="AQ49" s="174"/>
      <c r="AR49" s="178">
        <f t="shared" si="56"/>
        <v>4</v>
      </c>
      <c r="AS49" s="179">
        <f t="shared" si="57"/>
        <v>11</v>
      </c>
      <c r="AT49" s="179">
        <f t="shared" si="58"/>
        <v>11</v>
      </c>
      <c r="AU49" s="180">
        <f t="shared" si="59"/>
        <v>22</v>
      </c>
      <c r="AV49" s="180">
        <v>11</v>
      </c>
      <c r="AW49" s="180">
        <v>11</v>
      </c>
      <c r="AX49" s="176">
        <f t="shared" si="60"/>
        <v>0.4375</v>
      </c>
      <c r="AY49" s="176">
        <v>0.44</v>
      </c>
      <c r="AZ49" s="176">
        <f t="shared" si="61"/>
        <v>0.39111111111111113</v>
      </c>
      <c r="BA49" s="176">
        <f t="shared" si="62"/>
        <v>0.49717514124293788</v>
      </c>
      <c r="BB49" s="176">
        <f t="shared" si="63"/>
        <v>9.0909090909090912E-2</v>
      </c>
      <c r="BC49" s="181">
        <f t="shared" si="64"/>
        <v>27.999999999999996</v>
      </c>
      <c r="BD49" s="182">
        <f t="shared" si="65"/>
        <v>88</v>
      </c>
      <c r="BE49" s="183"/>
      <c r="BF49" s="184">
        <v>5</v>
      </c>
      <c r="BG49" s="142" t="s">
        <v>67</v>
      </c>
      <c r="BH49" s="143" t="s">
        <v>68</v>
      </c>
      <c r="BI49" s="219"/>
      <c r="BJ49" s="219"/>
      <c r="BK49" s="174">
        <v>0</v>
      </c>
      <c r="BL49" s="174">
        <v>0</v>
      </c>
      <c r="BM49" s="174">
        <v>3</v>
      </c>
      <c r="BN49" s="174">
        <v>1</v>
      </c>
      <c r="BO49" s="174">
        <v>2</v>
      </c>
      <c r="BP49" s="174">
        <v>1</v>
      </c>
      <c r="BQ49" s="174">
        <v>0</v>
      </c>
      <c r="BR49" s="174">
        <v>0</v>
      </c>
      <c r="BS49" s="174">
        <v>0</v>
      </c>
      <c r="BT49" s="174">
        <v>0</v>
      </c>
      <c r="BU49" s="174">
        <v>0</v>
      </c>
      <c r="BV49" s="174">
        <v>0</v>
      </c>
      <c r="BW49" s="174">
        <v>0</v>
      </c>
      <c r="BX49" s="174">
        <v>0</v>
      </c>
      <c r="BY49" s="179">
        <f t="shared" si="66"/>
        <v>5</v>
      </c>
      <c r="BZ49" s="179">
        <f t="shared" si="66"/>
        <v>2</v>
      </c>
      <c r="CA49" s="185">
        <f t="shared" si="69"/>
        <v>7</v>
      </c>
    </row>
    <row r="50" spans="1:79" ht="80.099999999999994" customHeight="1">
      <c r="A50" s="173">
        <v>6</v>
      </c>
      <c r="B50" s="142" t="s">
        <v>69</v>
      </c>
      <c r="C50" s="146" t="s">
        <v>53</v>
      </c>
      <c r="D50" s="147">
        <v>100000</v>
      </c>
      <c r="E50" s="144">
        <f t="shared" si="67"/>
        <v>67.5</v>
      </c>
      <c r="F50" s="147">
        <v>30</v>
      </c>
      <c r="G50" s="186">
        <v>7</v>
      </c>
      <c r="H50" s="186">
        <v>8</v>
      </c>
      <c r="I50" s="173">
        <f t="shared" si="49"/>
        <v>15</v>
      </c>
      <c r="J50" s="173">
        <v>15</v>
      </c>
      <c r="K50" s="173">
        <f t="shared" si="50"/>
        <v>1</v>
      </c>
      <c r="L50" s="174">
        <v>0</v>
      </c>
      <c r="M50" s="174">
        <v>0</v>
      </c>
      <c r="N50" s="173">
        <f t="shared" si="51"/>
        <v>0</v>
      </c>
      <c r="O50" s="174">
        <v>0</v>
      </c>
      <c r="P50" s="174">
        <v>0</v>
      </c>
      <c r="Q50" s="173">
        <f t="shared" si="52"/>
        <v>0</v>
      </c>
      <c r="R50" s="174">
        <v>0</v>
      </c>
      <c r="S50" s="174">
        <v>1</v>
      </c>
      <c r="T50" s="173">
        <f t="shared" si="53"/>
        <v>1</v>
      </c>
      <c r="U50" s="173"/>
      <c r="V50" s="173"/>
      <c r="W50" s="173"/>
      <c r="X50" s="173"/>
      <c r="Y50" s="175">
        <f t="shared" si="68"/>
        <v>0.5</v>
      </c>
      <c r="Z50" s="175">
        <f t="shared" si="54"/>
        <v>0.75</v>
      </c>
      <c r="AA50" s="174">
        <v>0</v>
      </c>
      <c r="AB50" s="174">
        <v>0</v>
      </c>
      <c r="AC50" s="174">
        <v>0</v>
      </c>
      <c r="AD50" s="174">
        <v>0</v>
      </c>
      <c r="AE50" s="174">
        <v>3</v>
      </c>
      <c r="AF50" s="174">
        <v>5</v>
      </c>
      <c r="AG50" s="174"/>
      <c r="AH50" s="174"/>
      <c r="AI50" s="178">
        <f t="shared" si="55"/>
        <v>8</v>
      </c>
      <c r="AJ50" s="174">
        <v>0</v>
      </c>
      <c r="AK50" s="174">
        <v>0</v>
      </c>
      <c r="AL50" s="174">
        <v>0</v>
      </c>
      <c r="AM50" s="174">
        <v>0</v>
      </c>
      <c r="AN50" s="174">
        <v>3</v>
      </c>
      <c r="AO50" s="174">
        <v>7</v>
      </c>
      <c r="AP50" s="174"/>
      <c r="AQ50" s="174"/>
      <c r="AR50" s="178">
        <f t="shared" si="56"/>
        <v>10</v>
      </c>
      <c r="AS50" s="179">
        <f t="shared" si="57"/>
        <v>13</v>
      </c>
      <c r="AT50" s="179">
        <f t="shared" si="58"/>
        <v>21</v>
      </c>
      <c r="AU50" s="180">
        <f t="shared" si="59"/>
        <v>34</v>
      </c>
      <c r="AV50" s="180">
        <v>13</v>
      </c>
      <c r="AW50" s="180">
        <v>21</v>
      </c>
      <c r="AX50" s="176">
        <f t="shared" si="60"/>
        <v>0.65217391304347827</v>
      </c>
      <c r="AY50" s="176">
        <v>0.65</v>
      </c>
      <c r="AZ50" s="176">
        <f t="shared" si="61"/>
        <v>0.50370370370370365</v>
      </c>
      <c r="BA50" s="175">
        <f t="shared" si="62"/>
        <v>0.76836158192090398</v>
      </c>
      <c r="BB50" s="175">
        <f t="shared" si="63"/>
        <v>2.9411764705882353E-2</v>
      </c>
      <c r="BC50" s="187">
        <f t="shared" si="64"/>
        <v>59.999999999999993</v>
      </c>
      <c r="BD50" s="188">
        <f t="shared" si="65"/>
        <v>136</v>
      </c>
      <c r="BE50" s="189"/>
      <c r="BF50" s="184">
        <v>6</v>
      </c>
      <c r="BG50" s="142" t="s">
        <v>69</v>
      </c>
      <c r="BH50" s="146" t="s">
        <v>53</v>
      </c>
      <c r="BI50" s="219"/>
      <c r="BJ50" s="219"/>
      <c r="BK50" s="174">
        <v>0</v>
      </c>
      <c r="BL50" s="174">
        <v>0</v>
      </c>
      <c r="BM50" s="174">
        <v>2</v>
      </c>
      <c r="BN50" s="174">
        <v>5</v>
      </c>
      <c r="BO50" s="174">
        <v>3</v>
      </c>
      <c r="BP50" s="174">
        <v>2</v>
      </c>
      <c r="BQ50" s="174">
        <v>1</v>
      </c>
      <c r="BR50" s="174">
        <v>0</v>
      </c>
      <c r="BS50" s="174">
        <v>0</v>
      </c>
      <c r="BT50" s="174">
        <v>1</v>
      </c>
      <c r="BU50" s="174">
        <v>1</v>
      </c>
      <c r="BV50" s="174">
        <v>0</v>
      </c>
      <c r="BW50" s="174">
        <v>0</v>
      </c>
      <c r="BX50" s="174">
        <v>0</v>
      </c>
      <c r="BY50" s="173">
        <f t="shared" si="66"/>
        <v>7</v>
      </c>
      <c r="BZ50" s="173">
        <f t="shared" si="66"/>
        <v>8</v>
      </c>
      <c r="CA50" s="180">
        <f t="shared" si="69"/>
        <v>15</v>
      </c>
    </row>
    <row r="51" spans="1:79" ht="80.099999999999994" customHeight="1">
      <c r="A51" s="173">
        <v>7</v>
      </c>
      <c r="B51" s="142" t="s">
        <v>70</v>
      </c>
      <c r="C51" s="143" t="s">
        <v>71</v>
      </c>
      <c r="D51" s="145">
        <v>100000</v>
      </c>
      <c r="E51" s="144">
        <f t="shared" si="67"/>
        <v>56.25</v>
      </c>
      <c r="F51" s="145">
        <v>25</v>
      </c>
      <c r="G51" s="174">
        <v>8</v>
      </c>
      <c r="H51" s="174">
        <v>8</v>
      </c>
      <c r="I51" s="173">
        <f t="shared" si="49"/>
        <v>16</v>
      </c>
      <c r="J51" s="173">
        <v>16</v>
      </c>
      <c r="K51" s="173">
        <f t="shared" si="50"/>
        <v>0</v>
      </c>
      <c r="L51" s="174">
        <v>0</v>
      </c>
      <c r="M51" s="174">
        <v>0</v>
      </c>
      <c r="N51" s="173">
        <f t="shared" si="51"/>
        <v>0</v>
      </c>
      <c r="O51" s="174">
        <v>0</v>
      </c>
      <c r="P51" s="174">
        <v>0</v>
      </c>
      <c r="Q51" s="173">
        <f t="shared" si="52"/>
        <v>0</v>
      </c>
      <c r="R51" s="174">
        <v>0</v>
      </c>
      <c r="S51" s="174">
        <v>0</v>
      </c>
      <c r="T51" s="173">
        <f t="shared" si="53"/>
        <v>0</v>
      </c>
      <c r="U51" s="173"/>
      <c r="V51" s="173"/>
      <c r="W51" s="173"/>
      <c r="X51" s="173"/>
      <c r="Y51" s="175">
        <f t="shared" si="68"/>
        <v>0.64</v>
      </c>
      <c r="Z51" s="176">
        <f t="shared" si="54"/>
        <v>0.8</v>
      </c>
      <c r="AA51" s="174">
        <v>0</v>
      </c>
      <c r="AB51" s="174">
        <v>0</v>
      </c>
      <c r="AC51" s="174">
        <v>0</v>
      </c>
      <c r="AD51" s="174">
        <v>0</v>
      </c>
      <c r="AE51" s="174">
        <v>6</v>
      </c>
      <c r="AF51" s="174">
        <v>6</v>
      </c>
      <c r="AG51" s="174"/>
      <c r="AH51" s="174"/>
      <c r="AI51" s="178">
        <f t="shared" si="55"/>
        <v>12</v>
      </c>
      <c r="AJ51" s="174">
        <v>0</v>
      </c>
      <c r="AK51" s="174">
        <v>0</v>
      </c>
      <c r="AL51" s="174">
        <v>0</v>
      </c>
      <c r="AM51" s="174">
        <v>0</v>
      </c>
      <c r="AN51" s="174">
        <v>0</v>
      </c>
      <c r="AO51" s="174">
        <v>0</v>
      </c>
      <c r="AP51" s="174"/>
      <c r="AQ51" s="174"/>
      <c r="AR51" s="178">
        <f t="shared" si="56"/>
        <v>0</v>
      </c>
      <c r="AS51" s="179">
        <f t="shared" si="57"/>
        <v>14</v>
      </c>
      <c r="AT51" s="179">
        <f t="shared" si="58"/>
        <v>14</v>
      </c>
      <c r="AU51" s="180">
        <f t="shared" si="59"/>
        <v>28</v>
      </c>
      <c r="AV51" s="180">
        <v>14</v>
      </c>
      <c r="AW51" s="180">
        <v>14</v>
      </c>
      <c r="AX51" s="176">
        <f t="shared" si="60"/>
        <v>0.5714285714285714</v>
      </c>
      <c r="AY51" s="176">
        <v>0.56999999999999995</v>
      </c>
      <c r="AZ51" s="176">
        <f t="shared" si="61"/>
        <v>0.49777777777777776</v>
      </c>
      <c r="BA51" s="176">
        <f t="shared" si="62"/>
        <v>0.63276836158192096</v>
      </c>
      <c r="BB51" s="176">
        <f t="shared" si="63"/>
        <v>0</v>
      </c>
      <c r="BC51" s="181">
        <f t="shared" si="64"/>
        <v>64</v>
      </c>
      <c r="BD51" s="182">
        <f t="shared" si="65"/>
        <v>111.99999999999999</v>
      </c>
      <c r="BE51" s="183"/>
      <c r="BF51" s="184">
        <v>7</v>
      </c>
      <c r="BG51" s="142" t="s">
        <v>70</v>
      </c>
      <c r="BH51" s="143" t="s">
        <v>71</v>
      </c>
      <c r="BI51" s="219"/>
      <c r="BJ51" s="219"/>
      <c r="BK51" s="174">
        <v>0</v>
      </c>
      <c r="BL51" s="174">
        <v>0</v>
      </c>
      <c r="BM51" s="174">
        <v>1</v>
      </c>
      <c r="BN51" s="174">
        <v>1</v>
      </c>
      <c r="BO51" s="174">
        <v>4</v>
      </c>
      <c r="BP51" s="174">
        <v>4</v>
      </c>
      <c r="BQ51" s="174">
        <v>1</v>
      </c>
      <c r="BR51" s="174">
        <v>0</v>
      </c>
      <c r="BS51" s="174">
        <v>1</v>
      </c>
      <c r="BT51" s="174">
        <v>1</v>
      </c>
      <c r="BU51" s="174">
        <v>0</v>
      </c>
      <c r="BV51" s="174">
        <v>1</v>
      </c>
      <c r="BW51" s="174">
        <v>1</v>
      </c>
      <c r="BX51" s="174">
        <v>1</v>
      </c>
      <c r="BY51" s="179">
        <f t="shared" si="66"/>
        <v>8</v>
      </c>
      <c r="BZ51" s="179">
        <f t="shared" si="66"/>
        <v>8</v>
      </c>
      <c r="CA51" s="185">
        <f t="shared" si="69"/>
        <v>16</v>
      </c>
    </row>
    <row r="52" spans="1:79" ht="80.099999999999994" customHeight="1">
      <c r="A52" s="173">
        <v>8</v>
      </c>
      <c r="B52" s="142" t="s">
        <v>72</v>
      </c>
      <c r="C52" s="146" t="s">
        <v>57</v>
      </c>
      <c r="D52" s="147">
        <v>100000</v>
      </c>
      <c r="E52" s="144">
        <f t="shared" si="67"/>
        <v>56.25</v>
      </c>
      <c r="F52" s="147">
        <v>25</v>
      </c>
      <c r="G52" s="186">
        <v>2</v>
      </c>
      <c r="H52" s="186">
        <v>2</v>
      </c>
      <c r="I52" s="173">
        <f t="shared" si="49"/>
        <v>4</v>
      </c>
      <c r="J52" s="173">
        <v>4</v>
      </c>
      <c r="K52" s="173">
        <f t="shared" si="50"/>
        <v>0</v>
      </c>
      <c r="L52" s="174">
        <v>0</v>
      </c>
      <c r="M52" s="174">
        <v>0</v>
      </c>
      <c r="N52" s="173">
        <f t="shared" si="51"/>
        <v>0</v>
      </c>
      <c r="O52" s="174">
        <v>0</v>
      </c>
      <c r="P52" s="174">
        <v>0</v>
      </c>
      <c r="Q52" s="173">
        <f t="shared" si="52"/>
        <v>0</v>
      </c>
      <c r="R52" s="174">
        <v>0</v>
      </c>
      <c r="S52" s="174">
        <v>0</v>
      </c>
      <c r="T52" s="173">
        <f t="shared" si="53"/>
        <v>0</v>
      </c>
      <c r="U52" s="173"/>
      <c r="V52" s="173"/>
      <c r="W52" s="173"/>
      <c r="X52" s="173"/>
      <c r="Y52" s="175">
        <f t="shared" si="68"/>
        <v>0.16</v>
      </c>
      <c r="Z52" s="175">
        <f t="shared" si="54"/>
        <v>0.2</v>
      </c>
      <c r="AA52" s="174">
        <v>0</v>
      </c>
      <c r="AB52" s="174">
        <v>0</v>
      </c>
      <c r="AC52" s="174">
        <v>0</v>
      </c>
      <c r="AD52" s="174">
        <v>0</v>
      </c>
      <c r="AE52" s="174">
        <v>0</v>
      </c>
      <c r="AF52" s="174">
        <v>3</v>
      </c>
      <c r="AG52" s="174"/>
      <c r="AH52" s="174"/>
      <c r="AI52" s="178">
        <f t="shared" si="55"/>
        <v>3</v>
      </c>
      <c r="AJ52" s="177"/>
      <c r="AK52" s="179"/>
      <c r="AL52" s="179"/>
      <c r="AM52" s="512"/>
      <c r="AN52" s="512">
        <v>1</v>
      </c>
      <c r="AO52" s="512">
        <v>3</v>
      </c>
      <c r="AP52" s="512"/>
      <c r="AQ52" s="512"/>
      <c r="AR52" s="178">
        <f t="shared" si="56"/>
        <v>4</v>
      </c>
      <c r="AS52" s="179">
        <f t="shared" si="57"/>
        <v>3</v>
      </c>
      <c r="AT52" s="179">
        <f t="shared" si="58"/>
        <v>8</v>
      </c>
      <c r="AU52" s="180">
        <f t="shared" si="59"/>
        <v>11</v>
      </c>
      <c r="AV52" s="180">
        <v>3</v>
      </c>
      <c r="AW52" s="180">
        <v>8</v>
      </c>
      <c r="AX52" s="176">
        <f t="shared" si="60"/>
        <v>0.5714285714285714</v>
      </c>
      <c r="AY52" s="176">
        <v>0.56999999999999995</v>
      </c>
      <c r="AZ52" s="176">
        <f t="shared" si="61"/>
        <v>0.19555555555555557</v>
      </c>
      <c r="BA52" s="175">
        <f t="shared" si="62"/>
        <v>0.24858757062146894</v>
      </c>
      <c r="BB52" s="175">
        <f t="shared" si="63"/>
        <v>0</v>
      </c>
      <c r="BC52" s="187">
        <f t="shared" si="64"/>
        <v>16</v>
      </c>
      <c r="BD52" s="188">
        <f t="shared" si="65"/>
        <v>44</v>
      </c>
      <c r="BE52" s="189"/>
      <c r="BF52" s="184">
        <v>8</v>
      </c>
      <c r="BG52" s="142" t="s">
        <v>72</v>
      </c>
      <c r="BH52" s="146" t="s">
        <v>57</v>
      </c>
      <c r="BI52" s="219"/>
      <c r="BJ52" s="219"/>
      <c r="BK52" s="174">
        <v>0</v>
      </c>
      <c r="BL52" s="174">
        <v>0</v>
      </c>
      <c r="BM52" s="174">
        <v>1</v>
      </c>
      <c r="BN52" s="174">
        <v>2</v>
      </c>
      <c r="BO52" s="174">
        <v>1</v>
      </c>
      <c r="BP52" s="174">
        <v>0</v>
      </c>
      <c r="BQ52" s="174">
        <v>0</v>
      </c>
      <c r="BR52" s="174">
        <v>0</v>
      </c>
      <c r="BS52" s="174">
        <v>0</v>
      </c>
      <c r="BT52" s="174">
        <v>0</v>
      </c>
      <c r="BU52" s="174">
        <v>0</v>
      </c>
      <c r="BV52" s="174">
        <v>0</v>
      </c>
      <c r="BW52" s="174">
        <v>0</v>
      </c>
      <c r="BX52" s="174">
        <v>0</v>
      </c>
      <c r="BY52" s="173">
        <f t="shared" si="66"/>
        <v>2</v>
      </c>
      <c r="BZ52" s="173">
        <f t="shared" si="66"/>
        <v>2</v>
      </c>
      <c r="CA52" s="180">
        <f t="shared" si="69"/>
        <v>4</v>
      </c>
    </row>
    <row r="53" spans="1:79" ht="80.099999999999994" customHeight="1">
      <c r="A53" s="190" t="s">
        <v>109</v>
      </c>
      <c r="B53" s="148" t="s">
        <v>73</v>
      </c>
      <c r="C53" s="149" t="s">
        <v>74</v>
      </c>
      <c r="D53" s="150">
        <v>950000</v>
      </c>
      <c r="E53" s="144">
        <f t="shared" si="67"/>
        <v>528.75</v>
      </c>
      <c r="F53" s="150">
        <f>SUM(F45:F52)</f>
        <v>235</v>
      </c>
      <c r="G53" s="191">
        <f>SUM(G45:G52)</f>
        <v>54</v>
      </c>
      <c r="H53" s="191">
        <f>SUM(H45:H52)</f>
        <v>40</v>
      </c>
      <c r="I53" s="191">
        <f t="shared" ref="I53:AO53" si="70">I45+I46+I47+I48+I49+I50+I51+I52</f>
        <v>94</v>
      </c>
      <c r="J53" s="191">
        <v>94</v>
      </c>
      <c r="K53" s="173">
        <f t="shared" si="50"/>
        <v>12</v>
      </c>
      <c r="L53" s="191">
        <f t="shared" si="70"/>
        <v>4</v>
      </c>
      <c r="M53" s="191">
        <f t="shared" si="70"/>
        <v>7</v>
      </c>
      <c r="N53" s="191">
        <f t="shared" si="70"/>
        <v>11</v>
      </c>
      <c r="O53" s="191">
        <f t="shared" si="70"/>
        <v>0</v>
      </c>
      <c r="P53" s="191">
        <f t="shared" si="70"/>
        <v>0</v>
      </c>
      <c r="Q53" s="191">
        <f t="shared" si="70"/>
        <v>0</v>
      </c>
      <c r="R53" s="191">
        <f t="shared" si="70"/>
        <v>0</v>
      </c>
      <c r="S53" s="191">
        <f t="shared" si="70"/>
        <v>1</v>
      </c>
      <c r="T53" s="191">
        <f t="shared" si="70"/>
        <v>1</v>
      </c>
      <c r="U53" s="191">
        <f t="shared" si="70"/>
        <v>0</v>
      </c>
      <c r="V53" s="191">
        <f t="shared" si="70"/>
        <v>0</v>
      </c>
      <c r="W53" s="191">
        <f t="shared" si="70"/>
        <v>0</v>
      </c>
      <c r="X53" s="191"/>
      <c r="Y53" s="175">
        <f t="shared" si="68"/>
        <v>0.4</v>
      </c>
      <c r="Z53" s="191">
        <f t="shared" si="70"/>
        <v>4.0166666666666675</v>
      </c>
      <c r="AA53" s="191">
        <f t="shared" si="70"/>
        <v>0</v>
      </c>
      <c r="AB53" s="191">
        <f t="shared" si="70"/>
        <v>0</v>
      </c>
      <c r="AC53" s="191">
        <f t="shared" si="70"/>
        <v>0</v>
      </c>
      <c r="AD53" s="191">
        <f t="shared" si="70"/>
        <v>0</v>
      </c>
      <c r="AE53" s="191">
        <f t="shared" si="70"/>
        <v>23</v>
      </c>
      <c r="AF53" s="191">
        <f t="shared" si="70"/>
        <v>33</v>
      </c>
      <c r="AG53" s="191"/>
      <c r="AH53" s="191"/>
      <c r="AI53" s="178">
        <f t="shared" si="55"/>
        <v>56</v>
      </c>
      <c r="AJ53" s="191">
        <f t="shared" si="70"/>
        <v>0</v>
      </c>
      <c r="AK53" s="191">
        <f t="shared" si="70"/>
        <v>0</v>
      </c>
      <c r="AL53" s="191">
        <f t="shared" si="70"/>
        <v>0</v>
      </c>
      <c r="AM53" s="191">
        <f t="shared" si="70"/>
        <v>0</v>
      </c>
      <c r="AN53" s="191">
        <f t="shared" si="70"/>
        <v>12</v>
      </c>
      <c r="AO53" s="191">
        <f t="shared" si="70"/>
        <v>28</v>
      </c>
      <c r="AP53" s="191"/>
      <c r="AQ53" s="191"/>
      <c r="AR53" s="178">
        <f t="shared" si="56"/>
        <v>40</v>
      </c>
      <c r="AS53" s="179">
        <f t="shared" si="57"/>
        <v>93</v>
      </c>
      <c r="AT53" s="179">
        <f t="shared" si="58"/>
        <v>109</v>
      </c>
      <c r="AU53" s="191">
        <f t="shared" ref="AU53:BF53" si="71">AU45+AU46+AU47+AU48+AU49+AU50+AU51+AU52</f>
        <v>202</v>
      </c>
      <c r="AV53" s="191">
        <v>93</v>
      </c>
      <c r="AW53" s="191">
        <v>109</v>
      </c>
      <c r="AX53" s="176">
        <f t="shared" si="60"/>
        <v>0.62666666666666671</v>
      </c>
      <c r="AY53" s="176">
        <v>0.63</v>
      </c>
      <c r="AZ53" s="176">
        <f t="shared" si="61"/>
        <v>0.38203309692671394</v>
      </c>
      <c r="BA53" s="191">
        <f t="shared" si="71"/>
        <v>3.9736346516007535</v>
      </c>
      <c r="BB53" s="191">
        <f t="shared" si="71"/>
        <v>0.48020560501191778</v>
      </c>
      <c r="BC53" s="191">
        <f t="shared" si="71"/>
        <v>321.33333333333337</v>
      </c>
      <c r="BD53" s="191">
        <f t="shared" si="71"/>
        <v>703.33333333333326</v>
      </c>
      <c r="BE53" s="191"/>
      <c r="BF53" s="191">
        <f t="shared" si="71"/>
        <v>36</v>
      </c>
      <c r="BG53" s="148" t="s">
        <v>73</v>
      </c>
      <c r="BH53" s="149" t="s">
        <v>74</v>
      </c>
      <c r="BI53" s="219">
        <f t="shared" ref="BI53:CA53" si="72">BI45+BI46+BI47+BI48+BI49+BI50+BI51+BI52</f>
        <v>0</v>
      </c>
      <c r="BJ53" s="219">
        <f t="shared" si="72"/>
        <v>0</v>
      </c>
      <c r="BK53" s="191">
        <f t="shared" si="72"/>
        <v>1</v>
      </c>
      <c r="BL53" s="191">
        <f t="shared" si="72"/>
        <v>0</v>
      </c>
      <c r="BM53" s="191">
        <f t="shared" si="72"/>
        <v>16</v>
      </c>
      <c r="BN53" s="191">
        <f t="shared" si="72"/>
        <v>18</v>
      </c>
      <c r="BO53" s="191">
        <f t="shared" si="72"/>
        <v>19</v>
      </c>
      <c r="BP53" s="191">
        <f t="shared" si="72"/>
        <v>10</v>
      </c>
      <c r="BQ53" s="191">
        <f t="shared" si="72"/>
        <v>7</v>
      </c>
      <c r="BR53" s="191">
        <f t="shared" si="72"/>
        <v>5</v>
      </c>
      <c r="BS53" s="191">
        <f t="shared" si="72"/>
        <v>4</v>
      </c>
      <c r="BT53" s="191">
        <f t="shared" si="72"/>
        <v>5</v>
      </c>
      <c r="BU53" s="191">
        <f t="shared" si="72"/>
        <v>5</v>
      </c>
      <c r="BV53" s="191">
        <f t="shared" si="72"/>
        <v>1</v>
      </c>
      <c r="BW53" s="191">
        <f t="shared" si="72"/>
        <v>2</v>
      </c>
      <c r="BX53" s="191">
        <f t="shared" si="72"/>
        <v>1</v>
      </c>
      <c r="BY53" s="191">
        <f t="shared" si="72"/>
        <v>54</v>
      </c>
      <c r="BZ53" s="191">
        <f t="shared" si="72"/>
        <v>40</v>
      </c>
      <c r="CA53" s="191">
        <f t="shared" si="72"/>
        <v>94</v>
      </c>
    </row>
    <row r="54" spans="1:79" ht="80.099999999999994" customHeight="1">
      <c r="A54" s="173">
        <v>9</v>
      </c>
      <c r="B54" s="151" t="s">
        <v>75</v>
      </c>
      <c r="C54" s="146" t="s">
        <v>76</v>
      </c>
      <c r="D54" s="147">
        <v>290000</v>
      </c>
      <c r="E54" s="144">
        <f t="shared" si="67"/>
        <v>67.5</v>
      </c>
      <c r="F54" s="147">
        <v>30</v>
      </c>
      <c r="G54" s="186">
        <v>7</v>
      </c>
      <c r="H54" s="186">
        <v>11</v>
      </c>
      <c r="I54" s="173">
        <f>SUM(G54:H54)</f>
        <v>18</v>
      </c>
      <c r="J54" s="173">
        <v>18</v>
      </c>
      <c r="K54" s="173">
        <f t="shared" si="50"/>
        <v>0</v>
      </c>
      <c r="L54" s="174">
        <v>0</v>
      </c>
      <c r="M54" s="174">
        <v>0</v>
      </c>
      <c r="N54" s="173">
        <f>SUM(L54:M54)</f>
        <v>0</v>
      </c>
      <c r="O54" s="174">
        <v>0</v>
      </c>
      <c r="P54" s="174">
        <v>0</v>
      </c>
      <c r="Q54" s="173">
        <f>SUM(O54:P54)</f>
        <v>0</v>
      </c>
      <c r="R54" s="174">
        <v>0</v>
      </c>
      <c r="S54" s="174">
        <v>0</v>
      </c>
      <c r="T54" s="173">
        <f>SUM(R54:S54)</f>
        <v>0</v>
      </c>
      <c r="U54" s="173"/>
      <c r="V54" s="173"/>
      <c r="W54" s="173"/>
      <c r="X54" s="173"/>
      <c r="Y54" s="175">
        <f t="shared" si="68"/>
        <v>0.6</v>
      </c>
      <c r="Z54" s="175">
        <f>I54*4/(D54*0.0008)</f>
        <v>0.31034482758620691</v>
      </c>
      <c r="AA54" s="174">
        <v>0</v>
      </c>
      <c r="AB54" s="174">
        <v>0</v>
      </c>
      <c r="AC54" s="174">
        <v>0</v>
      </c>
      <c r="AD54" s="174">
        <v>0</v>
      </c>
      <c r="AE54" s="174">
        <v>4</v>
      </c>
      <c r="AF54" s="174">
        <v>6</v>
      </c>
      <c r="AG54" s="174"/>
      <c r="AH54" s="174"/>
      <c r="AI54" s="178">
        <f t="shared" si="55"/>
        <v>10</v>
      </c>
      <c r="AJ54" s="174">
        <v>0</v>
      </c>
      <c r="AK54" s="174">
        <v>0</v>
      </c>
      <c r="AL54" s="174">
        <v>0</v>
      </c>
      <c r="AM54" s="174">
        <v>0</v>
      </c>
      <c r="AN54" s="174">
        <v>4</v>
      </c>
      <c r="AO54" s="174">
        <v>8</v>
      </c>
      <c r="AP54" s="174"/>
      <c r="AQ54" s="174"/>
      <c r="AR54" s="178">
        <f t="shared" si="56"/>
        <v>12</v>
      </c>
      <c r="AS54" s="179">
        <f t="shared" si="57"/>
        <v>15</v>
      </c>
      <c r="AT54" s="179">
        <f t="shared" si="58"/>
        <v>25</v>
      </c>
      <c r="AU54" s="180">
        <f>SUM(AS54:AT54)</f>
        <v>40</v>
      </c>
      <c r="AV54" s="180">
        <v>15</v>
      </c>
      <c r="AW54" s="180">
        <v>25</v>
      </c>
      <c r="AX54" s="176">
        <f t="shared" si="60"/>
        <v>0.6428571428571429</v>
      </c>
      <c r="AY54" s="176">
        <v>0.64</v>
      </c>
      <c r="AZ54" s="176">
        <f t="shared" si="61"/>
        <v>0.59259259259259256</v>
      </c>
      <c r="BA54" s="175">
        <f>AU54*4/(D54*0.00177)</f>
        <v>0.31170855250340929</v>
      </c>
      <c r="BB54" s="175">
        <f>(N54+Q54+T54)/AU54</f>
        <v>0</v>
      </c>
      <c r="BC54" s="187">
        <f>I54*4/D54*100000</f>
        <v>24.827586206896552</v>
      </c>
      <c r="BD54" s="188">
        <f>AU54*4/D54*100000</f>
        <v>55.172413793103452</v>
      </c>
      <c r="BE54" s="189"/>
      <c r="BF54" s="184">
        <v>10</v>
      </c>
      <c r="BG54" s="151" t="s">
        <v>75</v>
      </c>
      <c r="BH54" s="146" t="s">
        <v>76</v>
      </c>
      <c r="BI54" s="219"/>
      <c r="BJ54" s="219"/>
      <c r="BK54" s="174">
        <v>0</v>
      </c>
      <c r="BL54" s="174">
        <v>0</v>
      </c>
      <c r="BM54" s="174">
        <v>3</v>
      </c>
      <c r="BN54" s="174">
        <v>7</v>
      </c>
      <c r="BO54" s="174">
        <v>1</v>
      </c>
      <c r="BP54" s="174">
        <v>2</v>
      </c>
      <c r="BQ54" s="174">
        <v>1</v>
      </c>
      <c r="BR54" s="174">
        <v>0</v>
      </c>
      <c r="BS54" s="174">
        <v>1</v>
      </c>
      <c r="BT54" s="174">
        <v>0</v>
      </c>
      <c r="BU54" s="174">
        <v>1</v>
      </c>
      <c r="BV54" s="174">
        <v>1</v>
      </c>
      <c r="BW54" s="174">
        <v>0</v>
      </c>
      <c r="BX54" s="174">
        <v>1</v>
      </c>
      <c r="BY54" s="173">
        <f t="shared" ref="BY54:BZ56" si="73">BW54+BU54+BS54+BQ54+BO54+BM54+BK54+BI54</f>
        <v>7</v>
      </c>
      <c r="BZ54" s="173">
        <f t="shared" si="73"/>
        <v>11</v>
      </c>
      <c r="CA54" s="180">
        <f>BZ54+BY54</f>
        <v>18</v>
      </c>
    </row>
    <row r="55" spans="1:79" ht="80.099999999999994" customHeight="1">
      <c r="A55" s="173">
        <v>10</v>
      </c>
      <c r="B55" s="151" t="s">
        <v>77</v>
      </c>
      <c r="C55" s="146" t="s">
        <v>78</v>
      </c>
      <c r="D55" s="147">
        <v>190000</v>
      </c>
      <c r="E55" s="144">
        <f t="shared" si="67"/>
        <v>67.5</v>
      </c>
      <c r="F55" s="147">
        <v>30</v>
      </c>
      <c r="G55" s="174">
        <v>16</v>
      </c>
      <c r="H55" s="174">
        <v>13</v>
      </c>
      <c r="I55" s="173">
        <f>SUM(G55:H55)</f>
        <v>29</v>
      </c>
      <c r="J55" s="173">
        <v>29</v>
      </c>
      <c r="K55" s="173">
        <f t="shared" si="50"/>
        <v>3</v>
      </c>
      <c r="L55" s="174">
        <v>1</v>
      </c>
      <c r="M55" s="174">
        <v>2</v>
      </c>
      <c r="N55" s="173">
        <f>SUM(L55:M55)</f>
        <v>3</v>
      </c>
      <c r="O55" s="174">
        <v>0</v>
      </c>
      <c r="P55" s="174">
        <v>0</v>
      </c>
      <c r="Q55" s="173">
        <f>SUM(O55:P55)</f>
        <v>0</v>
      </c>
      <c r="R55" s="174">
        <v>0</v>
      </c>
      <c r="S55" s="174">
        <v>0</v>
      </c>
      <c r="T55" s="173">
        <f>SUM(R55:S55)</f>
        <v>0</v>
      </c>
      <c r="U55" s="173"/>
      <c r="V55" s="173"/>
      <c r="W55" s="173"/>
      <c r="X55" s="173"/>
      <c r="Y55" s="175">
        <f t="shared" si="68"/>
        <v>0.96666666666666667</v>
      </c>
      <c r="Z55" s="176">
        <f>I55*4/(D55*0.0008)</f>
        <v>0.76315789473684215</v>
      </c>
      <c r="AA55" s="174">
        <v>0</v>
      </c>
      <c r="AB55" s="174">
        <v>0</v>
      </c>
      <c r="AC55" s="174">
        <v>0</v>
      </c>
      <c r="AD55" s="174">
        <v>0</v>
      </c>
      <c r="AE55" s="174">
        <v>9</v>
      </c>
      <c r="AF55" s="174">
        <v>5</v>
      </c>
      <c r="AG55" s="174"/>
      <c r="AH55" s="174"/>
      <c r="AI55" s="178">
        <f t="shared" si="55"/>
        <v>14</v>
      </c>
      <c r="AJ55" s="174">
        <v>0</v>
      </c>
      <c r="AK55" s="174">
        <v>0</v>
      </c>
      <c r="AL55" s="174">
        <v>0</v>
      </c>
      <c r="AM55" s="174">
        <v>0</v>
      </c>
      <c r="AN55" s="174">
        <v>2</v>
      </c>
      <c r="AO55" s="174">
        <v>12</v>
      </c>
      <c r="AP55" s="174"/>
      <c r="AQ55" s="174"/>
      <c r="AR55" s="178">
        <f t="shared" si="56"/>
        <v>14</v>
      </c>
      <c r="AS55" s="179">
        <f t="shared" si="57"/>
        <v>28</v>
      </c>
      <c r="AT55" s="179">
        <f t="shared" si="58"/>
        <v>32</v>
      </c>
      <c r="AU55" s="180">
        <f>SUM(AS55:AT55)</f>
        <v>60</v>
      </c>
      <c r="AV55" s="180">
        <v>28</v>
      </c>
      <c r="AW55" s="180">
        <v>32</v>
      </c>
      <c r="AX55" s="176">
        <f t="shared" si="60"/>
        <v>0.67441860465116277</v>
      </c>
      <c r="AY55" s="176">
        <v>0.67</v>
      </c>
      <c r="AZ55" s="176">
        <f t="shared" si="61"/>
        <v>0.88888888888888884</v>
      </c>
      <c r="BA55" s="176">
        <f>AU55*4/(D55*0.00177)</f>
        <v>0.71364852809991075</v>
      </c>
      <c r="BB55" s="176">
        <f>(N55+Q55+T55)/AU55</f>
        <v>0.05</v>
      </c>
      <c r="BC55" s="181">
        <f>I55*4/D55*100000</f>
        <v>61.05263157894737</v>
      </c>
      <c r="BD55" s="182">
        <f>AU55*4/D55*100000</f>
        <v>126.31578947368421</v>
      </c>
      <c r="BE55" s="183"/>
      <c r="BF55" s="184">
        <v>11</v>
      </c>
      <c r="BG55" s="151" t="s">
        <v>77</v>
      </c>
      <c r="BH55" s="146" t="s">
        <v>78</v>
      </c>
      <c r="BI55" s="219"/>
      <c r="BJ55" s="219"/>
      <c r="BK55" s="174">
        <v>0</v>
      </c>
      <c r="BL55" s="174">
        <v>3</v>
      </c>
      <c r="BM55" s="174">
        <v>7</v>
      </c>
      <c r="BN55" s="174">
        <v>2</v>
      </c>
      <c r="BO55" s="174">
        <v>5</v>
      </c>
      <c r="BP55" s="174">
        <v>3</v>
      </c>
      <c r="BQ55" s="174">
        <v>1</v>
      </c>
      <c r="BR55" s="174">
        <v>4</v>
      </c>
      <c r="BS55" s="174">
        <v>1</v>
      </c>
      <c r="BT55" s="174">
        <v>1</v>
      </c>
      <c r="BU55" s="174">
        <v>1</v>
      </c>
      <c r="BV55" s="174">
        <v>0</v>
      </c>
      <c r="BW55" s="174">
        <v>1</v>
      </c>
      <c r="BX55" s="174">
        <v>0</v>
      </c>
      <c r="BY55" s="179">
        <f t="shared" si="73"/>
        <v>16</v>
      </c>
      <c r="BZ55" s="179">
        <f t="shared" si="73"/>
        <v>13</v>
      </c>
      <c r="CA55" s="185">
        <f>BZ55+BY55</f>
        <v>29</v>
      </c>
    </row>
    <row r="56" spans="1:79" ht="80.099999999999994" customHeight="1">
      <c r="A56" s="173">
        <v>11</v>
      </c>
      <c r="B56" s="151" t="s">
        <v>79</v>
      </c>
      <c r="C56" s="146" t="s">
        <v>80</v>
      </c>
      <c r="D56" s="147">
        <v>190000</v>
      </c>
      <c r="E56" s="144">
        <f t="shared" si="67"/>
        <v>67.5</v>
      </c>
      <c r="F56" s="147">
        <v>30</v>
      </c>
      <c r="G56" s="186">
        <v>0</v>
      </c>
      <c r="H56" s="186">
        <v>2</v>
      </c>
      <c r="I56" s="173">
        <f>SUM(G56:H56)</f>
        <v>2</v>
      </c>
      <c r="J56" s="173">
        <v>2</v>
      </c>
      <c r="K56" s="173">
        <f t="shared" si="50"/>
        <v>0</v>
      </c>
      <c r="L56" s="174">
        <v>0</v>
      </c>
      <c r="M56" s="174">
        <v>0</v>
      </c>
      <c r="N56" s="173">
        <f>SUM(L56:M56)</f>
        <v>0</v>
      </c>
      <c r="O56" s="174">
        <v>0</v>
      </c>
      <c r="P56" s="174">
        <v>0</v>
      </c>
      <c r="Q56" s="173">
        <f>SUM(O56:P56)</f>
        <v>0</v>
      </c>
      <c r="R56" s="174">
        <v>0</v>
      </c>
      <c r="S56" s="174">
        <v>0</v>
      </c>
      <c r="T56" s="173">
        <f>SUM(R56:S56)</f>
        <v>0</v>
      </c>
      <c r="U56" s="173"/>
      <c r="V56" s="173"/>
      <c r="W56" s="173"/>
      <c r="X56" s="173"/>
      <c r="Y56" s="175">
        <f t="shared" si="68"/>
        <v>6.6666666666666666E-2</v>
      </c>
      <c r="Z56" s="175">
        <f>I56*4/(D56*0.0008)</f>
        <v>5.2631578947368418E-2</v>
      </c>
      <c r="AA56" s="174">
        <v>0</v>
      </c>
      <c r="AB56" s="174">
        <v>0</v>
      </c>
      <c r="AC56" s="174">
        <v>0</v>
      </c>
      <c r="AD56" s="174">
        <v>0</v>
      </c>
      <c r="AE56" s="174">
        <v>8</v>
      </c>
      <c r="AF56" s="174">
        <v>14</v>
      </c>
      <c r="AG56" s="174"/>
      <c r="AH56" s="174"/>
      <c r="AI56" s="178">
        <f t="shared" si="55"/>
        <v>22</v>
      </c>
      <c r="AJ56" s="174">
        <v>0</v>
      </c>
      <c r="AK56" s="174">
        <v>0</v>
      </c>
      <c r="AL56" s="174">
        <v>0</v>
      </c>
      <c r="AM56" s="174">
        <v>0</v>
      </c>
      <c r="AN56" s="174">
        <v>1</v>
      </c>
      <c r="AO56" s="174">
        <v>3</v>
      </c>
      <c r="AP56" s="174"/>
      <c r="AQ56" s="174"/>
      <c r="AR56" s="178">
        <f t="shared" si="56"/>
        <v>4</v>
      </c>
      <c r="AS56" s="179">
        <f t="shared" si="57"/>
        <v>9</v>
      </c>
      <c r="AT56" s="179">
        <f t="shared" si="58"/>
        <v>19</v>
      </c>
      <c r="AU56" s="180">
        <f>SUM(AS56:AT56)</f>
        <v>28</v>
      </c>
      <c r="AV56" s="180">
        <v>9</v>
      </c>
      <c r="AW56" s="180">
        <v>19</v>
      </c>
      <c r="AX56" s="176">
        <f t="shared" si="60"/>
        <v>8.3333333333333329E-2</v>
      </c>
      <c r="AY56" s="176">
        <v>0.08</v>
      </c>
      <c r="AZ56" s="176">
        <f t="shared" si="61"/>
        <v>0.4148148148148148</v>
      </c>
      <c r="BA56" s="175">
        <f>AU56*4/(D56*0.00177)</f>
        <v>0.33303597977995836</v>
      </c>
      <c r="BB56" s="175">
        <f>(N56+Q56+T56)/AU56</f>
        <v>0</v>
      </c>
      <c r="BC56" s="187">
        <f>I56*4/D56*100000</f>
        <v>4.2105263157894735</v>
      </c>
      <c r="BD56" s="188">
        <f>AU56*4/D56*100000</f>
        <v>58.94736842105263</v>
      </c>
      <c r="BE56" s="189"/>
      <c r="BF56" s="184">
        <v>12</v>
      </c>
      <c r="BG56" s="151" t="s">
        <v>79</v>
      </c>
      <c r="BH56" s="146" t="s">
        <v>80</v>
      </c>
      <c r="BI56" s="219"/>
      <c r="BJ56" s="219"/>
      <c r="BK56" s="174">
        <v>0</v>
      </c>
      <c r="BL56" s="174">
        <v>0</v>
      </c>
      <c r="BM56" s="174">
        <v>0</v>
      </c>
      <c r="BN56" s="174">
        <v>1</v>
      </c>
      <c r="BO56" s="174">
        <v>0</v>
      </c>
      <c r="BP56" s="174">
        <v>0</v>
      </c>
      <c r="BQ56" s="174">
        <v>0</v>
      </c>
      <c r="BR56" s="174">
        <v>0</v>
      </c>
      <c r="BS56" s="174">
        <v>0</v>
      </c>
      <c r="BT56" s="174">
        <v>0</v>
      </c>
      <c r="BU56" s="174">
        <v>0</v>
      </c>
      <c r="BV56" s="174">
        <v>1</v>
      </c>
      <c r="BW56" s="174">
        <v>0</v>
      </c>
      <c r="BX56" s="174">
        <v>0</v>
      </c>
      <c r="BY56" s="173">
        <f t="shared" si="73"/>
        <v>0</v>
      </c>
      <c r="BZ56" s="173">
        <f t="shared" si="73"/>
        <v>2</v>
      </c>
      <c r="CA56" s="180">
        <f>BZ56+BY56</f>
        <v>2</v>
      </c>
    </row>
    <row r="57" spans="1:79" ht="80.099999999999994" customHeight="1">
      <c r="A57" s="232" t="s">
        <v>110</v>
      </c>
      <c r="B57" s="233" t="s">
        <v>81</v>
      </c>
      <c r="C57" s="234" t="s">
        <v>82</v>
      </c>
      <c r="D57" s="228">
        <v>670000</v>
      </c>
      <c r="E57" s="227">
        <f t="shared" si="67"/>
        <v>202.5</v>
      </c>
      <c r="F57" s="228">
        <f>SUM(F54:F56)</f>
        <v>90</v>
      </c>
      <c r="G57" s="229">
        <f t="shared" ref="G57:AO57" si="74">G54+G55+G56</f>
        <v>23</v>
      </c>
      <c r="H57" s="229">
        <f t="shared" si="74"/>
        <v>26</v>
      </c>
      <c r="I57" s="229">
        <f t="shared" si="74"/>
        <v>49</v>
      </c>
      <c r="J57" s="229">
        <v>49</v>
      </c>
      <c r="K57" s="173">
        <f t="shared" si="50"/>
        <v>3</v>
      </c>
      <c r="L57" s="229">
        <f t="shared" si="74"/>
        <v>1</v>
      </c>
      <c r="M57" s="229">
        <f t="shared" si="74"/>
        <v>2</v>
      </c>
      <c r="N57" s="229">
        <f t="shared" si="74"/>
        <v>3</v>
      </c>
      <c r="O57" s="229">
        <f t="shared" si="74"/>
        <v>0</v>
      </c>
      <c r="P57" s="229">
        <f t="shared" si="74"/>
        <v>0</v>
      </c>
      <c r="Q57" s="229">
        <f t="shared" si="74"/>
        <v>0</v>
      </c>
      <c r="R57" s="229">
        <f t="shared" si="74"/>
        <v>0</v>
      </c>
      <c r="S57" s="229">
        <f t="shared" si="74"/>
        <v>0</v>
      </c>
      <c r="T57" s="229">
        <f t="shared" si="74"/>
        <v>0</v>
      </c>
      <c r="U57" s="229">
        <f t="shared" si="74"/>
        <v>0</v>
      </c>
      <c r="V57" s="229">
        <f t="shared" si="74"/>
        <v>0</v>
      </c>
      <c r="W57" s="229">
        <f t="shared" si="74"/>
        <v>0</v>
      </c>
      <c r="X57" s="229"/>
      <c r="Y57" s="230">
        <f t="shared" si="68"/>
        <v>0.5444444444444444</v>
      </c>
      <c r="Z57" s="229">
        <f t="shared" si="74"/>
        <v>1.1261343012704175</v>
      </c>
      <c r="AA57" s="229">
        <f t="shared" si="74"/>
        <v>0</v>
      </c>
      <c r="AB57" s="229">
        <f t="shared" si="74"/>
        <v>0</v>
      </c>
      <c r="AC57" s="229">
        <f t="shared" si="74"/>
        <v>0</v>
      </c>
      <c r="AD57" s="229">
        <f t="shared" si="74"/>
        <v>0</v>
      </c>
      <c r="AE57" s="229">
        <f t="shared" si="74"/>
        <v>21</v>
      </c>
      <c r="AF57" s="229">
        <f t="shared" si="74"/>
        <v>25</v>
      </c>
      <c r="AG57" s="229"/>
      <c r="AH57" s="229"/>
      <c r="AI57" s="231">
        <f t="shared" si="55"/>
        <v>46</v>
      </c>
      <c r="AJ57" s="229">
        <f t="shared" si="74"/>
        <v>0</v>
      </c>
      <c r="AK57" s="229">
        <f t="shared" si="74"/>
        <v>0</v>
      </c>
      <c r="AL57" s="229">
        <f t="shared" si="74"/>
        <v>0</v>
      </c>
      <c r="AM57" s="229">
        <f t="shared" si="74"/>
        <v>0</v>
      </c>
      <c r="AN57" s="229">
        <f t="shared" si="74"/>
        <v>7</v>
      </c>
      <c r="AO57" s="229">
        <f t="shared" si="74"/>
        <v>23</v>
      </c>
      <c r="AP57" s="229"/>
      <c r="AQ57" s="229"/>
      <c r="AR57" s="231">
        <f t="shared" si="56"/>
        <v>30</v>
      </c>
      <c r="AS57" s="232">
        <f t="shared" si="57"/>
        <v>52</v>
      </c>
      <c r="AT57" s="232">
        <f t="shared" si="58"/>
        <v>76</v>
      </c>
      <c r="AU57" s="229">
        <f t="shared" ref="AU57:BF57" si="75">AU54+AU55+AU56</f>
        <v>128</v>
      </c>
      <c r="AV57" s="229">
        <v>52</v>
      </c>
      <c r="AW57" s="229">
        <v>76</v>
      </c>
      <c r="AX57" s="230">
        <f t="shared" si="60"/>
        <v>0.51578947368421058</v>
      </c>
      <c r="AY57" s="230">
        <v>0.52</v>
      </c>
      <c r="AZ57" s="230">
        <f t="shared" si="61"/>
        <v>0.63209876543209875</v>
      </c>
      <c r="BA57" s="229">
        <f t="shared" si="75"/>
        <v>1.3583930603832783</v>
      </c>
      <c r="BB57" s="229">
        <f t="shared" si="75"/>
        <v>0.05</v>
      </c>
      <c r="BC57" s="229">
        <f t="shared" si="75"/>
        <v>90.090744101633405</v>
      </c>
      <c r="BD57" s="229">
        <f t="shared" si="75"/>
        <v>240.43557168784028</v>
      </c>
      <c r="BE57" s="229"/>
      <c r="BF57" s="229">
        <f t="shared" si="75"/>
        <v>33</v>
      </c>
      <c r="BG57" s="233" t="s">
        <v>81</v>
      </c>
      <c r="BH57" s="234" t="s">
        <v>82</v>
      </c>
      <c r="BI57" s="229">
        <f t="shared" ref="BI57:CA57" si="76">BI54+BI55+BI56</f>
        <v>0</v>
      </c>
      <c r="BJ57" s="229">
        <f t="shared" si="76"/>
        <v>0</v>
      </c>
      <c r="BK57" s="229">
        <f t="shared" si="76"/>
        <v>0</v>
      </c>
      <c r="BL57" s="229">
        <f t="shared" si="76"/>
        <v>3</v>
      </c>
      <c r="BM57" s="229">
        <f t="shared" si="76"/>
        <v>10</v>
      </c>
      <c r="BN57" s="229">
        <f t="shared" si="76"/>
        <v>10</v>
      </c>
      <c r="BO57" s="229">
        <f t="shared" si="76"/>
        <v>6</v>
      </c>
      <c r="BP57" s="229">
        <f t="shared" si="76"/>
        <v>5</v>
      </c>
      <c r="BQ57" s="229">
        <f t="shared" si="76"/>
        <v>2</v>
      </c>
      <c r="BR57" s="229">
        <f t="shared" si="76"/>
        <v>4</v>
      </c>
      <c r="BS57" s="229">
        <f t="shared" si="76"/>
        <v>2</v>
      </c>
      <c r="BT57" s="229">
        <f t="shared" si="76"/>
        <v>1</v>
      </c>
      <c r="BU57" s="229">
        <f t="shared" si="76"/>
        <v>2</v>
      </c>
      <c r="BV57" s="229">
        <f t="shared" si="76"/>
        <v>2</v>
      </c>
      <c r="BW57" s="229">
        <f t="shared" si="76"/>
        <v>1</v>
      </c>
      <c r="BX57" s="229">
        <f t="shared" si="76"/>
        <v>1</v>
      </c>
      <c r="BY57" s="229">
        <f t="shared" si="76"/>
        <v>23</v>
      </c>
      <c r="BZ57" s="229">
        <f t="shared" si="76"/>
        <v>26</v>
      </c>
      <c r="CA57" s="229">
        <f t="shared" si="76"/>
        <v>49</v>
      </c>
    </row>
    <row r="58" spans="1:79" ht="80.099999999999994" customHeight="1">
      <c r="A58" s="173">
        <v>12</v>
      </c>
      <c r="B58" s="142" t="s">
        <v>83</v>
      </c>
      <c r="C58" s="143" t="s">
        <v>62</v>
      </c>
      <c r="D58" s="144">
        <v>200000</v>
      </c>
      <c r="E58" s="144">
        <f t="shared" si="67"/>
        <v>67.5</v>
      </c>
      <c r="F58" s="144">
        <v>30</v>
      </c>
      <c r="G58" s="186">
        <v>3</v>
      </c>
      <c r="H58" s="186">
        <v>4</v>
      </c>
      <c r="I58" s="173">
        <f t="shared" ref="I58:I74" si="77">SUM(G58:H58)</f>
        <v>7</v>
      </c>
      <c r="J58" s="173">
        <v>7</v>
      </c>
      <c r="K58" s="173">
        <f t="shared" si="50"/>
        <v>1</v>
      </c>
      <c r="L58" s="186">
        <v>1</v>
      </c>
      <c r="M58" s="186">
        <v>0</v>
      </c>
      <c r="N58" s="173">
        <f t="shared" ref="N58:N74" si="78">SUM(L58:M58)</f>
        <v>1</v>
      </c>
      <c r="O58" s="186">
        <v>0</v>
      </c>
      <c r="P58" s="186">
        <v>0</v>
      </c>
      <c r="Q58" s="173">
        <f t="shared" ref="Q58:Q74" si="79">SUM(O58:P58)</f>
        <v>0</v>
      </c>
      <c r="R58" s="186">
        <v>0</v>
      </c>
      <c r="S58" s="186">
        <v>0</v>
      </c>
      <c r="T58" s="173">
        <f t="shared" ref="T58:T74" si="80">SUM(R58:S58)</f>
        <v>0</v>
      </c>
      <c r="U58" s="173"/>
      <c r="V58" s="173"/>
      <c r="W58" s="173"/>
      <c r="X58" s="173"/>
      <c r="Y58" s="175">
        <f t="shared" si="68"/>
        <v>0.23333333333333334</v>
      </c>
      <c r="Z58" s="175">
        <f t="shared" ref="Z58:Z75" si="81">I58*4/(D58*0.0008)</f>
        <v>0.17499999999999999</v>
      </c>
      <c r="AA58" s="174">
        <v>0</v>
      </c>
      <c r="AB58" s="174">
        <v>0</v>
      </c>
      <c r="AC58" s="174">
        <v>0</v>
      </c>
      <c r="AD58" s="174">
        <v>0</v>
      </c>
      <c r="AE58" s="186">
        <v>4</v>
      </c>
      <c r="AF58" s="186">
        <v>4</v>
      </c>
      <c r="AG58" s="186"/>
      <c r="AH58" s="186"/>
      <c r="AI58" s="178">
        <f t="shared" si="55"/>
        <v>8</v>
      </c>
      <c r="AJ58" s="174">
        <v>0</v>
      </c>
      <c r="AK58" s="174">
        <v>0</v>
      </c>
      <c r="AL58" s="174">
        <v>0</v>
      </c>
      <c r="AM58" s="174">
        <v>0</v>
      </c>
      <c r="AN58" s="186">
        <v>0</v>
      </c>
      <c r="AO58" s="186">
        <v>2</v>
      </c>
      <c r="AP58" s="186"/>
      <c r="AQ58" s="186"/>
      <c r="AR58" s="178">
        <f t="shared" si="56"/>
        <v>2</v>
      </c>
      <c r="AS58" s="179">
        <f t="shared" si="57"/>
        <v>8</v>
      </c>
      <c r="AT58" s="179">
        <f t="shared" si="58"/>
        <v>10</v>
      </c>
      <c r="AU58" s="180">
        <f t="shared" ref="AU58:AU75" si="82">SUM(AS58:AT58)</f>
        <v>18</v>
      </c>
      <c r="AV58" s="180">
        <v>8</v>
      </c>
      <c r="AW58" s="180">
        <v>10</v>
      </c>
      <c r="AX58" s="176">
        <f t="shared" si="60"/>
        <v>0.46666666666666667</v>
      </c>
      <c r="AY58" s="176">
        <v>0.47</v>
      </c>
      <c r="AZ58" s="176">
        <f t="shared" si="61"/>
        <v>0.26666666666666666</v>
      </c>
      <c r="BA58" s="175">
        <f t="shared" ref="BA58:BA76" si="83">AU58*4/(D58*0.00177)</f>
        <v>0.20338983050847459</v>
      </c>
      <c r="BB58" s="175">
        <f t="shared" ref="BB58:BB76" si="84">(N58+Q58+T58)/AU58</f>
        <v>5.5555555555555552E-2</v>
      </c>
      <c r="BC58" s="187">
        <f t="shared" ref="BC58:BC76" si="85">I58*4/D58*100000</f>
        <v>13.999999999999998</v>
      </c>
      <c r="BD58" s="188">
        <f t="shared" ref="BD58:BD76" si="86">AU58*4/D58*100000</f>
        <v>36</v>
      </c>
      <c r="BE58" s="189"/>
      <c r="BF58" s="184">
        <v>14</v>
      </c>
      <c r="BG58" s="142" t="s">
        <v>83</v>
      </c>
      <c r="BH58" s="143" t="s">
        <v>62</v>
      </c>
      <c r="BI58" s="219"/>
      <c r="BJ58" s="219"/>
      <c r="BK58" s="186">
        <v>0</v>
      </c>
      <c r="BL58" s="186">
        <v>1</v>
      </c>
      <c r="BM58" s="186">
        <v>1</v>
      </c>
      <c r="BN58" s="186">
        <v>1</v>
      </c>
      <c r="BO58" s="186">
        <v>2</v>
      </c>
      <c r="BP58" s="186">
        <v>0</v>
      </c>
      <c r="BQ58" s="186">
        <v>0</v>
      </c>
      <c r="BR58" s="186">
        <v>0</v>
      </c>
      <c r="BS58" s="186">
        <v>0</v>
      </c>
      <c r="BT58" s="186">
        <v>2</v>
      </c>
      <c r="BU58" s="186">
        <v>0</v>
      </c>
      <c r="BV58" s="186">
        <v>0</v>
      </c>
      <c r="BW58" s="186">
        <v>0</v>
      </c>
      <c r="BX58" s="186">
        <v>0</v>
      </c>
      <c r="BY58" s="173">
        <f t="shared" ref="BY58:BY74" si="87">BW58+BU58+BS58+BQ58+BO58+BM58+BK58+BI58</f>
        <v>3</v>
      </c>
      <c r="BZ58" s="173">
        <f t="shared" ref="BZ58:BZ74" si="88">BX58+BV58+BT58+BR58+BP58+BN58+BL58+BJ58</f>
        <v>4</v>
      </c>
      <c r="CA58" s="180">
        <f t="shared" ref="CA58:CA74" si="89">BZ58+BY58</f>
        <v>7</v>
      </c>
    </row>
    <row r="59" spans="1:79" ht="80.099999999999994" customHeight="1">
      <c r="A59" s="277">
        <v>13</v>
      </c>
      <c r="B59" s="278" t="s">
        <v>84</v>
      </c>
      <c r="C59" s="279" t="s">
        <v>85</v>
      </c>
      <c r="D59" s="280">
        <v>50000</v>
      </c>
      <c r="E59" s="281">
        <f t="shared" si="67"/>
        <v>0</v>
      </c>
      <c r="F59" s="280"/>
      <c r="G59" s="282"/>
      <c r="H59" s="282"/>
      <c r="I59" s="277">
        <f t="shared" si="77"/>
        <v>0</v>
      </c>
      <c r="J59" s="277"/>
      <c r="K59" s="173">
        <f t="shared" si="50"/>
        <v>0</v>
      </c>
      <c r="L59" s="282">
        <v>0</v>
      </c>
      <c r="M59" s="282">
        <v>0</v>
      </c>
      <c r="N59" s="277">
        <f t="shared" si="78"/>
        <v>0</v>
      </c>
      <c r="O59" s="282">
        <v>0</v>
      </c>
      <c r="P59" s="282">
        <v>0</v>
      </c>
      <c r="Q59" s="277">
        <f t="shared" si="79"/>
        <v>0</v>
      </c>
      <c r="R59" s="282"/>
      <c r="S59" s="282"/>
      <c r="T59" s="277">
        <f t="shared" si="80"/>
        <v>0</v>
      </c>
      <c r="U59" s="277"/>
      <c r="V59" s="277"/>
      <c r="W59" s="277"/>
      <c r="X59" s="277"/>
      <c r="Y59" s="212" t="e">
        <f t="shared" si="68"/>
        <v>#DIV/0!</v>
      </c>
      <c r="Z59" s="212">
        <f t="shared" si="81"/>
        <v>0</v>
      </c>
      <c r="AA59" s="282">
        <v>0</v>
      </c>
      <c r="AB59" s="282">
        <v>0</v>
      </c>
      <c r="AC59" s="282">
        <v>0</v>
      </c>
      <c r="AD59" s="282">
        <v>0</v>
      </c>
      <c r="AE59" s="282"/>
      <c r="AF59" s="282"/>
      <c r="AG59" s="282"/>
      <c r="AH59" s="282"/>
      <c r="AI59" s="283">
        <f t="shared" si="55"/>
        <v>0</v>
      </c>
      <c r="AJ59" s="282">
        <v>0</v>
      </c>
      <c r="AK59" s="282">
        <v>0</v>
      </c>
      <c r="AL59" s="282">
        <v>0</v>
      </c>
      <c r="AM59" s="282">
        <v>0</v>
      </c>
      <c r="AN59" s="282"/>
      <c r="AO59" s="282"/>
      <c r="AP59" s="282"/>
      <c r="AQ59" s="282"/>
      <c r="AR59" s="283">
        <f t="shared" si="56"/>
        <v>0</v>
      </c>
      <c r="AS59" s="277">
        <f t="shared" si="57"/>
        <v>0</v>
      </c>
      <c r="AT59" s="277">
        <f t="shared" si="58"/>
        <v>0</v>
      </c>
      <c r="AU59" s="284">
        <f t="shared" si="82"/>
        <v>0</v>
      </c>
      <c r="AV59" s="284"/>
      <c r="AW59" s="284"/>
      <c r="AX59" s="212" t="e">
        <f t="shared" si="60"/>
        <v>#DIV/0!</v>
      </c>
      <c r="AY59" s="212"/>
      <c r="AZ59" s="212" t="e">
        <f t="shared" si="61"/>
        <v>#DIV/0!</v>
      </c>
      <c r="BA59" s="212">
        <f t="shared" si="83"/>
        <v>0</v>
      </c>
      <c r="BB59" s="212" t="e">
        <f t="shared" si="84"/>
        <v>#DIV/0!</v>
      </c>
      <c r="BC59" s="213">
        <f t="shared" si="85"/>
        <v>0</v>
      </c>
      <c r="BD59" s="214">
        <f t="shared" si="86"/>
        <v>0</v>
      </c>
      <c r="BE59" s="215"/>
      <c r="BF59" s="216">
        <v>15</v>
      </c>
      <c r="BG59" s="278" t="s">
        <v>84</v>
      </c>
      <c r="BH59" s="279" t="s">
        <v>85</v>
      </c>
      <c r="BI59" s="282"/>
      <c r="BJ59" s="282"/>
      <c r="BK59" s="282">
        <v>0</v>
      </c>
      <c r="BL59" s="282">
        <v>0</v>
      </c>
      <c r="BM59" s="282">
        <v>0</v>
      </c>
      <c r="BN59" s="282">
        <v>0</v>
      </c>
      <c r="BO59" s="282">
        <v>0</v>
      </c>
      <c r="BP59" s="282">
        <v>0</v>
      </c>
      <c r="BQ59" s="282">
        <v>0</v>
      </c>
      <c r="BR59" s="282">
        <v>0</v>
      </c>
      <c r="BS59" s="282">
        <v>0</v>
      </c>
      <c r="BT59" s="282">
        <v>0</v>
      </c>
      <c r="BU59" s="282">
        <v>0</v>
      </c>
      <c r="BV59" s="282">
        <v>0</v>
      </c>
      <c r="BW59" s="282">
        <v>0</v>
      </c>
      <c r="BX59" s="282">
        <v>0</v>
      </c>
      <c r="BY59" s="277">
        <f t="shared" si="87"/>
        <v>0</v>
      </c>
      <c r="BZ59" s="277">
        <f t="shared" si="88"/>
        <v>0</v>
      </c>
      <c r="CA59" s="284">
        <f t="shared" si="89"/>
        <v>0</v>
      </c>
    </row>
    <row r="60" spans="1:79" ht="80.099999999999994" customHeight="1">
      <c r="A60" s="173">
        <v>14</v>
      </c>
      <c r="B60" s="151" t="s">
        <v>86</v>
      </c>
      <c r="C60" s="146" t="s">
        <v>53</v>
      </c>
      <c r="D60" s="147">
        <v>100000</v>
      </c>
      <c r="E60" s="144">
        <f t="shared" si="67"/>
        <v>56.25</v>
      </c>
      <c r="F60" s="147">
        <v>25</v>
      </c>
      <c r="G60" s="186">
        <v>7</v>
      </c>
      <c r="H60" s="186">
        <v>12</v>
      </c>
      <c r="I60" s="173">
        <f t="shared" si="77"/>
        <v>19</v>
      </c>
      <c r="J60" s="173">
        <v>19</v>
      </c>
      <c r="K60" s="173">
        <f t="shared" si="50"/>
        <v>4</v>
      </c>
      <c r="L60" s="186">
        <v>1</v>
      </c>
      <c r="M60" s="186">
        <v>3</v>
      </c>
      <c r="N60" s="173">
        <f t="shared" si="78"/>
        <v>4</v>
      </c>
      <c r="O60" s="186">
        <v>0</v>
      </c>
      <c r="P60" s="186">
        <v>0</v>
      </c>
      <c r="Q60" s="173">
        <v>0</v>
      </c>
      <c r="R60" s="186">
        <v>0</v>
      </c>
      <c r="S60" s="186">
        <v>0</v>
      </c>
      <c r="T60" s="173">
        <f t="shared" si="80"/>
        <v>0</v>
      </c>
      <c r="U60" s="173"/>
      <c r="V60" s="173"/>
      <c r="W60" s="173"/>
      <c r="X60" s="173"/>
      <c r="Y60" s="175">
        <f t="shared" si="68"/>
        <v>0.76</v>
      </c>
      <c r="Z60" s="175">
        <f t="shared" si="81"/>
        <v>0.95</v>
      </c>
      <c r="AA60" s="174">
        <v>0</v>
      </c>
      <c r="AB60" s="174">
        <v>0</v>
      </c>
      <c r="AC60" s="174">
        <v>0</v>
      </c>
      <c r="AD60" s="174">
        <v>0</v>
      </c>
      <c r="AE60" s="186">
        <v>1</v>
      </c>
      <c r="AF60" s="186">
        <v>5</v>
      </c>
      <c r="AG60" s="186"/>
      <c r="AH60" s="186"/>
      <c r="AI60" s="178">
        <f t="shared" si="55"/>
        <v>6</v>
      </c>
      <c r="AJ60" s="174">
        <v>0</v>
      </c>
      <c r="AK60" s="174">
        <v>0</v>
      </c>
      <c r="AL60" s="174">
        <v>0</v>
      </c>
      <c r="AM60" s="174">
        <v>0</v>
      </c>
      <c r="AN60" s="186">
        <v>1</v>
      </c>
      <c r="AO60" s="186">
        <v>1</v>
      </c>
      <c r="AP60" s="186"/>
      <c r="AQ60" s="186"/>
      <c r="AR60" s="178">
        <f t="shared" si="56"/>
        <v>2</v>
      </c>
      <c r="AS60" s="179">
        <f t="shared" si="57"/>
        <v>10</v>
      </c>
      <c r="AT60" s="179">
        <f t="shared" si="58"/>
        <v>21</v>
      </c>
      <c r="AU60" s="180">
        <f t="shared" si="82"/>
        <v>31</v>
      </c>
      <c r="AV60" s="180">
        <v>10</v>
      </c>
      <c r="AW60" s="180">
        <v>21</v>
      </c>
      <c r="AX60" s="176">
        <f t="shared" si="60"/>
        <v>0.76</v>
      </c>
      <c r="AY60" s="176">
        <v>0.76</v>
      </c>
      <c r="AZ60" s="176">
        <f t="shared" si="61"/>
        <v>0.55111111111111111</v>
      </c>
      <c r="BA60" s="175">
        <f t="shared" si="83"/>
        <v>0.70056497175141241</v>
      </c>
      <c r="BB60" s="175">
        <f t="shared" si="84"/>
        <v>0.12903225806451613</v>
      </c>
      <c r="BC60" s="187">
        <f t="shared" si="85"/>
        <v>76</v>
      </c>
      <c r="BD60" s="188">
        <f t="shared" si="86"/>
        <v>124</v>
      </c>
      <c r="BE60" s="189"/>
      <c r="BF60" s="184">
        <v>16</v>
      </c>
      <c r="BG60" s="151" t="s">
        <v>86</v>
      </c>
      <c r="BH60" s="146" t="s">
        <v>53</v>
      </c>
      <c r="BI60" s="219"/>
      <c r="BJ60" s="219"/>
      <c r="BK60" s="174">
        <v>0</v>
      </c>
      <c r="BL60" s="174">
        <v>0</v>
      </c>
      <c r="BM60" s="186">
        <v>3</v>
      </c>
      <c r="BN60" s="186">
        <v>11</v>
      </c>
      <c r="BO60" s="186">
        <v>2</v>
      </c>
      <c r="BP60" s="186">
        <v>0</v>
      </c>
      <c r="BQ60" s="186">
        <v>1</v>
      </c>
      <c r="BR60" s="186">
        <v>1</v>
      </c>
      <c r="BS60" s="186">
        <v>1</v>
      </c>
      <c r="BT60" s="186">
        <v>0</v>
      </c>
      <c r="BU60" s="186">
        <v>0</v>
      </c>
      <c r="BV60" s="186">
        <v>0</v>
      </c>
      <c r="BW60" s="186">
        <v>0</v>
      </c>
      <c r="BX60" s="186">
        <v>0</v>
      </c>
      <c r="BY60" s="173">
        <f t="shared" si="87"/>
        <v>7</v>
      </c>
      <c r="BZ60" s="173">
        <f t="shared" si="88"/>
        <v>12</v>
      </c>
      <c r="CA60" s="180">
        <f t="shared" si="89"/>
        <v>19</v>
      </c>
    </row>
    <row r="61" spans="1:79" ht="80.099999999999994" customHeight="1">
      <c r="A61" s="173">
        <v>15</v>
      </c>
      <c r="B61" s="151" t="s">
        <v>87</v>
      </c>
      <c r="C61" s="146" t="s">
        <v>57</v>
      </c>
      <c r="D61" s="147">
        <v>100000</v>
      </c>
      <c r="E61" s="144">
        <f t="shared" si="67"/>
        <v>67.5</v>
      </c>
      <c r="F61" s="147">
        <v>30</v>
      </c>
      <c r="G61" s="174">
        <v>8</v>
      </c>
      <c r="H61" s="174">
        <v>6</v>
      </c>
      <c r="I61" s="173">
        <f t="shared" si="77"/>
        <v>14</v>
      </c>
      <c r="J61" s="173">
        <v>14</v>
      </c>
      <c r="K61" s="173">
        <f t="shared" si="50"/>
        <v>0</v>
      </c>
      <c r="L61" s="174">
        <v>0</v>
      </c>
      <c r="M61" s="174">
        <v>0</v>
      </c>
      <c r="N61" s="173">
        <f t="shared" si="78"/>
        <v>0</v>
      </c>
      <c r="O61" s="174">
        <v>0</v>
      </c>
      <c r="P61" s="174">
        <v>0</v>
      </c>
      <c r="Q61" s="173">
        <f t="shared" si="79"/>
        <v>0</v>
      </c>
      <c r="R61" s="174">
        <v>0</v>
      </c>
      <c r="S61" s="174">
        <v>0</v>
      </c>
      <c r="T61" s="173">
        <f t="shared" si="80"/>
        <v>0</v>
      </c>
      <c r="U61" s="173"/>
      <c r="V61" s="173"/>
      <c r="W61" s="173"/>
      <c r="X61" s="173"/>
      <c r="Y61" s="175">
        <f t="shared" si="68"/>
        <v>0.46666666666666667</v>
      </c>
      <c r="Z61" s="176">
        <f t="shared" si="81"/>
        <v>0.7</v>
      </c>
      <c r="AA61" s="174">
        <v>0</v>
      </c>
      <c r="AB61" s="174">
        <v>0</v>
      </c>
      <c r="AC61" s="174">
        <v>0</v>
      </c>
      <c r="AD61" s="174">
        <v>0</v>
      </c>
      <c r="AE61" s="174">
        <v>7</v>
      </c>
      <c r="AF61" s="174">
        <v>7</v>
      </c>
      <c r="AG61" s="174"/>
      <c r="AH61" s="174"/>
      <c r="AI61" s="178">
        <f t="shared" si="55"/>
        <v>14</v>
      </c>
      <c r="AJ61" s="174">
        <v>0</v>
      </c>
      <c r="AK61" s="174">
        <v>0</v>
      </c>
      <c r="AL61" s="174">
        <v>0</v>
      </c>
      <c r="AM61" s="174">
        <v>0</v>
      </c>
      <c r="AN61" s="174">
        <v>7</v>
      </c>
      <c r="AO61" s="174">
        <v>13</v>
      </c>
      <c r="AP61" s="174"/>
      <c r="AQ61" s="174"/>
      <c r="AR61" s="178">
        <f t="shared" si="56"/>
        <v>20</v>
      </c>
      <c r="AS61" s="179">
        <f t="shared" si="57"/>
        <v>22</v>
      </c>
      <c r="AT61" s="179">
        <f t="shared" si="58"/>
        <v>26</v>
      </c>
      <c r="AU61" s="180">
        <f t="shared" si="82"/>
        <v>48</v>
      </c>
      <c r="AV61" s="180">
        <v>22</v>
      </c>
      <c r="AW61" s="180">
        <v>26</v>
      </c>
      <c r="AX61" s="176">
        <f t="shared" si="60"/>
        <v>0.5</v>
      </c>
      <c r="AY61" s="176">
        <v>0.5</v>
      </c>
      <c r="AZ61" s="176">
        <f t="shared" si="61"/>
        <v>0.71111111111111114</v>
      </c>
      <c r="BA61" s="176">
        <f t="shared" si="83"/>
        <v>1.0847457627118644</v>
      </c>
      <c r="BB61" s="176">
        <f t="shared" si="84"/>
        <v>0</v>
      </c>
      <c r="BC61" s="181">
        <f t="shared" si="85"/>
        <v>55.999999999999993</v>
      </c>
      <c r="BD61" s="182">
        <f t="shared" si="86"/>
        <v>192</v>
      </c>
      <c r="BE61" s="183"/>
      <c r="BF61" s="184">
        <v>17</v>
      </c>
      <c r="BG61" s="151" t="s">
        <v>87</v>
      </c>
      <c r="BH61" s="146" t="s">
        <v>57</v>
      </c>
      <c r="BI61" s="219"/>
      <c r="BJ61" s="219"/>
      <c r="BK61" s="174">
        <v>0</v>
      </c>
      <c r="BL61" s="174">
        <v>0</v>
      </c>
      <c r="BM61" s="174">
        <v>1</v>
      </c>
      <c r="BN61" s="174">
        <v>2</v>
      </c>
      <c r="BO61" s="174">
        <v>3</v>
      </c>
      <c r="BP61" s="174">
        <v>2</v>
      </c>
      <c r="BQ61" s="174">
        <v>1</v>
      </c>
      <c r="BR61" s="174">
        <v>1</v>
      </c>
      <c r="BS61" s="174">
        <v>2</v>
      </c>
      <c r="BT61" s="174">
        <v>0</v>
      </c>
      <c r="BU61" s="174">
        <v>1</v>
      </c>
      <c r="BV61" s="174">
        <v>0</v>
      </c>
      <c r="BW61" s="174">
        <v>0</v>
      </c>
      <c r="BX61" s="174">
        <v>1</v>
      </c>
      <c r="BY61" s="179">
        <f t="shared" si="87"/>
        <v>8</v>
      </c>
      <c r="BZ61" s="179">
        <f t="shared" si="88"/>
        <v>6</v>
      </c>
      <c r="CA61" s="185">
        <f t="shared" si="89"/>
        <v>14</v>
      </c>
    </row>
    <row r="62" spans="1:79" ht="80.099999999999994" customHeight="1">
      <c r="A62" s="173">
        <v>16</v>
      </c>
      <c r="B62" s="151" t="s">
        <v>88</v>
      </c>
      <c r="C62" s="146" t="s">
        <v>57</v>
      </c>
      <c r="D62" s="147">
        <v>150000</v>
      </c>
      <c r="E62" s="144">
        <f t="shared" si="67"/>
        <v>67.5</v>
      </c>
      <c r="F62" s="147">
        <v>30</v>
      </c>
      <c r="G62" s="186">
        <v>1</v>
      </c>
      <c r="H62" s="186">
        <v>6</v>
      </c>
      <c r="I62" s="173">
        <f t="shared" si="77"/>
        <v>7</v>
      </c>
      <c r="J62" s="173">
        <v>7</v>
      </c>
      <c r="K62" s="173">
        <f t="shared" si="50"/>
        <v>3</v>
      </c>
      <c r="L62" s="174">
        <v>1</v>
      </c>
      <c r="M62" s="174">
        <v>1</v>
      </c>
      <c r="N62" s="173">
        <f t="shared" si="78"/>
        <v>2</v>
      </c>
      <c r="O62" s="174">
        <v>1</v>
      </c>
      <c r="P62" s="174">
        <v>0</v>
      </c>
      <c r="Q62" s="173">
        <f t="shared" si="79"/>
        <v>1</v>
      </c>
      <c r="R62" s="174">
        <v>0</v>
      </c>
      <c r="S62" s="174">
        <v>0</v>
      </c>
      <c r="T62" s="173">
        <f t="shared" si="80"/>
        <v>0</v>
      </c>
      <c r="U62" s="173"/>
      <c r="V62" s="173"/>
      <c r="W62" s="173"/>
      <c r="X62" s="173"/>
      <c r="Y62" s="175">
        <f t="shared" si="68"/>
        <v>0.23333333333333334</v>
      </c>
      <c r="Z62" s="175">
        <f t="shared" si="81"/>
        <v>0.23333333333333334</v>
      </c>
      <c r="AA62" s="174">
        <v>0</v>
      </c>
      <c r="AB62" s="174">
        <v>0</v>
      </c>
      <c r="AC62" s="174">
        <v>0</v>
      </c>
      <c r="AD62" s="174">
        <v>0</v>
      </c>
      <c r="AE62" s="186">
        <v>3</v>
      </c>
      <c r="AF62" s="186">
        <v>9</v>
      </c>
      <c r="AG62" s="186"/>
      <c r="AH62" s="186"/>
      <c r="AI62" s="178">
        <f t="shared" si="55"/>
        <v>12</v>
      </c>
      <c r="AJ62" s="174">
        <v>0</v>
      </c>
      <c r="AK62" s="174">
        <v>0</v>
      </c>
      <c r="AL62" s="174">
        <v>0</v>
      </c>
      <c r="AM62" s="174">
        <v>0</v>
      </c>
      <c r="AN62" s="186">
        <v>0</v>
      </c>
      <c r="AO62" s="186">
        <v>7</v>
      </c>
      <c r="AP62" s="186"/>
      <c r="AQ62" s="186"/>
      <c r="AR62" s="178">
        <f t="shared" si="56"/>
        <v>7</v>
      </c>
      <c r="AS62" s="179">
        <f t="shared" si="57"/>
        <v>6</v>
      </c>
      <c r="AT62" s="179">
        <f t="shared" si="58"/>
        <v>23</v>
      </c>
      <c r="AU62" s="180">
        <f t="shared" si="82"/>
        <v>29</v>
      </c>
      <c r="AV62" s="180">
        <v>6</v>
      </c>
      <c r="AW62" s="180">
        <v>23</v>
      </c>
      <c r="AX62" s="176">
        <f t="shared" si="60"/>
        <v>0.36842105263157893</v>
      </c>
      <c r="AY62" s="176">
        <v>0.37</v>
      </c>
      <c r="AZ62" s="176">
        <f t="shared" si="61"/>
        <v>0.42962962962962964</v>
      </c>
      <c r="BA62" s="175">
        <f t="shared" si="83"/>
        <v>0.43691148775894539</v>
      </c>
      <c r="BB62" s="175">
        <f t="shared" si="84"/>
        <v>0.10344827586206896</v>
      </c>
      <c r="BC62" s="187">
        <f t="shared" si="85"/>
        <v>18.666666666666664</v>
      </c>
      <c r="BD62" s="188">
        <f t="shared" si="86"/>
        <v>77.333333333333329</v>
      </c>
      <c r="BE62" s="189"/>
      <c r="BF62" s="184">
        <v>18</v>
      </c>
      <c r="BG62" s="151" t="s">
        <v>88</v>
      </c>
      <c r="BH62" s="146" t="s">
        <v>57</v>
      </c>
      <c r="BI62" s="219"/>
      <c r="BJ62" s="219"/>
      <c r="BK62" s="174">
        <v>0</v>
      </c>
      <c r="BL62" s="174">
        <v>1</v>
      </c>
      <c r="BM62" s="174">
        <v>0</v>
      </c>
      <c r="BN62" s="174">
        <v>2</v>
      </c>
      <c r="BO62" s="174">
        <v>1</v>
      </c>
      <c r="BP62" s="174">
        <v>2</v>
      </c>
      <c r="BQ62" s="174">
        <v>0</v>
      </c>
      <c r="BR62" s="174">
        <v>0</v>
      </c>
      <c r="BS62" s="174">
        <v>0</v>
      </c>
      <c r="BT62" s="174">
        <v>0</v>
      </c>
      <c r="BU62" s="174">
        <v>0</v>
      </c>
      <c r="BV62" s="174">
        <v>1</v>
      </c>
      <c r="BW62" s="174">
        <v>0</v>
      </c>
      <c r="BX62" s="174">
        <v>0</v>
      </c>
      <c r="BY62" s="173">
        <f t="shared" si="87"/>
        <v>1</v>
      </c>
      <c r="BZ62" s="173">
        <f t="shared" si="88"/>
        <v>6</v>
      </c>
      <c r="CA62" s="180">
        <f t="shared" si="89"/>
        <v>7</v>
      </c>
    </row>
    <row r="63" spans="1:79" ht="80.099999999999994" customHeight="1">
      <c r="A63" s="173">
        <v>17</v>
      </c>
      <c r="B63" s="151" t="s">
        <v>89</v>
      </c>
      <c r="C63" s="146" t="s">
        <v>76</v>
      </c>
      <c r="D63" s="147">
        <v>200000</v>
      </c>
      <c r="E63" s="144">
        <f t="shared" si="67"/>
        <v>56.25</v>
      </c>
      <c r="F63" s="147">
        <v>25</v>
      </c>
      <c r="G63" s="174">
        <v>2</v>
      </c>
      <c r="H63" s="174">
        <v>3</v>
      </c>
      <c r="I63" s="173">
        <f t="shared" si="77"/>
        <v>5</v>
      </c>
      <c r="J63" s="173">
        <v>5</v>
      </c>
      <c r="K63" s="173">
        <f t="shared" si="50"/>
        <v>0</v>
      </c>
      <c r="L63" s="174">
        <v>0</v>
      </c>
      <c r="M63" s="174">
        <v>0</v>
      </c>
      <c r="N63" s="173">
        <f t="shared" si="78"/>
        <v>0</v>
      </c>
      <c r="O63" s="174">
        <v>0</v>
      </c>
      <c r="P63" s="174">
        <v>0</v>
      </c>
      <c r="Q63" s="173">
        <f t="shared" si="79"/>
        <v>0</v>
      </c>
      <c r="R63" s="174">
        <v>0</v>
      </c>
      <c r="S63" s="174">
        <v>0</v>
      </c>
      <c r="T63" s="173">
        <f t="shared" si="80"/>
        <v>0</v>
      </c>
      <c r="U63" s="173"/>
      <c r="V63" s="173"/>
      <c r="W63" s="173"/>
      <c r="X63" s="173"/>
      <c r="Y63" s="175">
        <f t="shared" si="68"/>
        <v>0.2</v>
      </c>
      <c r="Z63" s="176">
        <f t="shared" si="81"/>
        <v>0.125</v>
      </c>
      <c r="AA63" s="174">
        <v>0</v>
      </c>
      <c r="AB63" s="174">
        <v>0</v>
      </c>
      <c r="AC63" s="174">
        <v>0</v>
      </c>
      <c r="AD63" s="174">
        <v>0</v>
      </c>
      <c r="AE63" s="174">
        <v>7</v>
      </c>
      <c r="AF63" s="174">
        <v>8</v>
      </c>
      <c r="AG63" s="174"/>
      <c r="AH63" s="174"/>
      <c r="AI63" s="178">
        <f t="shared" si="55"/>
        <v>15</v>
      </c>
      <c r="AJ63" s="174">
        <v>0</v>
      </c>
      <c r="AK63" s="174">
        <v>0</v>
      </c>
      <c r="AL63" s="174">
        <v>0</v>
      </c>
      <c r="AM63" s="174">
        <v>0</v>
      </c>
      <c r="AN63" s="174">
        <v>2</v>
      </c>
      <c r="AO63" s="174">
        <v>4</v>
      </c>
      <c r="AP63" s="174"/>
      <c r="AQ63" s="174"/>
      <c r="AR63" s="178">
        <v>5</v>
      </c>
      <c r="AS63" s="179">
        <f t="shared" si="57"/>
        <v>11</v>
      </c>
      <c r="AT63" s="179">
        <f t="shared" si="58"/>
        <v>15</v>
      </c>
      <c r="AU63" s="180">
        <f t="shared" si="82"/>
        <v>26</v>
      </c>
      <c r="AV63" s="180">
        <v>11</v>
      </c>
      <c r="AW63" s="180">
        <v>15</v>
      </c>
      <c r="AX63" s="176">
        <f t="shared" si="60"/>
        <v>0.25</v>
      </c>
      <c r="AY63" s="176">
        <v>0.25</v>
      </c>
      <c r="AZ63" s="176">
        <f t="shared" si="61"/>
        <v>0.4622222222222222</v>
      </c>
      <c r="BA63" s="176">
        <f t="shared" si="83"/>
        <v>0.29378531073446329</v>
      </c>
      <c r="BB63" s="176">
        <f t="shared" si="84"/>
        <v>0</v>
      </c>
      <c r="BC63" s="181">
        <f t="shared" si="85"/>
        <v>10</v>
      </c>
      <c r="BD63" s="182">
        <f t="shared" si="86"/>
        <v>51.999999999999993</v>
      </c>
      <c r="BE63" s="183"/>
      <c r="BF63" s="184">
        <v>19</v>
      </c>
      <c r="BG63" s="151" t="s">
        <v>89</v>
      </c>
      <c r="BH63" s="146" t="s">
        <v>76</v>
      </c>
      <c r="BI63" s="219"/>
      <c r="BJ63" s="219"/>
      <c r="BK63" s="174">
        <v>0</v>
      </c>
      <c r="BL63" s="174">
        <v>0</v>
      </c>
      <c r="BM63" s="174">
        <v>1</v>
      </c>
      <c r="BN63" s="174">
        <v>1</v>
      </c>
      <c r="BO63" s="174">
        <v>1</v>
      </c>
      <c r="BP63" s="174">
        <v>2</v>
      </c>
      <c r="BQ63" s="174">
        <v>0</v>
      </c>
      <c r="BR63" s="174">
        <v>0</v>
      </c>
      <c r="BS63" s="174">
        <v>0</v>
      </c>
      <c r="BT63" s="174">
        <v>0</v>
      </c>
      <c r="BU63" s="174">
        <v>0</v>
      </c>
      <c r="BV63" s="174">
        <v>0</v>
      </c>
      <c r="BW63" s="174">
        <v>0</v>
      </c>
      <c r="BX63" s="174">
        <v>0</v>
      </c>
      <c r="BY63" s="179">
        <f t="shared" si="87"/>
        <v>2</v>
      </c>
      <c r="BZ63" s="179">
        <f t="shared" si="88"/>
        <v>3</v>
      </c>
      <c r="CA63" s="185">
        <f t="shared" si="89"/>
        <v>5</v>
      </c>
    </row>
    <row r="64" spans="1:79" ht="80.099999999999994" customHeight="1">
      <c r="A64" s="173">
        <v>18</v>
      </c>
      <c r="B64" s="142" t="s">
        <v>90</v>
      </c>
      <c r="C64" s="143" t="s">
        <v>71</v>
      </c>
      <c r="D64" s="145">
        <v>100000</v>
      </c>
      <c r="E64" s="144">
        <f t="shared" si="67"/>
        <v>67.5</v>
      </c>
      <c r="F64" s="145">
        <v>30</v>
      </c>
      <c r="G64" s="186">
        <v>1</v>
      </c>
      <c r="H64" s="186">
        <v>3</v>
      </c>
      <c r="I64" s="173">
        <f t="shared" si="77"/>
        <v>4</v>
      </c>
      <c r="J64" s="173">
        <v>4</v>
      </c>
      <c r="K64" s="173">
        <f t="shared" si="50"/>
        <v>0</v>
      </c>
      <c r="L64" s="186">
        <v>0</v>
      </c>
      <c r="M64" s="186">
        <v>0</v>
      </c>
      <c r="N64" s="173">
        <f t="shared" si="78"/>
        <v>0</v>
      </c>
      <c r="O64" s="186">
        <v>0</v>
      </c>
      <c r="P64" s="186">
        <v>0</v>
      </c>
      <c r="Q64" s="173">
        <f t="shared" si="79"/>
        <v>0</v>
      </c>
      <c r="R64" s="186">
        <v>0</v>
      </c>
      <c r="S64" s="186">
        <v>0</v>
      </c>
      <c r="T64" s="173">
        <f t="shared" si="80"/>
        <v>0</v>
      </c>
      <c r="U64" s="173"/>
      <c r="V64" s="173"/>
      <c r="W64" s="173"/>
      <c r="X64" s="173"/>
      <c r="Y64" s="175">
        <f t="shared" si="68"/>
        <v>0.13333333333333333</v>
      </c>
      <c r="Z64" s="175">
        <f t="shared" si="81"/>
        <v>0.2</v>
      </c>
      <c r="AA64" s="174">
        <v>0</v>
      </c>
      <c r="AB64" s="174">
        <v>0</v>
      </c>
      <c r="AC64" s="174">
        <v>0</v>
      </c>
      <c r="AD64" s="174">
        <v>0</v>
      </c>
      <c r="AE64" s="186">
        <v>3</v>
      </c>
      <c r="AF64" s="186">
        <v>10</v>
      </c>
      <c r="AG64" s="186"/>
      <c r="AH64" s="186"/>
      <c r="AI64" s="178">
        <f t="shared" si="55"/>
        <v>13</v>
      </c>
      <c r="AJ64" s="174">
        <v>0</v>
      </c>
      <c r="AK64" s="174">
        <v>0</v>
      </c>
      <c r="AL64" s="174">
        <v>0</v>
      </c>
      <c r="AM64" s="174">
        <v>0</v>
      </c>
      <c r="AN64" s="186">
        <v>6</v>
      </c>
      <c r="AO64" s="186">
        <v>4</v>
      </c>
      <c r="AP64" s="186"/>
      <c r="AQ64" s="186"/>
      <c r="AR64" s="178">
        <f t="shared" si="56"/>
        <v>10</v>
      </c>
      <c r="AS64" s="179">
        <f t="shared" si="57"/>
        <v>10</v>
      </c>
      <c r="AT64" s="179">
        <f t="shared" si="58"/>
        <v>17</v>
      </c>
      <c r="AU64" s="180">
        <f t="shared" si="82"/>
        <v>27</v>
      </c>
      <c r="AV64" s="180">
        <v>10</v>
      </c>
      <c r="AW64" s="180">
        <v>17</v>
      </c>
      <c r="AX64" s="176">
        <f t="shared" si="60"/>
        <v>0.23529411764705882</v>
      </c>
      <c r="AY64" s="176">
        <v>0.24</v>
      </c>
      <c r="AZ64" s="176">
        <f t="shared" si="61"/>
        <v>0.4</v>
      </c>
      <c r="BA64" s="175">
        <f t="shared" si="83"/>
        <v>0.61016949152542377</v>
      </c>
      <c r="BB64" s="175">
        <f t="shared" si="84"/>
        <v>0</v>
      </c>
      <c r="BC64" s="187">
        <f t="shared" si="85"/>
        <v>16</v>
      </c>
      <c r="BD64" s="188">
        <f t="shared" si="86"/>
        <v>108</v>
      </c>
      <c r="BE64" s="189"/>
      <c r="BF64" s="184">
        <v>20</v>
      </c>
      <c r="BG64" s="142" t="s">
        <v>90</v>
      </c>
      <c r="BH64" s="143" t="s">
        <v>71</v>
      </c>
      <c r="BI64" s="219"/>
      <c r="BJ64" s="219"/>
      <c r="BK64" s="186">
        <v>0</v>
      </c>
      <c r="BL64" s="186">
        <v>0</v>
      </c>
      <c r="BM64" s="186">
        <v>0</v>
      </c>
      <c r="BN64" s="186">
        <v>2</v>
      </c>
      <c r="BO64" s="186">
        <v>1</v>
      </c>
      <c r="BP64" s="186">
        <v>1</v>
      </c>
      <c r="BQ64" s="186">
        <v>0</v>
      </c>
      <c r="BR64" s="186">
        <v>0</v>
      </c>
      <c r="BS64" s="186">
        <v>0</v>
      </c>
      <c r="BT64" s="186">
        <v>0</v>
      </c>
      <c r="BU64" s="186">
        <v>0</v>
      </c>
      <c r="BV64" s="186">
        <v>0</v>
      </c>
      <c r="BW64" s="186">
        <v>0</v>
      </c>
      <c r="BX64" s="186">
        <v>0</v>
      </c>
      <c r="BY64" s="173">
        <f t="shared" si="87"/>
        <v>1</v>
      </c>
      <c r="BZ64" s="173">
        <f t="shared" si="88"/>
        <v>3</v>
      </c>
      <c r="CA64" s="180">
        <f t="shared" si="89"/>
        <v>4</v>
      </c>
    </row>
    <row r="65" spans="1:79" ht="80.099999999999994" customHeight="1">
      <c r="A65" s="173">
        <v>19</v>
      </c>
      <c r="B65" s="142" t="s">
        <v>91</v>
      </c>
      <c r="C65" s="146" t="s">
        <v>57</v>
      </c>
      <c r="D65" s="147">
        <v>150000</v>
      </c>
      <c r="E65" s="144">
        <f t="shared" si="67"/>
        <v>67.5</v>
      </c>
      <c r="F65" s="147">
        <v>30</v>
      </c>
      <c r="G65" s="174">
        <v>1</v>
      </c>
      <c r="H65" s="174">
        <v>0</v>
      </c>
      <c r="I65" s="173">
        <f t="shared" si="77"/>
        <v>1</v>
      </c>
      <c r="J65" s="173">
        <v>1</v>
      </c>
      <c r="K65" s="173">
        <f t="shared" si="50"/>
        <v>0</v>
      </c>
      <c r="L65" s="174">
        <v>0</v>
      </c>
      <c r="M65" s="174">
        <v>0</v>
      </c>
      <c r="N65" s="173">
        <f t="shared" si="78"/>
        <v>0</v>
      </c>
      <c r="O65" s="174">
        <v>0</v>
      </c>
      <c r="P65" s="174">
        <v>0</v>
      </c>
      <c r="Q65" s="173">
        <f t="shared" si="79"/>
        <v>0</v>
      </c>
      <c r="R65" s="174">
        <v>0</v>
      </c>
      <c r="S65" s="174">
        <v>0</v>
      </c>
      <c r="T65" s="173">
        <f t="shared" si="80"/>
        <v>0</v>
      </c>
      <c r="U65" s="173"/>
      <c r="V65" s="173"/>
      <c r="W65" s="173"/>
      <c r="X65" s="173"/>
      <c r="Y65" s="175">
        <f t="shared" si="68"/>
        <v>3.3333333333333333E-2</v>
      </c>
      <c r="Z65" s="176">
        <f t="shared" si="81"/>
        <v>3.3333333333333333E-2</v>
      </c>
      <c r="AA65" s="174">
        <v>0</v>
      </c>
      <c r="AB65" s="174">
        <v>0</v>
      </c>
      <c r="AC65" s="174">
        <v>0</v>
      </c>
      <c r="AD65" s="174">
        <v>0</v>
      </c>
      <c r="AE65" s="174">
        <v>13</v>
      </c>
      <c r="AF65" s="174">
        <v>10</v>
      </c>
      <c r="AG65" s="174"/>
      <c r="AH65" s="174"/>
      <c r="AI65" s="178">
        <f t="shared" si="55"/>
        <v>23</v>
      </c>
      <c r="AJ65" s="174">
        <v>0</v>
      </c>
      <c r="AK65" s="174">
        <v>0</v>
      </c>
      <c r="AL65" s="174">
        <v>0</v>
      </c>
      <c r="AM65" s="174">
        <v>0</v>
      </c>
      <c r="AN65" s="174">
        <v>0</v>
      </c>
      <c r="AO65" s="174">
        <v>0</v>
      </c>
      <c r="AP65" s="174"/>
      <c r="AQ65" s="174"/>
      <c r="AR65" s="178">
        <f t="shared" si="56"/>
        <v>0</v>
      </c>
      <c r="AS65" s="179">
        <f t="shared" si="57"/>
        <v>14</v>
      </c>
      <c r="AT65" s="179">
        <f t="shared" si="58"/>
        <v>10</v>
      </c>
      <c r="AU65" s="180">
        <f t="shared" si="82"/>
        <v>24</v>
      </c>
      <c r="AV65" s="180">
        <v>14</v>
      </c>
      <c r="AW65" s="180">
        <v>10</v>
      </c>
      <c r="AX65" s="176">
        <f t="shared" si="60"/>
        <v>4.1666666666666664E-2</v>
      </c>
      <c r="AY65" s="176">
        <v>0.04</v>
      </c>
      <c r="AZ65" s="176">
        <f t="shared" si="61"/>
        <v>0.35555555555555557</v>
      </c>
      <c r="BA65" s="176">
        <f t="shared" si="83"/>
        <v>0.3615819209039548</v>
      </c>
      <c r="BB65" s="176">
        <f t="shared" si="84"/>
        <v>0</v>
      </c>
      <c r="BC65" s="181">
        <f t="shared" si="85"/>
        <v>2.6666666666666665</v>
      </c>
      <c r="BD65" s="182">
        <f t="shared" si="86"/>
        <v>64</v>
      </c>
      <c r="BE65" s="183"/>
      <c r="BF65" s="184">
        <v>21</v>
      </c>
      <c r="BG65" s="142" t="s">
        <v>91</v>
      </c>
      <c r="BH65" s="146" t="s">
        <v>57</v>
      </c>
      <c r="BI65" s="219"/>
      <c r="BJ65" s="219"/>
      <c r="BK65" s="174">
        <v>0</v>
      </c>
      <c r="BL65" s="174">
        <v>0</v>
      </c>
      <c r="BM65" s="174">
        <v>1</v>
      </c>
      <c r="BN65" s="174">
        <v>0</v>
      </c>
      <c r="BO65" s="174">
        <v>0</v>
      </c>
      <c r="BP65" s="174">
        <v>0</v>
      </c>
      <c r="BQ65" s="174">
        <v>0</v>
      </c>
      <c r="BR65" s="174">
        <v>0</v>
      </c>
      <c r="BS65" s="174">
        <v>0</v>
      </c>
      <c r="BT65" s="174">
        <v>0</v>
      </c>
      <c r="BU65" s="174">
        <v>0</v>
      </c>
      <c r="BV65" s="174">
        <v>0</v>
      </c>
      <c r="BW65" s="174">
        <v>0</v>
      </c>
      <c r="BX65" s="174">
        <v>0</v>
      </c>
      <c r="BY65" s="179">
        <f t="shared" si="87"/>
        <v>1</v>
      </c>
      <c r="BZ65" s="179">
        <f t="shared" si="88"/>
        <v>0</v>
      </c>
      <c r="CA65" s="185">
        <f t="shared" si="89"/>
        <v>1</v>
      </c>
    </row>
    <row r="66" spans="1:79" ht="80.099999999999994" customHeight="1">
      <c r="A66" s="277">
        <v>20</v>
      </c>
      <c r="B66" s="278" t="s">
        <v>92</v>
      </c>
      <c r="C66" s="279" t="s">
        <v>49</v>
      </c>
      <c r="D66" s="281">
        <v>50000</v>
      </c>
      <c r="E66" s="281">
        <f t="shared" si="67"/>
        <v>0</v>
      </c>
      <c r="F66" s="281">
        <v>0</v>
      </c>
      <c r="G66" s="282"/>
      <c r="H66" s="282"/>
      <c r="I66" s="277">
        <f t="shared" si="77"/>
        <v>0</v>
      </c>
      <c r="J66" s="277"/>
      <c r="K66" s="173">
        <f t="shared" si="50"/>
        <v>0</v>
      </c>
      <c r="L66" s="282">
        <v>0</v>
      </c>
      <c r="M66" s="282">
        <v>0</v>
      </c>
      <c r="N66" s="277">
        <f t="shared" si="78"/>
        <v>0</v>
      </c>
      <c r="O66" s="282">
        <v>0</v>
      </c>
      <c r="P66" s="282">
        <v>0</v>
      </c>
      <c r="Q66" s="277">
        <f t="shared" si="79"/>
        <v>0</v>
      </c>
      <c r="R66" s="282">
        <v>0</v>
      </c>
      <c r="S66" s="282">
        <v>0</v>
      </c>
      <c r="T66" s="277">
        <f t="shared" si="80"/>
        <v>0</v>
      </c>
      <c r="U66" s="277"/>
      <c r="V66" s="277"/>
      <c r="W66" s="277"/>
      <c r="X66" s="277"/>
      <c r="Y66" s="212" t="e">
        <f t="shared" si="68"/>
        <v>#DIV/0!</v>
      </c>
      <c r="Z66" s="212">
        <f t="shared" si="81"/>
        <v>0</v>
      </c>
      <c r="AA66" s="282">
        <v>0</v>
      </c>
      <c r="AB66" s="282">
        <v>0</v>
      </c>
      <c r="AC66" s="282">
        <v>0</v>
      </c>
      <c r="AD66" s="282">
        <v>0</v>
      </c>
      <c r="AE66" s="282"/>
      <c r="AF66" s="282"/>
      <c r="AG66" s="282"/>
      <c r="AH66" s="282"/>
      <c r="AI66" s="283">
        <f t="shared" si="55"/>
        <v>0</v>
      </c>
      <c r="AJ66" s="282">
        <v>0</v>
      </c>
      <c r="AK66" s="282">
        <v>0</v>
      </c>
      <c r="AL66" s="282">
        <v>0</v>
      </c>
      <c r="AM66" s="282">
        <v>0</v>
      </c>
      <c r="AN66" s="282">
        <v>0</v>
      </c>
      <c r="AO66" s="282">
        <v>0</v>
      </c>
      <c r="AP66" s="282"/>
      <c r="AQ66" s="282"/>
      <c r="AR66" s="283">
        <f t="shared" si="56"/>
        <v>0</v>
      </c>
      <c r="AS66" s="277">
        <f t="shared" si="57"/>
        <v>0</v>
      </c>
      <c r="AT66" s="277">
        <f t="shared" si="58"/>
        <v>0</v>
      </c>
      <c r="AU66" s="284">
        <f t="shared" si="82"/>
        <v>0</v>
      </c>
      <c r="AV66" s="284"/>
      <c r="AW66" s="284"/>
      <c r="AX66" s="212" t="e">
        <f t="shared" si="60"/>
        <v>#DIV/0!</v>
      </c>
      <c r="AY66" s="212"/>
      <c r="AZ66" s="212" t="e">
        <f t="shared" si="61"/>
        <v>#DIV/0!</v>
      </c>
      <c r="BA66" s="212">
        <f t="shared" si="83"/>
        <v>0</v>
      </c>
      <c r="BB66" s="212" t="e">
        <f t="shared" si="84"/>
        <v>#DIV/0!</v>
      </c>
      <c r="BC66" s="213">
        <f t="shared" si="85"/>
        <v>0</v>
      </c>
      <c r="BD66" s="214">
        <f t="shared" si="86"/>
        <v>0</v>
      </c>
      <c r="BE66" s="215"/>
      <c r="BF66" s="216">
        <v>22</v>
      </c>
      <c r="BG66" s="278" t="s">
        <v>92</v>
      </c>
      <c r="BH66" s="279" t="s">
        <v>49</v>
      </c>
      <c r="BI66" s="282"/>
      <c r="BJ66" s="282"/>
      <c r="BK66" s="282">
        <v>0</v>
      </c>
      <c r="BL66" s="282">
        <v>0</v>
      </c>
      <c r="BM66" s="282">
        <v>0</v>
      </c>
      <c r="BN66" s="282">
        <v>0</v>
      </c>
      <c r="BO66" s="282">
        <v>0</v>
      </c>
      <c r="BP66" s="282">
        <v>0</v>
      </c>
      <c r="BQ66" s="282">
        <v>0</v>
      </c>
      <c r="BR66" s="282">
        <v>0</v>
      </c>
      <c r="BS66" s="282">
        <v>0</v>
      </c>
      <c r="BT66" s="282">
        <v>0</v>
      </c>
      <c r="BU66" s="282">
        <v>0</v>
      </c>
      <c r="BV66" s="282">
        <v>0</v>
      </c>
      <c r="BW66" s="282">
        <v>0</v>
      </c>
      <c r="BX66" s="282">
        <v>0</v>
      </c>
      <c r="BY66" s="277">
        <f t="shared" si="87"/>
        <v>0</v>
      </c>
      <c r="BZ66" s="277">
        <f t="shared" si="88"/>
        <v>0</v>
      </c>
      <c r="CA66" s="284">
        <f t="shared" si="89"/>
        <v>0</v>
      </c>
    </row>
    <row r="67" spans="1:79" ht="80.099999999999994" customHeight="1">
      <c r="A67" s="173">
        <v>21</v>
      </c>
      <c r="B67" s="142" t="s">
        <v>93</v>
      </c>
      <c r="C67" s="143" t="s">
        <v>80</v>
      </c>
      <c r="D67" s="145">
        <v>100000</v>
      </c>
      <c r="E67" s="144">
        <f t="shared" si="67"/>
        <v>56.25</v>
      </c>
      <c r="F67" s="145">
        <v>25</v>
      </c>
      <c r="G67" s="174">
        <v>3</v>
      </c>
      <c r="H67" s="174">
        <v>2</v>
      </c>
      <c r="I67" s="173">
        <f t="shared" si="77"/>
        <v>5</v>
      </c>
      <c r="J67" s="173">
        <v>5</v>
      </c>
      <c r="K67" s="173">
        <f t="shared" si="50"/>
        <v>1</v>
      </c>
      <c r="L67" s="174">
        <v>1</v>
      </c>
      <c r="M67" s="174">
        <v>0</v>
      </c>
      <c r="N67" s="173">
        <f t="shared" si="78"/>
        <v>1</v>
      </c>
      <c r="O67" s="174">
        <v>0</v>
      </c>
      <c r="P67" s="174">
        <v>0</v>
      </c>
      <c r="Q67" s="173">
        <f t="shared" si="79"/>
        <v>0</v>
      </c>
      <c r="R67" s="174">
        <v>0</v>
      </c>
      <c r="S67" s="174">
        <v>0</v>
      </c>
      <c r="T67" s="173">
        <f t="shared" si="80"/>
        <v>0</v>
      </c>
      <c r="U67" s="173"/>
      <c r="V67" s="173"/>
      <c r="W67" s="173"/>
      <c r="X67" s="173"/>
      <c r="Y67" s="175">
        <f t="shared" si="68"/>
        <v>0.2</v>
      </c>
      <c r="Z67" s="176">
        <f t="shared" si="81"/>
        <v>0.25</v>
      </c>
      <c r="AA67" s="174">
        <v>0</v>
      </c>
      <c r="AB67" s="174">
        <v>0</v>
      </c>
      <c r="AC67" s="174">
        <v>0</v>
      </c>
      <c r="AD67" s="174">
        <v>0</v>
      </c>
      <c r="AE67" s="174">
        <v>0</v>
      </c>
      <c r="AF67" s="174">
        <v>1</v>
      </c>
      <c r="AG67" s="174"/>
      <c r="AH67" s="174"/>
      <c r="AI67" s="178">
        <f t="shared" si="55"/>
        <v>1</v>
      </c>
      <c r="AJ67" s="174">
        <v>0</v>
      </c>
      <c r="AK67" s="174">
        <v>0</v>
      </c>
      <c r="AL67" s="174">
        <v>0</v>
      </c>
      <c r="AM67" s="174">
        <v>0</v>
      </c>
      <c r="AN67" s="174">
        <v>0</v>
      </c>
      <c r="AO67" s="174">
        <v>0</v>
      </c>
      <c r="AP67" s="174"/>
      <c r="AQ67" s="174"/>
      <c r="AR67" s="178">
        <f t="shared" si="56"/>
        <v>0</v>
      </c>
      <c r="AS67" s="179">
        <f t="shared" si="57"/>
        <v>4</v>
      </c>
      <c r="AT67" s="179">
        <f t="shared" si="58"/>
        <v>3</v>
      </c>
      <c r="AU67" s="180">
        <f t="shared" si="82"/>
        <v>7</v>
      </c>
      <c r="AV67" s="180">
        <v>4</v>
      </c>
      <c r="AW67" s="180">
        <v>3</v>
      </c>
      <c r="AX67" s="176">
        <f t="shared" si="60"/>
        <v>0.83333333333333337</v>
      </c>
      <c r="AY67" s="176">
        <v>0.83</v>
      </c>
      <c r="AZ67" s="176">
        <f t="shared" si="61"/>
        <v>0.12444444444444444</v>
      </c>
      <c r="BA67" s="176">
        <f t="shared" si="83"/>
        <v>0.15819209039548024</v>
      </c>
      <c r="BB67" s="176">
        <f t="shared" si="84"/>
        <v>0.14285714285714285</v>
      </c>
      <c r="BC67" s="181">
        <f t="shared" si="85"/>
        <v>20</v>
      </c>
      <c r="BD67" s="182">
        <f t="shared" si="86"/>
        <v>27.999999999999996</v>
      </c>
      <c r="BE67" s="183"/>
      <c r="BF67" s="184">
        <v>23</v>
      </c>
      <c r="BG67" s="142" t="s">
        <v>93</v>
      </c>
      <c r="BH67" s="143" t="s">
        <v>80</v>
      </c>
      <c r="BI67" s="219"/>
      <c r="BJ67" s="219"/>
      <c r="BK67" s="174">
        <v>0</v>
      </c>
      <c r="BL67" s="174">
        <v>0</v>
      </c>
      <c r="BM67" s="174">
        <v>1</v>
      </c>
      <c r="BN67" s="174">
        <v>0</v>
      </c>
      <c r="BO67" s="174">
        <v>1</v>
      </c>
      <c r="BP67" s="174">
        <v>0</v>
      </c>
      <c r="BQ67" s="174">
        <v>0</v>
      </c>
      <c r="BR67" s="174">
        <v>1</v>
      </c>
      <c r="BS67" s="174">
        <v>0</v>
      </c>
      <c r="BT67" s="174">
        <v>0</v>
      </c>
      <c r="BU67" s="174">
        <v>1</v>
      </c>
      <c r="BV67" s="174">
        <v>1</v>
      </c>
      <c r="BW67" s="174">
        <v>0</v>
      </c>
      <c r="BX67" s="174">
        <v>0</v>
      </c>
      <c r="BY67" s="179">
        <f t="shared" si="87"/>
        <v>3</v>
      </c>
      <c r="BZ67" s="179">
        <f t="shared" si="88"/>
        <v>2</v>
      </c>
      <c r="CA67" s="185">
        <f t="shared" si="89"/>
        <v>5</v>
      </c>
    </row>
    <row r="68" spans="1:79" ht="80.099999999999994" customHeight="1">
      <c r="A68" s="173">
        <v>22</v>
      </c>
      <c r="B68" s="142" t="s">
        <v>94</v>
      </c>
      <c r="C68" s="143" t="s">
        <v>95</v>
      </c>
      <c r="D68" s="145">
        <v>200000</v>
      </c>
      <c r="E68" s="144">
        <f t="shared" si="67"/>
        <v>67.5</v>
      </c>
      <c r="F68" s="145">
        <v>30</v>
      </c>
      <c r="G68" s="186">
        <v>6</v>
      </c>
      <c r="H68" s="186">
        <v>8</v>
      </c>
      <c r="I68" s="173">
        <f t="shared" si="77"/>
        <v>14</v>
      </c>
      <c r="J68" s="173">
        <v>14</v>
      </c>
      <c r="K68" s="173">
        <f t="shared" si="50"/>
        <v>2</v>
      </c>
      <c r="L68" s="186">
        <v>0</v>
      </c>
      <c r="M68" s="186">
        <v>1</v>
      </c>
      <c r="N68" s="173">
        <f t="shared" si="78"/>
        <v>1</v>
      </c>
      <c r="O68" s="186">
        <v>0</v>
      </c>
      <c r="P68" s="186">
        <v>1</v>
      </c>
      <c r="Q68" s="173">
        <f t="shared" si="79"/>
        <v>1</v>
      </c>
      <c r="R68" s="186">
        <v>0</v>
      </c>
      <c r="S68" s="186">
        <v>0</v>
      </c>
      <c r="T68" s="173">
        <f t="shared" si="80"/>
        <v>0</v>
      </c>
      <c r="U68" s="173"/>
      <c r="V68" s="173"/>
      <c r="W68" s="173"/>
      <c r="X68" s="173"/>
      <c r="Y68" s="175">
        <f t="shared" si="68"/>
        <v>0.46666666666666667</v>
      </c>
      <c r="Z68" s="175">
        <f t="shared" si="81"/>
        <v>0.35</v>
      </c>
      <c r="AA68" s="174">
        <v>0</v>
      </c>
      <c r="AB68" s="174">
        <v>0</v>
      </c>
      <c r="AC68" s="174">
        <v>0</v>
      </c>
      <c r="AD68" s="174">
        <v>0</v>
      </c>
      <c r="AE68" s="186">
        <v>4</v>
      </c>
      <c r="AF68" s="186">
        <v>22</v>
      </c>
      <c r="AG68" s="186"/>
      <c r="AH68" s="186"/>
      <c r="AI68" s="178">
        <f t="shared" si="55"/>
        <v>26</v>
      </c>
      <c r="AJ68" s="174">
        <v>0</v>
      </c>
      <c r="AK68" s="174">
        <v>0</v>
      </c>
      <c r="AL68" s="174">
        <v>0</v>
      </c>
      <c r="AM68" s="174">
        <v>0</v>
      </c>
      <c r="AN68" s="186">
        <v>2</v>
      </c>
      <c r="AO68" s="186">
        <v>11</v>
      </c>
      <c r="AP68" s="186"/>
      <c r="AQ68" s="186"/>
      <c r="AR68" s="178">
        <f t="shared" si="56"/>
        <v>13</v>
      </c>
      <c r="AS68" s="179">
        <f t="shared" si="57"/>
        <v>12</v>
      </c>
      <c r="AT68" s="179">
        <f t="shared" si="58"/>
        <v>43</v>
      </c>
      <c r="AU68" s="180">
        <f t="shared" si="82"/>
        <v>55</v>
      </c>
      <c r="AV68" s="180">
        <v>12</v>
      </c>
      <c r="AW68" s="180">
        <v>43</v>
      </c>
      <c r="AX68" s="176">
        <f t="shared" si="60"/>
        <v>0.35</v>
      </c>
      <c r="AY68" s="176">
        <v>0.35</v>
      </c>
      <c r="AZ68" s="176">
        <f t="shared" si="61"/>
        <v>0.81481481481481477</v>
      </c>
      <c r="BA68" s="175">
        <f t="shared" si="83"/>
        <v>0.62146892655367236</v>
      </c>
      <c r="BB68" s="175">
        <f t="shared" si="84"/>
        <v>3.6363636363636362E-2</v>
      </c>
      <c r="BC68" s="187">
        <f t="shared" si="85"/>
        <v>27.999999999999996</v>
      </c>
      <c r="BD68" s="188">
        <f t="shared" si="86"/>
        <v>110</v>
      </c>
      <c r="BE68" s="189"/>
      <c r="BF68" s="184">
        <v>24</v>
      </c>
      <c r="BG68" s="142" t="s">
        <v>94</v>
      </c>
      <c r="BH68" s="143" t="s">
        <v>95</v>
      </c>
      <c r="BI68" s="219"/>
      <c r="BJ68" s="219"/>
      <c r="BK68" s="186">
        <v>1</v>
      </c>
      <c r="BL68" s="186">
        <v>0</v>
      </c>
      <c r="BM68" s="186">
        <v>1</v>
      </c>
      <c r="BN68" s="186">
        <v>2</v>
      </c>
      <c r="BO68" s="186">
        <v>2</v>
      </c>
      <c r="BP68" s="186">
        <v>2</v>
      </c>
      <c r="BQ68" s="186">
        <v>1</v>
      </c>
      <c r="BR68" s="186">
        <v>1</v>
      </c>
      <c r="BS68" s="186">
        <v>1</v>
      </c>
      <c r="BT68" s="186">
        <v>2</v>
      </c>
      <c r="BU68" s="186">
        <v>0</v>
      </c>
      <c r="BV68" s="186">
        <v>1</v>
      </c>
      <c r="BW68" s="186">
        <v>0</v>
      </c>
      <c r="BX68" s="186">
        <v>0</v>
      </c>
      <c r="BY68" s="173">
        <f t="shared" si="87"/>
        <v>6</v>
      </c>
      <c r="BZ68" s="173">
        <f t="shared" si="88"/>
        <v>8</v>
      </c>
      <c r="CA68" s="180">
        <f t="shared" si="89"/>
        <v>14</v>
      </c>
    </row>
    <row r="69" spans="1:79" ht="115.5" customHeight="1">
      <c r="A69" s="173">
        <v>23</v>
      </c>
      <c r="B69" s="151" t="s">
        <v>96</v>
      </c>
      <c r="C69" s="146" t="s">
        <v>49</v>
      </c>
      <c r="D69" s="147">
        <v>150000</v>
      </c>
      <c r="E69" s="144">
        <f t="shared" si="67"/>
        <v>56.25</v>
      </c>
      <c r="F69" s="147">
        <v>25</v>
      </c>
      <c r="G69" s="186">
        <v>1</v>
      </c>
      <c r="H69" s="186">
        <v>6</v>
      </c>
      <c r="I69" s="173">
        <f t="shared" si="77"/>
        <v>7</v>
      </c>
      <c r="J69" s="173">
        <v>7</v>
      </c>
      <c r="K69" s="173">
        <f t="shared" si="50"/>
        <v>0</v>
      </c>
      <c r="L69" s="186">
        <v>0</v>
      </c>
      <c r="M69" s="186">
        <v>0</v>
      </c>
      <c r="N69" s="173">
        <v>0</v>
      </c>
      <c r="O69" s="186">
        <v>0</v>
      </c>
      <c r="P69" s="186">
        <v>0</v>
      </c>
      <c r="Q69" s="173">
        <f t="shared" si="79"/>
        <v>0</v>
      </c>
      <c r="R69" s="186">
        <v>0</v>
      </c>
      <c r="S69" s="186">
        <v>0</v>
      </c>
      <c r="T69" s="173">
        <f t="shared" si="80"/>
        <v>0</v>
      </c>
      <c r="U69" s="173"/>
      <c r="V69" s="173"/>
      <c r="W69" s="173"/>
      <c r="X69" s="173"/>
      <c r="Y69" s="175">
        <f t="shared" si="68"/>
        <v>0.28000000000000003</v>
      </c>
      <c r="Z69" s="175">
        <f t="shared" si="81"/>
        <v>0.23333333333333334</v>
      </c>
      <c r="AA69" s="174">
        <v>0</v>
      </c>
      <c r="AB69" s="174">
        <v>0</v>
      </c>
      <c r="AC69" s="174">
        <v>0</v>
      </c>
      <c r="AD69" s="174">
        <v>0</v>
      </c>
      <c r="AE69" s="186">
        <v>3</v>
      </c>
      <c r="AF69" s="186">
        <v>6</v>
      </c>
      <c r="AG69" s="186"/>
      <c r="AH69" s="186"/>
      <c r="AI69" s="178">
        <f t="shared" si="55"/>
        <v>9</v>
      </c>
      <c r="AJ69" s="174">
        <v>0</v>
      </c>
      <c r="AK69" s="174">
        <v>0</v>
      </c>
      <c r="AL69" s="174">
        <v>0</v>
      </c>
      <c r="AM69" s="174">
        <v>0</v>
      </c>
      <c r="AN69" s="186">
        <v>0</v>
      </c>
      <c r="AO69" s="186">
        <v>9</v>
      </c>
      <c r="AP69" s="186"/>
      <c r="AQ69" s="186"/>
      <c r="AR69" s="178">
        <f t="shared" si="56"/>
        <v>9</v>
      </c>
      <c r="AS69" s="179">
        <f t="shared" si="57"/>
        <v>4</v>
      </c>
      <c r="AT69" s="179">
        <f t="shared" si="58"/>
        <v>21</v>
      </c>
      <c r="AU69" s="180">
        <f t="shared" si="82"/>
        <v>25</v>
      </c>
      <c r="AV69" s="180">
        <v>4</v>
      </c>
      <c r="AW69" s="180">
        <v>21</v>
      </c>
      <c r="AX69" s="176">
        <f t="shared" si="60"/>
        <v>0.4375</v>
      </c>
      <c r="AY69" s="176">
        <v>0.44</v>
      </c>
      <c r="AZ69" s="176">
        <f t="shared" si="61"/>
        <v>0.44444444444444442</v>
      </c>
      <c r="BA69" s="175">
        <f t="shared" si="83"/>
        <v>0.37664783427495291</v>
      </c>
      <c r="BB69" s="175">
        <f t="shared" si="84"/>
        <v>0</v>
      </c>
      <c r="BC69" s="187">
        <f t="shared" si="85"/>
        <v>18.666666666666664</v>
      </c>
      <c r="BD69" s="188">
        <f t="shared" si="86"/>
        <v>66.666666666666671</v>
      </c>
      <c r="BE69" s="189"/>
      <c r="BF69" s="184">
        <v>25</v>
      </c>
      <c r="BG69" s="151" t="s">
        <v>96</v>
      </c>
      <c r="BH69" s="146" t="s">
        <v>49</v>
      </c>
      <c r="BI69" s="219"/>
      <c r="BJ69" s="219"/>
      <c r="BK69" s="186">
        <v>0</v>
      </c>
      <c r="BL69" s="186">
        <v>0</v>
      </c>
      <c r="BM69" s="186">
        <v>1</v>
      </c>
      <c r="BN69" s="186">
        <v>2</v>
      </c>
      <c r="BO69" s="186">
        <v>0</v>
      </c>
      <c r="BP69" s="186">
        <v>3</v>
      </c>
      <c r="BQ69" s="186">
        <v>0</v>
      </c>
      <c r="BR69" s="186">
        <v>0</v>
      </c>
      <c r="BS69" s="186">
        <v>0</v>
      </c>
      <c r="BT69" s="186">
        <v>0</v>
      </c>
      <c r="BU69" s="186">
        <v>0</v>
      </c>
      <c r="BV69" s="186">
        <v>0</v>
      </c>
      <c r="BW69" s="186">
        <v>0</v>
      </c>
      <c r="BX69" s="186">
        <v>1</v>
      </c>
      <c r="BY69" s="173">
        <f t="shared" si="87"/>
        <v>1</v>
      </c>
      <c r="BZ69" s="173">
        <f t="shared" si="88"/>
        <v>6</v>
      </c>
      <c r="CA69" s="180">
        <f t="shared" si="89"/>
        <v>7</v>
      </c>
    </row>
    <row r="70" spans="1:79" ht="80.099999999999994" customHeight="1">
      <c r="A70" s="173">
        <v>24</v>
      </c>
      <c r="B70" s="142" t="s">
        <v>97</v>
      </c>
      <c r="C70" s="143" t="s">
        <v>68</v>
      </c>
      <c r="D70" s="145">
        <v>100000</v>
      </c>
      <c r="E70" s="144">
        <f t="shared" si="67"/>
        <v>56.25</v>
      </c>
      <c r="F70" s="145">
        <v>25</v>
      </c>
      <c r="G70" s="186">
        <v>1</v>
      </c>
      <c r="H70" s="186">
        <v>2</v>
      </c>
      <c r="I70" s="173">
        <f t="shared" si="77"/>
        <v>3</v>
      </c>
      <c r="J70" s="173">
        <v>3</v>
      </c>
      <c r="K70" s="173">
        <f t="shared" si="50"/>
        <v>1</v>
      </c>
      <c r="L70" s="186">
        <v>0</v>
      </c>
      <c r="M70" s="186">
        <v>1</v>
      </c>
      <c r="N70" s="173">
        <f t="shared" si="78"/>
        <v>1</v>
      </c>
      <c r="O70" s="186">
        <v>0</v>
      </c>
      <c r="P70" s="186">
        <v>0</v>
      </c>
      <c r="Q70" s="173">
        <f t="shared" si="79"/>
        <v>0</v>
      </c>
      <c r="R70" s="186">
        <v>0</v>
      </c>
      <c r="S70" s="186">
        <v>0</v>
      </c>
      <c r="T70" s="173">
        <f t="shared" si="80"/>
        <v>0</v>
      </c>
      <c r="U70" s="173"/>
      <c r="V70" s="173"/>
      <c r="W70" s="173"/>
      <c r="X70" s="173"/>
      <c r="Y70" s="175">
        <f t="shared" si="68"/>
        <v>0.12</v>
      </c>
      <c r="Z70" s="175">
        <f t="shared" si="81"/>
        <v>0.15</v>
      </c>
      <c r="AA70" s="174">
        <v>0</v>
      </c>
      <c r="AB70" s="174">
        <v>0</v>
      </c>
      <c r="AC70" s="174">
        <v>0</v>
      </c>
      <c r="AD70" s="174">
        <v>0</v>
      </c>
      <c r="AE70" s="186">
        <v>1</v>
      </c>
      <c r="AF70" s="186">
        <v>1</v>
      </c>
      <c r="AG70" s="186"/>
      <c r="AH70" s="186"/>
      <c r="AI70" s="178">
        <f t="shared" si="55"/>
        <v>2</v>
      </c>
      <c r="AJ70" s="174">
        <v>0</v>
      </c>
      <c r="AK70" s="174">
        <v>0</v>
      </c>
      <c r="AL70" s="174">
        <v>0</v>
      </c>
      <c r="AM70" s="174">
        <v>0</v>
      </c>
      <c r="AN70" s="186">
        <v>1</v>
      </c>
      <c r="AO70" s="186">
        <v>0</v>
      </c>
      <c r="AP70" s="186"/>
      <c r="AQ70" s="186"/>
      <c r="AR70" s="178">
        <f t="shared" si="56"/>
        <v>1</v>
      </c>
      <c r="AS70" s="179">
        <f t="shared" si="57"/>
        <v>3</v>
      </c>
      <c r="AT70" s="179">
        <f t="shared" si="58"/>
        <v>4</v>
      </c>
      <c r="AU70" s="180">
        <f t="shared" si="82"/>
        <v>7</v>
      </c>
      <c r="AV70" s="180">
        <v>3</v>
      </c>
      <c r="AW70" s="180">
        <v>4</v>
      </c>
      <c r="AX70" s="176">
        <f t="shared" si="60"/>
        <v>0.6</v>
      </c>
      <c r="AY70" s="176">
        <v>0.6</v>
      </c>
      <c r="AZ70" s="176">
        <f t="shared" si="61"/>
        <v>0.12444444444444444</v>
      </c>
      <c r="BA70" s="175">
        <f t="shared" si="83"/>
        <v>0.15819209039548024</v>
      </c>
      <c r="BB70" s="175">
        <f t="shared" si="84"/>
        <v>0.14285714285714285</v>
      </c>
      <c r="BC70" s="187">
        <f t="shared" si="85"/>
        <v>12</v>
      </c>
      <c r="BD70" s="188">
        <f t="shared" si="86"/>
        <v>27.999999999999996</v>
      </c>
      <c r="BE70" s="189"/>
      <c r="BF70" s="184">
        <v>26</v>
      </c>
      <c r="BG70" s="142" t="s">
        <v>97</v>
      </c>
      <c r="BH70" s="143" t="s">
        <v>68</v>
      </c>
      <c r="BI70" s="219"/>
      <c r="BJ70" s="219"/>
      <c r="BK70" s="186">
        <v>0</v>
      </c>
      <c r="BL70" s="186">
        <v>0</v>
      </c>
      <c r="BM70" s="186">
        <v>1</v>
      </c>
      <c r="BN70" s="186">
        <v>1</v>
      </c>
      <c r="BO70" s="186">
        <v>0</v>
      </c>
      <c r="BP70" s="186">
        <v>1</v>
      </c>
      <c r="BQ70" s="174">
        <v>0</v>
      </c>
      <c r="BR70" s="174">
        <v>0</v>
      </c>
      <c r="BS70" s="174">
        <v>0</v>
      </c>
      <c r="BT70" s="174">
        <v>0</v>
      </c>
      <c r="BU70" s="174">
        <v>0</v>
      </c>
      <c r="BV70" s="174">
        <v>0</v>
      </c>
      <c r="BW70" s="174">
        <v>0</v>
      </c>
      <c r="BX70" s="174">
        <v>0</v>
      </c>
      <c r="BY70" s="173">
        <f t="shared" si="87"/>
        <v>1</v>
      </c>
      <c r="BZ70" s="173">
        <f t="shared" si="88"/>
        <v>2</v>
      </c>
      <c r="CA70" s="180">
        <f t="shared" si="89"/>
        <v>3</v>
      </c>
    </row>
    <row r="71" spans="1:79" ht="80.099999999999994" customHeight="1">
      <c r="A71" s="173">
        <v>25</v>
      </c>
      <c r="B71" s="142" t="s">
        <v>98</v>
      </c>
      <c r="C71" s="143" t="s">
        <v>49</v>
      </c>
      <c r="D71" s="145"/>
      <c r="E71" s="144">
        <f t="shared" si="67"/>
        <v>101.25</v>
      </c>
      <c r="F71" s="145">
        <v>45</v>
      </c>
      <c r="G71" s="186">
        <v>6</v>
      </c>
      <c r="H71" s="186">
        <v>14</v>
      </c>
      <c r="I71" s="173">
        <f t="shared" si="77"/>
        <v>20</v>
      </c>
      <c r="J71" s="173">
        <v>20</v>
      </c>
      <c r="K71" s="173">
        <f t="shared" si="50"/>
        <v>9</v>
      </c>
      <c r="L71" s="186">
        <v>1</v>
      </c>
      <c r="M71" s="186">
        <v>5</v>
      </c>
      <c r="N71" s="173">
        <f t="shared" si="78"/>
        <v>6</v>
      </c>
      <c r="O71" s="186">
        <v>0</v>
      </c>
      <c r="P71" s="186">
        <v>0</v>
      </c>
      <c r="Q71" s="173">
        <f t="shared" si="79"/>
        <v>0</v>
      </c>
      <c r="R71" s="174">
        <v>2</v>
      </c>
      <c r="S71" s="174">
        <v>1</v>
      </c>
      <c r="T71" s="173">
        <f t="shared" si="80"/>
        <v>3</v>
      </c>
      <c r="U71" s="173"/>
      <c r="V71" s="173"/>
      <c r="W71" s="173"/>
      <c r="X71" s="173"/>
      <c r="Y71" s="175">
        <f t="shared" si="68"/>
        <v>0.44444444444444442</v>
      </c>
      <c r="Z71" s="175" t="e">
        <f t="shared" si="81"/>
        <v>#DIV/0!</v>
      </c>
      <c r="AA71" s="174">
        <v>0</v>
      </c>
      <c r="AB71" s="174">
        <v>0</v>
      </c>
      <c r="AC71" s="174">
        <v>0</v>
      </c>
      <c r="AD71" s="174">
        <v>0</v>
      </c>
      <c r="AE71" s="186">
        <v>6</v>
      </c>
      <c r="AF71" s="186">
        <v>1</v>
      </c>
      <c r="AG71" s="186"/>
      <c r="AH71" s="186"/>
      <c r="AI71" s="178">
        <f t="shared" si="55"/>
        <v>7</v>
      </c>
      <c r="AJ71" s="174">
        <v>0</v>
      </c>
      <c r="AK71" s="174">
        <v>0</v>
      </c>
      <c r="AL71" s="174">
        <v>0</v>
      </c>
      <c r="AM71" s="174">
        <v>0</v>
      </c>
      <c r="AN71" s="174">
        <v>21</v>
      </c>
      <c r="AO71" s="174">
        <v>22</v>
      </c>
      <c r="AP71" s="174"/>
      <c r="AQ71" s="174"/>
      <c r="AR71" s="178">
        <f t="shared" si="56"/>
        <v>43</v>
      </c>
      <c r="AS71" s="179">
        <f t="shared" si="57"/>
        <v>36</v>
      </c>
      <c r="AT71" s="179">
        <f t="shared" si="58"/>
        <v>43</v>
      </c>
      <c r="AU71" s="180">
        <f t="shared" si="82"/>
        <v>79</v>
      </c>
      <c r="AV71" s="180">
        <v>36</v>
      </c>
      <c r="AW71" s="180">
        <v>43</v>
      </c>
      <c r="AX71" s="176">
        <f t="shared" si="60"/>
        <v>0.7407407407407407</v>
      </c>
      <c r="AY71" s="176">
        <v>0.74</v>
      </c>
      <c r="AZ71" s="176">
        <f t="shared" si="61"/>
        <v>0.78024691358024689</v>
      </c>
      <c r="BA71" s="175" t="e">
        <f t="shared" si="83"/>
        <v>#DIV/0!</v>
      </c>
      <c r="BB71" s="175">
        <f t="shared" si="84"/>
        <v>0.11392405063291139</v>
      </c>
      <c r="BC71" s="187" t="e">
        <f t="shared" si="85"/>
        <v>#DIV/0!</v>
      </c>
      <c r="BD71" s="188" t="e">
        <f t="shared" si="86"/>
        <v>#DIV/0!</v>
      </c>
      <c r="BE71" s="189"/>
      <c r="BF71" s="184">
        <v>27</v>
      </c>
      <c r="BG71" s="142" t="s">
        <v>98</v>
      </c>
      <c r="BH71" s="143" t="s">
        <v>49</v>
      </c>
      <c r="BI71" s="219"/>
      <c r="BJ71" s="219"/>
      <c r="BK71" s="174">
        <v>0</v>
      </c>
      <c r="BL71" s="174">
        <v>2</v>
      </c>
      <c r="BM71" s="174">
        <v>5</v>
      </c>
      <c r="BN71" s="174">
        <v>7</v>
      </c>
      <c r="BO71" s="174">
        <v>0</v>
      </c>
      <c r="BP71" s="174">
        <v>2</v>
      </c>
      <c r="BQ71" s="174">
        <v>0</v>
      </c>
      <c r="BR71" s="174">
        <v>1</v>
      </c>
      <c r="BS71" s="174">
        <v>0</v>
      </c>
      <c r="BT71" s="174">
        <v>1</v>
      </c>
      <c r="BU71" s="174">
        <v>0</v>
      </c>
      <c r="BV71" s="174">
        <v>0</v>
      </c>
      <c r="BW71" s="174">
        <v>1</v>
      </c>
      <c r="BX71" s="174">
        <v>1</v>
      </c>
      <c r="BY71" s="173">
        <f t="shared" si="87"/>
        <v>6</v>
      </c>
      <c r="BZ71" s="173">
        <f t="shared" si="88"/>
        <v>14</v>
      </c>
      <c r="CA71" s="180">
        <f t="shared" si="89"/>
        <v>20</v>
      </c>
    </row>
    <row r="72" spans="1:79" ht="80.099999999999994" customHeight="1">
      <c r="A72" s="173">
        <v>26</v>
      </c>
      <c r="B72" s="143" t="s">
        <v>99</v>
      </c>
      <c r="C72" s="143" t="s">
        <v>85</v>
      </c>
      <c r="D72" s="147">
        <v>150000</v>
      </c>
      <c r="E72" s="144">
        <f t="shared" si="67"/>
        <v>56.25</v>
      </c>
      <c r="F72" s="147">
        <v>25</v>
      </c>
      <c r="G72" s="186">
        <v>2</v>
      </c>
      <c r="H72" s="186">
        <v>3</v>
      </c>
      <c r="I72" s="173">
        <f t="shared" si="77"/>
        <v>5</v>
      </c>
      <c r="J72" s="173">
        <v>5</v>
      </c>
      <c r="K72" s="173">
        <f t="shared" si="50"/>
        <v>2</v>
      </c>
      <c r="L72" s="186">
        <v>0</v>
      </c>
      <c r="M72" s="186">
        <v>0</v>
      </c>
      <c r="N72" s="173">
        <f t="shared" si="78"/>
        <v>0</v>
      </c>
      <c r="O72" s="186">
        <v>0</v>
      </c>
      <c r="P72" s="186">
        <v>1</v>
      </c>
      <c r="Q72" s="173">
        <f t="shared" si="79"/>
        <v>1</v>
      </c>
      <c r="R72" s="186">
        <v>1</v>
      </c>
      <c r="S72" s="186">
        <v>0</v>
      </c>
      <c r="T72" s="173">
        <f t="shared" si="80"/>
        <v>1</v>
      </c>
      <c r="U72" s="173"/>
      <c r="V72" s="173"/>
      <c r="W72" s="173"/>
      <c r="X72" s="173"/>
      <c r="Y72" s="175">
        <f t="shared" si="68"/>
        <v>0.2</v>
      </c>
      <c r="Z72" s="175">
        <f t="shared" si="81"/>
        <v>0.16666666666666666</v>
      </c>
      <c r="AA72" s="174">
        <v>0</v>
      </c>
      <c r="AB72" s="174">
        <v>0</v>
      </c>
      <c r="AC72" s="174">
        <v>0</v>
      </c>
      <c r="AD72" s="174">
        <v>0</v>
      </c>
      <c r="AE72" s="186">
        <v>0</v>
      </c>
      <c r="AF72" s="186">
        <v>0</v>
      </c>
      <c r="AG72" s="186"/>
      <c r="AH72" s="186"/>
      <c r="AI72" s="178">
        <f t="shared" si="55"/>
        <v>0</v>
      </c>
      <c r="AJ72" s="174">
        <v>0</v>
      </c>
      <c r="AK72" s="174">
        <v>0</v>
      </c>
      <c r="AL72" s="174">
        <v>0</v>
      </c>
      <c r="AM72" s="174">
        <v>0</v>
      </c>
      <c r="AN72" s="174">
        <v>0</v>
      </c>
      <c r="AO72" s="174">
        <v>0</v>
      </c>
      <c r="AP72" s="174"/>
      <c r="AQ72" s="174"/>
      <c r="AR72" s="178">
        <f t="shared" si="56"/>
        <v>0</v>
      </c>
      <c r="AS72" s="179">
        <f t="shared" si="57"/>
        <v>3</v>
      </c>
      <c r="AT72" s="179">
        <f t="shared" si="58"/>
        <v>4</v>
      </c>
      <c r="AU72" s="180">
        <f t="shared" si="82"/>
        <v>7</v>
      </c>
      <c r="AV72" s="180">
        <v>3</v>
      </c>
      <c r="AW72" s="180">
        <v>4</v>
      </c>
      <c r="AX72" s="176">
        <f t="shared" si="60"/>
        <v>1</v>
      </c>
      <c r="AY72" s="176">
        <v>1</v>
      </c>
      <c r="AZ72" s="176">
        <f t="shared" si="61"/>
        <v>0.12444444444444444</v>
      </c>
      <c r="BA72" s="175">
        <f t="shared" si="83"/>
        <v>0.10546139359698682</v>
      </c>
      <c r="BB72" s="175">
        <f t="shared" si="84"/>
        <v>0.2857142857142857</v>
      </c>
      <c r="BC72" s="187">
        <f t="shared" si="85"/>
        <v>13.333333333333334</v>
      </c>
      <c r="BD72" s="188">
        <f t="shared" si="86"/>
        <v>18.666666666666664</v>
      </c>
      <c r="BE72" s="189"/>
      <c r="BF72" s="184">
        <v>28</v>
      </c>
      <c r="BG72" s="143" t="s">
        <v>99</v>
      </c>
      <c r="BH72" s="143" t="s">
        <v>85</v>
      </c>
      <c r="BI72" s="219"/>
      <c r="BJ72" s="219"/>
      <c r="BK72" s="186">
        <v>0</v>
      </c>
      <c r="BL72" s="186">
        <v>1</v>
      </c>
      <c r="BM72" s="186">
        <v>0</v>
      </c>
      <c r="BN72" s="186">
        <v>2</v>
      </c>
      <c r="BO72" s="186">
        <v>1</v>
      </c>
      <c r="BP72" s="186">
        <v>0</v>
      </c>
      <c r="BQ72" s="186">
        <v>1</v>
      </c>
      <c r="BR72" s="186">
        <v>0</v>
      </c>
      <c r="BS72" s="186">
        <v>0</v>
      </c>
      <c r="BT72" s="186">
        <v>0</v>
      </c>
      <c r="BU72" s="186">
        <v>0</v>
      </c>
      <c r="BV72" s="186">
        <v>0</v>
      </c>
      <c r="BW72" s="186">
        <v>0</v>
      </c>
      <c r="BX72" s="186">
        <v>0</v>
      </c>
      <c r="BY72" s="173">
        <f t="shared" si="87"/>
        <v>2</v>
      </c>
      <c r="BZ72" s="173">
        <f t="shared" si="88"/>
        <v>3</v>
      </c>
      <c r="CA72" s="180">
        <f t="shared" si="89"/>
        <v>5</v>
      </c>
    </row>
    <row r="73" spans="1:79" ht="80.099999999999994" customHeight="1">
      <c r="A73" s="173">
        <v>27</v>
      </c>
      <c r="B73" s="143" t="s">
        <v>143</v>
      </c>
      <c r="C73" s="143" t="s">
        <v>85</v>
      </c>
      <c r="D73" s="147"/>
      <c r="E73" s="144">
        <f>(F73*2)+F73*0.25</f>
        <v>56.25</v>
      </c>
      <c r="F73" s="147">
        <v>25</v>
      </c>
      <c r="G73" s="186">
        <v>3</v>
      </c>
      <c r="H73" s="186">
        <v>2</v>
      </c>
      <c r="I73" s="173">
        <f t="shared" si="77"/>
        <v>5</v>
      </c>
      <c r="J73" s="173">
        <v>5</v>
      </c>
      <c r="K73" s="173">
        <f t="shared" si="50"/>
        <v>1</v>
      </c>
      <c r="L73" s="186">
        <v>0</v>
      </c>
      <c r="M73" s="186">
        <v>0</v>
      </c>
      <c r="N73" s="173">
        <f t="shared" si="78"/>
        <v>0</v>
      </c>
      <c r="O73" s="186">
        <v>0</v>
      </c>
      <c r="P73" s="186">
        <v>0</v>
      </c>
      <c r="Q73" s="173">
        <f t="shared" si="79"/>
        <v>0</v>
      </c>
      <c r="R73" s="186">
        <v>1</v>
      </c>
      <c r="S73" s="186">
        <v>0</v>
      </c>
      <c r="T73" s="173">
        <f>SUM(R73:S73)</f>
        <v>1</v>
      </c>
      <c r="U73" s="173"/>
      <c r="V73" s="173"/>
      <c r="W73" s="173"/>
      <c r="X73" s="175">
        <f>I73/F73</f>
        <v>0.2</v>
      </c>
      <c r="Y73" s="175">
        <f t="shared" si="68"/>
        <v>0.2</v>
      </c>
      <c r="Z73" s="175" t="e">
        <f>I73*4/(D73*0.0008)</f>
        <v>#DIV/0!</v>
      </c>
      <c r="AA73" s="174">
        <v>0</v>
      </c>
      <c r="AB73" s="174">
        <v>0</v>
      </c>
      <c r="AC73" s="174">
        <v>0</v>
      </c>
      <c r="AD73" s="174">
        <v>0</v>
      </c>
      <c r="AE73" s="186">
        <v>2</v>
      </c>
      <c r="AF73" s="186">
        <v>1</v>
      </c>
      <c r="AG73" s="186"/>
      <c r="AH73" s="186"/>
      <c r="AI73" s="178">
        <f>AE73+AF73</f>
        <v>3</v>
      </c>
      <c r="AJ73" s="174">
        <v>0</v>
      </c>
      <c r="AK73" s="174">
        <v>0</v>
      </c>
      <c r="AL73" s="174">
        <v>0</v>
      </c>
      <c r="AM73" s="174">
        <v>0</v>
      </c>
      <c r="AN73" s="186">
        <v>0</v>
      </c>
      <c r="AO73" s="186">
        <v>5</v>
      </c>
      <c r="AP73" s="186"/>
      <c r="AQ73" s="186"/>
      <c r="AR73" s="178">
        <f>AN73+AO73</f>
        <v>5</v>
      </c>
      <c r="AS73" s="179">
        <f t="shared" si="57"/>
        <v>6</v>
      </c>
      <c r="AT73" s="179">
        <f t="shared" si="58"/>
        <v>8</v>
      </c>
      <c r="AU73" s="180">
        <f>SUM(AU71:AU72)</f>
        <v>86</v>
      </c>
      <c r="AV73" s="180">
        <v>6</v>
      </c>
      <c r="AW73" s="180">
        <v>8</v>
      </c>
      <c r="AX73" s="176">
        <f t="shared" si="60"/>
        <v>0.625</v>
      </c>
      <c r="AY73" s="176">
        <v>0.63</v>
      </c>
      <c r="AZ73" s="176">
        <f t="shared" si="61"/>
        <v>1.528888888888889</v>
      </c>
      <c r="BA73" s="175" t="e">
        <f t="shared" si="83"/>
        <v>#DIV/0!</v>
      </c>
      <c r="BB73" s="175">
        <f>(N73+Q73+T73)/AU73</f>
        <v>1.1627906976744186E-2</v>
      </c>
      <c r="BC73" s="187" t="e">
        <f>I73*4/D73*100000</f>
        <v>#DIV/0!</v>
      </c>
      <c r="BD73" s="188" t="e">
        <f t="shared" si="86"/>
        <v>#DIV/0!</v>
      </c>
      <c r="BE73" s="189"/>
      <c r="BF73" s="199">
        <v>27</v>
      </c>
      <c r="BG73" s="143" t="s">
        <v>143</v>
      </c>
      <c r="BH73" s="143" t="s">
        <v>85</v>
      </c>
      <c r="BI73" s="219"/>
      <c r="BJ73" s="219"/>
      <c r="BK73" s="186">
        <v>0</v>
      </c>
      <c r="BL73" s="186">
        <v>1</v>
      </c>
      <c r="BM73" s="186">
        <v>0</v>
      </c>
      <c r="BN73" s="186">
        <v>1</v>
      </c>
      <c r="BO73" s="186">
        <v>0</v>
      </c>
      <c r="BP73" s="186">
        <v>0</v>
      </c>
      <c r="BQ73" s="186">
        <v>1</v>
      </c>
      <c r="BR73" s="186">
        <v>0</v>
      </c>
      <c r="BS73" s="186">
        <v>2</v>
      </c>
      <c r="BT73" s="186">
        <v>0</v>
      </c>
      <c r="BU73" s="186">
        <v>0</v>
      </c>
      <c r="BV73" s="186">
        <v>0</v>
      </c>
      <c r="BW73" s="186">
        <v>0</v>
      </c>
      <c r="BX73" s="186">
        <v>0</v>
      </c>
      <c r="BY73" s="179">
        <f>BK73+BM73+BO73+BQ73+BS73+BU73+BW73</f>
        <v>3</v>
      </c>
      <c r="BZ73" s="179">
        <f>BL73+BN73+BP73+BR73+BT73+BV73+BX73</f>
        <v>2</v>
      </c>
      <c r="CA73" s="185">
        <f t="shared" si="89"/>
        <v>5</v>
      </c>
    </row>
    <row r="74" spans="1:79" ht="112.5" customHeight="1">
      <c r="A74" s="173">
        <v>28</v>
      </c>
      <c r="B74" s="143" t="s">
        <v>100</v>
      </c>
      <c r="C74" s="143"/>
      <c r="D74" s="147"/>
      <c r="E74" s="144">
        <f>(F74*2)+F74*0.25</f>
        <v>56.25</v>
      </c>
      <c r="F74" s="147">
        <v>25</v>
      </c>
      <c r="G74" s="186">
        <v>3</v>
      </c>
      <c r="H74" s="186">
        <v>3</v>
      </c>
      <c r="I74" s="173">
        <f t="shared" si="77"/>
        <v>6</v>
      </c>
      <c r="J74" s="173">
        <v>6</v>
      </c>
      <c r="K74" s="173">
        <f t="shared" si="50"/>
        <v>0</v>
      </c>
      <c r="L74" s="174">
        <v>0</v>
      </c>
      <c r="M74" s="174">
        <v>0</v>
      </c>
      <c r="N74" s="173">
        <f t="shared" si="78"/>
        <v>0</v>
      </c>
      <c r="O74" s="174">
        <v>0</v>
      </c>
      <c r="P74" s="174">
        <v>0</v>
      </c>
      <c r="Q74" s="173">
        <f t="shared" si="79"/>
        <v>0</v>
      </c>
      <c r="R74" s="174">
        <v>0</v>
      </c>
      <c r="S74" s="174">
        <v>0</v>
      </c>
      <c r="T74" s="173">
        <f t="shared" si="80"/>
        <v>0</v>
      </c>
      <c r="U74" s="173"/>
      <c r="V74" s="173"/>
      <c r="W74" s="173"/>
      <c r="X74" s="173"/>
      <c r="Y74" s="175">
        <f t="shared" si="68"/>
        <v>0.24</v>
      </c>
      <c r="Z74" s="175" t="e">
        <f t="shared" si="81"/>
        <v>#DIV/0!</v>
      </c>
      <c r="AA74" s="174">
        <v>0</v>
      </c>
      <c r="AB74" s="174">
        <v>0</v>
      </c>
      <c r="AC74" s="174">
        <v>0</v>
      </c>
      <c r="AD74" s="174">
        <v>0</v>
      </c>
      <c r="AE74" s="186"/>
      <c r="AF74" s="186">
        <v>1</v>
      </c>
      <c r="AG74" s="186"/>
      <c r="AH74" s="186"/>
      <c r="AI74" s="178">
        <f t="shared" si="55"/>
        <v>1</v>
      </c>
      <c r="AJ74" s="174">
        <v>0</v>
      </c>
      <c r="AK74" s="174">
        <v>0</v>
      </c>
      <c r="AL74" s="174">
        <v>0</v>
      </c>
      <c r="AM74" s="174">
        <v>0</v>
      </c>
      <c r="AN74" s="174">
        <v>0</v>
      </c>
      <c r="AO74" s="174">
        <v>1</v>
      </c>
      <c r="AP74" s="174"/>
      <c r="AQ74" s="174"/>
      <c r="AR74" s="178">
        <f t="shared" si="56"/>
        <v>1</v>
      </c>
      <c r="AS74" s="179">
        <f t="shared" si="57"/>
        <v>3</v>
      </c>
      <c r="AT74" s="179">
        <f t="shared" si="58"/>
        <v>5</v>
      </c>
      <c r="AU74" s="180">
        <f t="shared" si="82"/>
        <v>8</v>
      </c>
      <c r="AV74" s="180">
        <v>3</v>
      </c>
      <c r="AW74" s="180">
        <v>5</v>
      </c>
      <c r="AX74" s="176">
        <f t="shared" si="60"/>
        <v>0.8571428571428571</v>
      </c>
      <c r="AY74" s="176">
        <v>0.86</v>
      </c>
      <c r="AZ74" s="176">
        <f t="shared" si="61"/>
        <v>0.14222222222222222</v>
      </c>
      <c r="BA74" s="175" t="e">
        <f t="shared" si="83"/>
        <v>#DIV/0!</v>
      </c>
      <c r="BB74" s="175">
        <f t="shared" si="84"/>
        <v>0</v>
      </c>
      <c r="BC74" s="187" t="e">
        <f t="shared" si="85"/>
        <v>#DIV/0!</v>
      </c>
      <c r="BD74" s="188" t="e">
        <f t="shared" si="86"/>
        <v>#DIV/0!</v>
      </c>
      <c r="BE74" s="189"/>
      <c r="BF74" s="184">
        <v>29</v>
      </c>
      <c r="BG74" s="143" t="s">
        <v>100</v>
      </c>
      <c r="BH74" s="143"/>
      <c r="BI74" s="219"/>
      <c r="BJ74" s="219"/>
      <c r="BK74" s="174">
        <v>0</v>
      </c>
      <c r="BL74" s="174">
        <v>0</v>
      </c>
      <c r="BM74" s="174">
        <v>1</v>
      </c>
      <c r="BN74" s="174">
        <v>0</v>
      </c>
      <c r="BO74" s="174">
        <v>0</v>
      </c>
      <c r="BP74" s="174">
        <v>1</v>
      </c>
      <c r="BQ74" s="174">
        <v>0</v>
      </c>
      <c r="BR74" s="174">
        <v>0</v>
      </c>
      <c r="BS74" s="174">
        <v>2</v>
      </c>
      <c r="BT74" s="174">
        <v>1</v>
      </c>
      <c r="BU74" s="174">
        <v>0</v>
      </c>
      <c r="BV74" s="174">
        <v>1</v>
      </c>
      <c r="BW74" s="174">
        <v>0</v>
      </c>
      <c r="BX74" s="174">
        <v>0</v>
      </c>
      <c r="BY74" s="173">
        <f t="shared" si="87"/>
        <v>3</v>
      </c>
      <c r="BZ74" s="173">
        <f t="shared" si="88"/>
        <v>3</v>
      </c>
      <c r="CA74" s="180">
        <f t="shared" si="89"/>
        <v>6</v>
      </c>
    </row>
    <row r="75" spans="1:79" ht="115.5" customHeight="1">
      <c r="A75" s="207"/>
      <c r="B75" s="160" t="s">
        <v>108</v>
      </c>
      <c r="C75" s="161" t="s">
        <v>101</v>
      </c>
      <c r="D75" s="162">
        <v>1650000</v>
      </c>
      <c r="E75" s="162">
        <f>SUM(E58:E74)</f>
        <v>956.25</v>
      </c>
      <c r="F75" s="162">
        <f>SUM(F58:F74)</f>
        <v>425</v>
      </c>
      <c r="G75" s="208">
        <f>SUM(G58:G74)</f>
        <v>48</v>
      </c>
      <c r="H75" s="208">
        <f>SUM(H58:H74)</f>
        <v>74</v>
      </c>
      <c r="I75" s="208">
        <f>SUM(I58:I74)</f>
        <v>122</v>
      </c>
      <c r="J75" s="208">
        <v>122</v>
      </c>
      <c r="K75" s="173">
        <f t="shared" si="50"/>
        <v>23</v>
      </c>
      <c r="L75" s="208">
        <f t="shared" ref="L75:Q75" si="90">L74+L72+L71+L70+L69+L68+L67+L66+L65+L64+L63+L62+L61+L60+L59+L58</f>
        <v>5</v>
      </c>
      <c r="M75" s="208">
        <f t="shared" si="90"/>
        <v>11</v>
      </c>
      <c r="N75" s="208">
        <f t="shared" si="90"/>
        <v>16</v>
      </c>
      <c r="O75" s="208">
        <f t="shared" si="90"/>
        <v>1</v>
      </c>
      <c r="P75" s="208">
        <f t="shared" si="90"/>
        <v>2</v>
      </c>
      <c r="Q75" s="208">
        <f t="shared" si="90"/>
        <v>3</v>
      </c>
      <c r="R75" s="208">
        <f>SUM(R58:R74)</f>
        <v>4</v>
      </c>
      <c r="S75" s="208">
        <f>SUM(S58:S74)</f>
        <v>1</v>
      </c>
      <c r="T75" s="208">
        <f>T74+T72+T71+T70+T69+T68+T67+T66+T65+T64+T63+T62+T61+T60+T59+T58</f>
        <v>4</v>
      </c>
      <c r="U75" s="208">
        <f>U74+U72+U71+U70+U69+U68+U67+U66+U65+U64+U63+U62+U61+U60+U59+U58</f>
        <v>0</v>
      </c>
      <c r="V75" s="208">
        <f>V74+V72+V71+V70+V69+V68+V67+V66+V65+V64+V63+V62+V61+V60+V59+V58</f>
        <v>0</v>
      </c>
      <c r="W75" s="208">
        <f>W74+W72+W71+W70+W69+W68+W67+W66+W65+W64+W63+W62+W61+W60+W59+W58</f>
        <v>0</v>
      </c>
      <c r="X75" s="208"/>
      <c r="Y75" s="175">
        <f t="shared" si="68"/>
        <v>0.28705882352941176</v>
      </c>
      <c r="Z75" s="209">
        <f t="shared" si="81"/>
        <v>0.36969696969696969</v>
      </c>
      <c r="AA75" s="208">
        <f>AA74+AA72+AA71+AA70+AA69+AA68+AA67+AA66+AA65+AA64+AA63+AA62+AA61+AA60+AA59+AA58</f>
        <v>0</v>
      </c>
      <c r="AB75" s="208">
        <f>AB74+AB72+AB71+AB70+AB69+AB68+AB67+AB66+AB65+AB64+AB63+AB62+AB61+AB60+AB59+AB58</f>
        <v>0</v>
      </c>
      <c r="AC75" s="208">
        <f>AC74+AC72+AC71+AC70+AC69+AC68+AC67+AC66+AC65+AC64+AC63+AC62+AC61+AC60+AC59+AC58</f>
        <v>0</v>
      </c>
      <c r="AD75" s="208">
        <f>AD74+AD72+AD71+AD70+AD69+AD68+AD67+AD66+AD65+AD64+AD63+AD62+AD61+AD60+AD59+AD58</f>
        <v>0</v>
      </c>
      <c r="AE75" s="208">
        <f>SUM(AE58:AE74)</f>
        <v>54</v>
      </c>
      <c r="AF75" s="208">
        <f>SUM(AF58:AF74)</f>
        <v>86</v>
      </c>
      <c r="AG75" s="208"/>
      <c r="AH75" s="208"/>
      <c r="AI75" s="178">
        <f t="shared" si="55"/>
        <v>140</v>
      </c>
      <c r="AJ75" s="208">
        <f t="shared" ref="AJ75:AO75" si="91">AJ74+AJ72+AJ71+AJ70+AJ69+AJ68+AJ67+AJ66+AJ65+AJ64+AJ63+AJ62+AJ61+AJ60+AJ59+AJ58</f>
        <v>0</v>
      </c>
      <c r="AK75" s="208">
        <f t="shared" si="91"/>
        <v>0</v>
      </c>
      <c r="AL75" s="208">
        <f t="shared" si="91"/>
        <v>0</v>
      </c>
      <c r="AM75" s="208">
        <f t="shared" si="91"/>
        <v>0</v>
      </c>
      <c r="AN75" s="208">
        <f t="shared" si="91"/>
        <v>40</v>
      </c>
      <c r="AO75" s="208">
        <f t="shared" si="91"/>
        <v>74</v>
      </c>
      <c r="AP75" s="208"/>
      <c r="AQ75" s="208"/>
      <c r="AR75" s="249">
        <f t="shared" si="56"/>
        <v>114</v>
      </c>
      <c r="AS75" s="207">
        <f>SUM(AS58:AS74)</f>
        <v>152</v>
      </c>
      <c r="AT75" s="207">
        <f>SUM(AT58:AT74)</f>
        <v>253</v>
      </c>
      <c r="AU75" s="250">
        <f t="shared" si="82"/>
        <v>405</v>
      </c>
      <c r="AV75" s="250">
        <v>146</v>
      </c>
      <c r="AW75" s="250">
        <v>245</v>
      </c>
      <c r="AX75" s="209">
        <f t="shared" si="60"/>
        <v>0.46564885496183206</v>
      </c>
      <c r="AY75" s="209">
        <v>0.46</v>
      </c>
      <c r="AZ75" s="209">
        <f t="shared" si="61"/>
        <v>0.42352941176470588</v>
      </c>
      <c r="BA75" s="209">
        <f t="shared" si="83"/>
        <v>0.55469953775038516</v>
      </c>
      <c r="BB75" s="209">
        <f t="shared" si="84"/>
        <v>5.6790123456790124E-2</v>
      </c>
      <c r="BC75" s="251">
        <f t="shared" si="85"/>
        <v>29.575757575757574</v>
      </c>
      <c r="BD75" s="252">
        <f t="shared" si="86"/>
        <v>98.181818181818173</v>
      </c>
      <c r="BE75" s="253"/>
      <c r="BF75" s="210">
        <v>30</v>
      </c>
      <c r="BG75" s="160" t="s">
        <v>108</v>
      </c>
      <c r="BH75" s="161" t="s">
        <v>101</v>
      </c>
      <c r="BI75" s="219">
        <f t="shared" ref="BI75:CA75" si="92">BI74+BI72+BI71+BI70+BI69+BI68+BI67+BI66+BI65+BI64+BI63+BI62+BI61+BI60+BI59+BI58</f>
        <v>0</v>
      </c>
      <c r="BJ75" s="219">
        <f t="shared" si="92"/>
        <v>0</v>
      </c>
      <c r="BK75" s="208">
        <f t="shared" si="92"/>
        <v>1</v>
      </c>
      <c r="BL75" s="208">
        <f t="shared" si="92"/>
        <v>5</v>
      </c>
      <c r="BM75" s="208">
        <f t="shared" si="92"/>
        <v>17</v>
      </c>
      <c r="BN75" s="208">
        <f t="shared" si="92"/>
        <v>33</v>
      </c>
      <c r="BO75" s="208">
        <f t="shared" si="92"/>
        <v>14</v>
      </c>
      <c r="BP75" s="208">
        <f t="shared" si="92"/>
        <v>16</v>
      </c>
      <c r="BQ75" s="208">
        <f t="shared" si="92"/>
        <v>4</v>
      </c>
      <c r="BR75" s="208">
        <f t="shared" si="92"/>
        <v>5</v>
      </c>
      <c r="BS75" s="208">
        <f t="shared" si="92"/>
        <v>6</v>
      </c>
      <c r="BT75" s="208">
        <f t="shared" si="92"/>
        <v>6</v>
      </c>
      <c r="BU75" s="208">
        <f t="shared" si="92"/>
        <v>2</v>
      </c>
      <c r="BV75" s="208">
        <f t="shared" si="92"/>
        <v>4</v>
      </c>
      <c r="BW75" s="208">
        <f t="shared" si="92"/>
        <v>1</v>
      </c>
      <c r="BX75" s="208">
        <f t="shared" si="92"/>
        <v>3</v>
      </c>
      <c r="BY75" s="208">
        <f t="shared" si="92"/>
        <v>45</v>
      </c>
      <c r="BZ75" s="208">
        <f t="shared" si="92"/>
        <v>72</v>
      </c>
      <c r="CA75" s="208">
        <f t="shared" si="92"/>
        <v>117</v>
      </c>
    </row>
    <row r="76" spans="1:79" ht="80.099999999999994" customHeight="1">
      <c r="A76" s="163" t="s">
        <v>111</v>
      </c>
      <c r="B76" s="164" t="s">
        <v>112</v>
      </c>
      <c r="C76" s="165" t="s">
        <v>113</v>
      </c>
      <c r="D76" s="166">
        <v>3270000</v>
      </c>
      <c r="E76" s="166">
        <f>E75+E57+E53</f>
        <v>1687.5</v>
      </c>
      <c r="F76" s="166">
        <f>F75+F57+F53</f>
        <v>750</v>
      </c>
      <c r="G76" s="211">
        <f>G75+G57+G53</f>
        <v>125</v>
      </c>
      <c r="H76" s="211">
        <f>H75+H57+H53</f>
        <v>140</v>
      </c>
      <c r="I76" s="211">
        <f>I75+I57+I53</f>
        <v>265</v>
      </c>
      <c r="J76" s="211">
        <v>265</v>
      </c>
      <c r="K76" s="173">
        <f t="shared" si="50"/>
        <v>38</v>
      </c>
      <c r="L76" s="211">
        <f t="shared" ref="L76:W76" si="93">L75+L57+L53</f>
        <v>10</v>
      </c>
      <c r="M76" s="211">
        <f t="shared" si="93"/>
        <v>20</v>
      </c>
      <c r="N76" s="211">
        <f t="shared" si="93"/>
        <v>30</v>
      </c>
      <c r="O76" s="211">
        <f t="shared" si="93"/>
        <v>1</v>
      </c>
      <c r="P76" s="211">
        <f t="shared" si="93"/>
        <v>2</v>
      </c>
      <c r="Q76" s="211">
        <f t="shared" si="93"/>
        <v>3</v>
      </c>
      <c r="R76" s="211">
        <f t="shared" si="93"/>
        <v>4</v>
      </c>
      <c r="S76" s="211">
        <f t="shared" si="93"/>
        <v>2</v>
      </c>
      <c r="T76" s="211">
        <f t="shared" si="93"/>
        <v>5</v>
      </c>
      <c r="U76" s="211">
        <f t="shared" si="93"/>
        <v>0</v>
      </c>
      <c r="V76" s="211">
        <f t="shared" si="93"/>
        <v>0</v>
      </c>
      <c r="W76" s="211">
        <f t="shared" si="93"/>
        <v>0</v>
      </c>
      <c r="X76" s="211"/>
      <c r="Y76" s="175">
        <f t="shared" si="68"/>
        <v>0.35333333333333333</v>
      </c>
      <c r="Z76" s="211">
        <f t="shared" ref="Z76:AF76" si="94">Z75+Z57+Z53</f>
        <v>5.5124979376340546</v>
      </c>
      <c r="AA76" s="211">
        <f t="shared" si="94"/>
        <v>0</v>
      </c>
      <c r="AB76" s="211">
        <f t="shared" si="94"/>
        <v>0</v>
      </c>
      <c r="AC76" s="211">
        <f t="shared" si="94"/>
        <v>0</v>
      </c>
      <c r="AD76" s="211">
        <f t="shared" si="94"/>
        <v>0</v>
      </c>
      <c r="AE76" s="211">
        <f t="shared" si="94"/>
        <v>98</v>
      </c>
      <c r="AF76" s="211">
        <f t="shared" si="94"/>
        <v>144</v>
      </c>
      <c r="AG76" s="211"/>
      <c r="AH76" s="211"/>
      <c r="AI76" s="178">
        <f t="shared" si="55"/>
        <v>242</v>
      </c>
      <c r="AJ76" s="211">
        <f t="shared" ref="AJ76:AO76" si="95">AJ75+AJ57+AJ53</f>
        <v>0</v>
      </c>
      <c r="AK76" s="211">
        <f t="shared" si="95"/>
        <v>0</v>
      </c>
      <c r="AL76" s="211">
        <f t="shared" si="95"/>
        <v>0</v>
      </c>
      <c r="AM76" s="211">
        <f t="shared" si="95"/>
        <v>0</v>
      </c>
      <c r="AN76" s="211">
        <f t="shared" si="95"/>
        <v>59</v>
      </c>
      <c r="AO76" s="211">
        <f t="shared" si="95"/>
        <v>125</v>
      </c>
      <c r="AP76" s="211"/>
      <c r="AQ76" s="211"/>
      <c r="AR76" s="178">
        <f t="shared" si="56"/>
        <v>184</v>
      </c>
      <c r="AS76" s="211">
        <f>AS75+AS57+AS53</f>
        <v>297</v>
      </c>
      <c r="AT76" s="211">
        <f>AT75+AT57+AT53</f>
        <v>438</v>
      </c>
      <c r="AU76" s="211">
        <f>AU75+AU57+AU53</f>
        <v>735</v>
      </c>
      <c r="AV76" s="211"/>
      <c r="AW76" s="211"/>
      <c r="AX76" s="176">
        <f t="shared" si="60"/>
        <v>0.52268244575936884</v>
      </c>
      <c r="AY76" s="176">
        <v>0.52</v>
      </c>
      <c r="AZ76" s="176">
        <f t="shared" si="61"/>
        <v>0.43555555555555553</v>
      </c>
      <c r="BA76" s="212">
        <f t="shared" si="83"/>
        <v>0.50795625356346852</v>
      </c>
      <c r="BB76" s="212">
        <f t="shared" si="84"/>
        <v>5.1700680272108841E-2</v>
      </c>
      <c r="BC76" s="213">
        <f t="shared" si="85"/>
        <v>32.415902140672785</v>
      </c>
      <c r="BD76" s="214">
        <f t="shared" si="86"/>
        <v>89.908256880733944</v>
      </c>
      <c r="BE76" s="215"/>
      <c r="BF76" s="216">
        <v>30</v>
      </c>
      <c r="BG76" s="211"/>
      <c r="BH76" s="211"/>
      <c r="BI76" s="220">
        <f t="shared" ref="BI76:CA76" si="96">BI75+BI57+BI53</f>
        <v>0</v>
      </c>
      <c r="BJ76" s="220">
        <f t="shared" si="96"/>
        <v>0</v>
      </c>
      <c r="BK76" s="211">
        <f t="shared" si="96"/>
        <v>2</v>
      </c>
      <c r="BL76" s="211">
        <f t="shared" si="96"/>
        <v>8</v>
      </c>
      <c r="BM76" s="211">
        <f t="shared" si="96"/>
        <v>43</v>
      </c>
      <c r="BN76" s="211">
        <f t="shared" si="96"/>
        <v>61</v>
      </c>
      <c r="BO76" s="211">
        <f t="shared" si="96"/>
        <v>39</v>
      </c>
      <c r="BP76" s="211">
        <f t="shared" si="96"/>
        <v>31</v>
      </c>
      <c r="BQ76" s="211">
        <f t="shared" si="96"/>
        <v>13</v>
      </c>
      <c r="BR76" s="211">
        <f t="shared" si="96"/>
        <v>14</v>
      </c>
      <c r="BS76" s="211">
        <f t="shared" si="96"/>
        <v>12</v>
      </c>
      <c r="BT76" s="211">
        <f t="shared" si="96"/>
        <v>12</v>
      </c>
      <c r="BU76" s="211">
        <f t="shared" si="96"/>
        <v>9</v>
      </c>
      <c r="BV76" s="211">
        <f t="shared" si="96"/>
        <v>7</v>
      </c>
      <c r="BW76" s="211">
        <f t="shared" si="96"/>
        <v>4</v>
      </c>
      <c r="BX76" s="211">
        <f t="shared" si="96"/>
        <v>5</v>
      </c>
      <c r="BY76" s="211">
        <f t="shared" si="96"/>
        <v>122</v>
      </c>
      <c r="BZ76" s="211">
        <f t="shared" si="96"/>
        <v>138</v>
      </c>
      <c r="CA76" s="211">
        <f t="shared" si="96"/>
        <v>260</v>
      </c>
    </row>
    <row r="77" spans="1:79" ht="80.099999999999994" customHeight="1">
      <c r="A77" s="217"/>
      <c r="B77" s="217"/>
      <c r="C77" s="217"/>
      <c r="D77" s="217"/>
      <c r="E77" s="166"/>
      <c r="F77" s="166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  <c r="BD77" s="217"/>
      <c r="BE77" s="217"/>
      <c r="BF77" s="217"/>
      <c r="BG77" s="217"/>
      <c r="BH77" s="217"/>
      <c r="BI77" s="221"/>
      <c r="BJ77" s="221"/>
      <c r="BK77" s="217"/>
      <c r="BL77" s="217"/>
      <c r="BM77" s="217"/>
      <c r="BN77" s="217"/>
      <c r="BO77" s="217"/>
      <c r="BP77" s="217"/>
      <c r="BQ77" s="217"/>
      <c r="BR77" s="217"/>
      <c r="BS77" s="217"/>
      <c r="BT77" s="217"/>
      <c r="BU77" s="217"/>
      <c r="BV77" s="217"/>
      <c r="BW77" s="217"/>
      <c r="BX77" s="217"/>
      <c r="BY77" s="217"/>
      <c r="BZ77" s="217"/>
      <c r="CA77" s="217"/>
    </row>
    <row r="78" spans="1:79" ht="80.099999999999994" customHeight="1">
      <c r="A78" s="217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17"/>
      <c r="AV78" s="217"/>
      <c r="AW78" s="217"/>
      <c r="AX78" s="217"/>
      <c r="AY78" s="217"/>
      <c r="AZ78" s="217"/>
      <c r="BA78" s="217"/>
      <c r="BB78" s="217"/>
      <c r="BC78" s="217"/>
      <c r="BD78" s="217"/>
      <c r="BE78" s="217"/>
      <c r="BF78" s="217"/>
      <c r="BG78" s="217"/>
      <c r="BH78" s="217"/>
      <c r="BI78" s="221"/>
      <c r="BJ78" s="221"/>
      <c r="BK78" s="217"/>
      <c r="BL78" s="217"/>
      <c r="BM78" s="217"/>
      <c r="BN78" s="217"/>
      <c r="BO78" s="217"/>
      <c r="BP78" s="217"/>
      <c r="BQ78" s="217"/>
      <c r="BR78" s="217"/>
      <c r="BS78" s="217"/>
      <c r="BT78" s="217"/>
      <c r="BU78" s="217"/>
      <c r="BV78" s="217"/>
      <c r="BW78" s="217"/>
      <c r="BX78" s="217"/>
      <c r="BY78" s="217"/>
      <c r="BZ78" s="217"/>
      <c r="CA78" s="217"/>
    </row>
    <row r="79" spans="1:79" ht="80.099999999999994" customHeight="1">
      <c r="A79" s="869" t="s">
        <v>40</v>
      </c>
      <c r="B79" s="870"/>
      <c r="C79" s="171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872" t="s">
        <v>40</v>
      </c>
      <c r="BG79" s="873"/>
      <c r="BH79" s="171"/>
      <c r="BI79" s="222"/>
      <c r="BJ79" s="22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</row>
    <row r="80" spans="1:79" ht="80.099999999999994" customHeight="1">
      <c r="A80" s="887" t="s">
        <v>105</v>
      </c>
      <c r="B80" s="887"/>
      <c r="C80" s="125"/>
      <c r="D80" s="126"/>
      <c r="E80" s="126"/>
      <c r="F80" s="126"/>
      <c r="G80" s="864" t="s">
        <v>34</v>
      </c>
      <c r="H80" s="864"/>
      <c r="I80" s="864"/>
      <c r="J80" s="864"/>
      <c r="K80" s="864"/>
      <c r="L80" s="864"/>
      <c r="M80" s="864"/>
      <c r="N80" s="864"/>
      <c r="O80" s="864"/>
      <c r="P80" s="864"/>
      <c r="Q80" s="864"/>
      <c r="R80" s="864"/>
      <c r="S80" s="864"/>
      <c r="T80" s="864"/>
      <c r="U80" s="127"/>
      <c r="V80" s="127"/>
      <c r="W80" s="127">
        <f>32-13</f>
        <v>19</v>
      </c>
      <c r="X80" s="127"/>
      <c r="Y80" s="127"/>
      <c r="Z80" s="128"/>
      <c r="AA80" s="864" t="s">
        <v>28</v>
      </c>
      <c r="AB80" s="864"/>
      <c r="AC80" s="864"/>
      <c r="AD80" s="864"/>
      <c r="AE80" s="864"/>
      <c r="AF80" s="864"/>
      <c r="AG80" s="864"/>
      <c r="AH80" s="864"/>
      <c r="AI80" s="864"/>
      <c r="AJ80" s="864" t="s">
        <v>35</v>
      </c>
      <c r="AK80" s="864"/>
      <c r="AL80" s="864"/>
      <c r="AM80" s="864"/>
      <c r="AN80" s="864"/>
      <c r="AO80" s="864"/>
      <c r="AP80" s="864"/>
      <c r="AQ80" s="864"/>
      <c r="AR80" s="864"/>
      <c r="AS80" s="129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1"/>
      <c r="BE80" s="130"/>
      <c r="BF80" s="874" t="s">
        <v>114</v>
      </c>
      <c r="BG80" s="875"/>
      <c r="BH80" s="132"/>
      <c r="BI80" s="223"/>
      <c r="BJ80" s="223"/>
      <c r="BK80" s="133"/>
      <c r="BL80" s="133"/>
      <c r="BM80" s="133"/>
      <c r="BN80" s="133"/>
      <c r="BO80" s="133"/>
      <c r="BP80" s="133"/>
      <c r="BQ80" s="133"/>
      <c r="BR80" s="133"/>
      <c r="BS80" s="133"/>
      <c r="BT80" s="133"/>
      <c r="BU80" s="133"/>
      <c r="BV80" s="133"/>
      <c r="BW80" s="133"/>
      <c r="BX80" s="133"/>
      <c r="BY80" s="133"/>
      <c r="BZ80" s="133"/>
      <c r="CA80" s="133"/>
    </row>
    <row r="81" spans="1:79" ht="80.099999999999994" customHeight="1">
      <c r="A81" s="868" t="s">
        <v>2</v>
      </c>
      <c r="B81" s="868"/>
      <c r="C81" s="134"/>
      <c r="D81" s="135"/>
      <c r="E81" s="135"/>
      <c r="F81" s="135"/>
      <c r="G81" s="864" t="s">
        <v>10</v>
      </c>
      <c r="H81" s="864"/>
      <c r="I81" s="864"/>
      <c r="J81" s="121"/>
      <c r="K81" s="121"/>
      <c r="L81" s="864" t="s">
        <v>29</v>
      </c>
      <c r="M81" s="864"/>
      <c r="N81" s="864"/>
      <c r="O81" s="864"/>
      <c r="P81" s="864"/>
      <c r="Q81" s="864"/>
      <c r="R81" s="864"/>
      <c r="S81" s="864"/>
      <c r="T81" s="864"/>
      <c r="U81" s="136"/>
      <c r="V81" s="136"/>
      <c r="W81" s="136"/>
      <c r="X81" s="136"/>
      <c r="Y81" s="136"/>
      <c r="Z81" s="137"/>
      <c r="AA81" s="864" t="s">
        <v>12</v>
      </c>
      <c r="AB81" s="864"/>
      <c r="AC81" s="864"/>
      <c r="AD81" s="864"/>
      <c r="AE81" s="864"/>
      <c r="AF81" s="864"/>
      <c r="AG81" s="864"/>
      <c r="AH81" s="864"/>
      <c r="AI81" s="864"/>
      <c r="AJ81" s="864"/>
      <c r="AK81" s="864"/>
      <c r="AL81" s="864"/>
      <c r="AM81" s="864"/>
      <c r="AN81" s="864"/>
      <c r="AO81" s="864"/>
      <c r="AP81" s="864"/>
      <c r="AQ81" s="864"/>
      <c r="AR81" s="864"/>
      <c r="AS81" s="134"/>
      <c r="AT81" s="138"/>
      <c r="AU81" s="138"/>
      <c r="AV81" s="138"/>
      <c r="AW81" s="138"/>
      <c r="AX81" s="139"/>
      <c r="AY81" s="139"/>
      <c r="AZ81" s="139"/>
      <c r="BA81" s="139"/>
      <c r="BB81" s="139"/>
      <c r="BC81" s="139"/>
      <c r="BD81" s="140"/>
      <c r="BE81" s="139"/>
      <c r="BF81" s="876" t="s">
        <v>3</v>
      </c>
      <c r="BG81" s="877"/>
      <c r="BH81" s="141"/>
      <c r="BI81" s="223"/>
      <c r="BJ81" s="223"/>
      <c r="BK81" s="133"/>
      <c r="BL81" s="133"/>
      <c r="BM81" s="133"/>
      <c r="BN81" s="133"/>
      <c r="BO81" s="133"/>
      <c r="BP81" s="133"/>
      <c r="BQ81" s="133"/>
      <c r="BR81" s="133"/>
      <c r="BS81" s="133"/>
      <c r="BT81" s="133"/>
      <c r="BU81" s="133"/>
      <c r="BV81" s="133"/>
      <c r="BW81" s="133"/>
      <c r="BX81" s="133"/>
      <c r="BY81" s="133"/>
      <c r="BZ81" s="133"/>
      <c r="CA81" s="133"/>
    </row>
    <row r="82" spans="1:79" ht="80.099999999999994" customHeight="1">
      <c r="A82" s="868" t="s">
        <v>0</v>
      </c>
      <c r="B82" s="878" t="s">
        <v>42</v>
      </c>
      <c r="C82" s="878" t="s">
        <v>43</v>
      </c>
      <c r="D82" s="868" t="s">
        <v>44</v>
      </c>
      <c r="E82" s="880" t="s">
        <v>165</v>
      </c>
      <c r="F82" s="880" t="s">
        <v>107</v>
      </c>
      <c r="G82" s="864"/>
      <c r="H82" s="864"/>
      <c r="I82" s="864"/>
      <c r="J82" s="121"/>
      <c r="K82" s="121"/>
      <c r="L82" s="864" t="s">
        <v>11</v>
      </c>
      <c r="M82" s="864"/>
      <c r="N82" s="864"/>
      <c r="O82" s="864" t="s">
        <v>38</v>
      </c>
      <c r="P82" s="864"/>
      <c r="Q82" s="864"/>
      <c r="R82" s="864" t="s">
        <v>39</v>
      </c>
      <c r="S82" s="864"/>
      <c r="T82" s="864"/>
      <c r="U82" s="865" t="s">
        <v>47</v>
      </c>
      <c r="V82" s="866"/>
      <c r="W82" s="867"/>
      <c r="X82" s="119"/>
      <c r="Y82" s="119"/>
      <c r="Z82" s="864" t="s">
        <v>13</v>
      </c>
      <c r="AA82" s="868" t="s">
        <v>30</v>
      </c>
      <c r="AB82" s="868"/>
      <c r="AC82" s="868" t="s">
        <v>23</v>
      </c>
      <c r="AD82" s="868"/>
      <c r="AE82" s="868" t="s">
        <v>31</v>
      </c>
      <c r="AF82" s="868"/>
      <c r="AG82" s="876" t="s">
        <v>1</v>
      </c>
      <c r="AH82" s="877"/>
      <c r="AI82" s="868" t="s">
        <v>32</v>
      </c>
      <c r="AJ82" s="868" t="s">
        <v>30</v>
      </c>
      <c r="AK82" s="868"/>
      <c r="AL82" s="868" t="s">
        <v>23</v>
      </c>
      <c r="AM82" s="868"/>
      <c r="AN82" s="868" t="s">
        <v>31</v>
      </c>
      <c r="AO82" s="868"/>
      <c r="AP82" s="876" t="s">
        <v>1</v>
      </c>
      <c r="AQ82" s="877"/>
      <c r="AR82" s="868" t="s">
        <v>32</v>
      </c>
      <c r="AS82" s="864" t="s">
        <v>33</v>
      </c>
      <c r="AT82" s="864"/>
      <c r="AU82" s="864"/>
      <c r="AV82" s="121"/>
      <c r="AW82" s="121"/>
      <c r="AX82" s="882" t="s">
        <v>22</v>
      </c>
      <c r="AY82" s="122"/>
      <c r="AZ82" s="122"/>
      <c r="BA82" s="864" t="s">
        <v>14</v>
      </c>
      <c r="BB82" s="864" t="s">
        <v>18</v>
      </c>
      <c r="BC82" s="864" t="s">
        <v>19</v>
      </c>
      <c r="BD82" s="864" t="s">
        <v>20</v>
      </c>
      <c r="BE82" s="119"/>
      <c r="BF82" s="877" t="s">
        <v>0</v>
      </c>
      <c r="BG82" s="878" t="s">
        <v>42</v>
      </c>
      <c r="BH82" s="878" t="s">
        <v>43</v>
      </c>
      <c r="BI82" s="886" t="s">
        <v>36</v>
      </c>
      <c r="BJ82" s="886"/>
      <c r="BK82" s="885" t="s">
        <v>141</v>
      </c>
      <c r="BL82" s="885"/>
      <c r="BM82" s="868" t="s">
        <v>4</v>
      </c>
      <c r="BN82" s="868"/>
      <c r="BO82" s="868" t="s">
        <v>5</v>
      </c>
      <c r="BP82" s="868"/>
      <c r="BQ82" s="868" t="s">
        <v>6</v>
      </c>
      <c r="BR82" s="868"/>
      <c r="BS82" s="868" t="s">
        <v>7</v>
      </c>
      <c r="BT82" s="868"/>
      <c r="BU82" s="868" t="s">
        <v>8</v>
      </c>
      <c r="BV82" s="868"/>
      <c r="BW82" s="868" t="s">
        <v>9</v>
      </c>
      <c r="BX82" s="868"/>
      <c r="BY82" s="868" t="s">
        <v>21</v>
      </c>
      <c r="BZ82" s="868"/>
      <c r="CA82" s="868"/>
    </row>
    <row r="83" spans="1:79" ht="80.099999999999994" customHeight="1">
      <c r="A83" s="868"/>
      <c r="B83" s="879"/>
      <c r="C83" s="879"/>
      <c r="D83" s="868"/>
      <c r="E83" s="881"/>
      <c r="F83" s="881"/>
      <c r="G83" s="121" t="s">
        <v>16</v>
      </c>
      <c r="H83" s="121" t="s">
        <v>17</v>
      </c>
      <c r="I83" s="121" t="s">
        <v>32</v>
      </c>
      <c r="J83" s="121"/>
      <c r="K83" s="121"/>
      <c r="L83" s="121" t="s">
        <v>16</v>
      </c>
      <c r="M83" s="121" t="s">
        <v>17</v>
      </c>
      <c r="N83" s="121" t="s">
        <v>32</v>
      </c>
      <c r="O83" s="121" t="s">
        <v>16</v>
      </c>
      <c r="P83" s="121" t="s">
        <v>17</v>
      </c>
      <c r="Q83" s="121" t="s">
        <v>32</v>
      </c>
      <c r="R83" s="121" t="s">
        <v>16</v>
      </c>
      <c r="S83" s="121" t="s">
        <v>17</v>
      </c>
      <c r="T83" s="121" t="s">
        <v>32</v>
      </c>
      <c r="U83" s="121" t="s">
        <v>16</v>
      </c>
      <c r="V83" s="121" t="s">
        <v>17</v>
      </c>
      <c r="W83" s="121" t="s">
        <v>32</v>
      </c>
      <c r="X83" s="121"/>
      <c r="Y83" s="121"/>
      <c r="Z83" s="864"/>
      <c r="AA83" s="121" t="s">
        <v>16</v>
      </c>
      <c r="AB83" s="121" t="s">
        <v>17</v>
      </c>
      <c r="AC83" s="121" t="s">
        <v>16</v>
      </c>
      <c r="AD83" s="121" t="s">
        <v>17</v>
      </c>
      <c r="AE83" s="121" t="s">
        <v>16</v>
      </c>
      <c r="AF83" s="121" t="s">
        <v>17</v>
      </c>
      <c r="AG83" s="121" t="s">
        <v>16</v>
      </c>
      <c r="AH83" s="121" t="s">
        <v>17</v>
      </c>
      <c r="AI83" s="868"/>
      <c r="AJ83" s="121" t="s">
        <v>16</v>
      </c>
      <c r="AK83" s="121" t="s">
        <v>17</v>
      </c>
      <c r="AL83" s="121" t="s">
        <v>16</v>
      </c>
      <c r="AM83" s="121" t="s">
        <v>17</v>
      </c>
      <c r="AN83" s="121" t="s">
        <v>16</v>
      </c>
      <c r="AO83" s="121" t="s">
        <v>17</v>
      </c>
      <c r="AP83" s="121" t="s">
        <v>16</v>
      </c>
      <c r="AQ83" s="121" t="s">
        <v>17</v>
      </c>
      <c r="AR83" s="868"/>
      <c r="AS83" s="121" t="s">
        <v>16</v>
      </c>
      <c r="AT83" s="121" t="s">
        <v>17</v>
      </c>
      <c r="AU83" s="121" t="s">
        <v>32</v>
      </c>
      <c r="AV83" s="121"/>
      <c r="AW83" s="121"/>
      <c r="AX83" s="882"/>
      <c r="AY83" s="122"/>
      <c r="AZ83" s="122"/>
      <c r="BA83" s="864"/>
      <c r="BB83" s="864"/>
      <c r="BC83" s="864"/>
      <c r="BD83" s="864"/>
      <c r="BE83" s="119"/>
      <c r="BF83" s="877"/>
      <c r="BG83" s="879"/>
      <c r="BH83" s="879"/>
      <c r="BI83" s="218" t="s">
        <v>16</v>
      </c>
      <c r="BJ83" s="218" t="s">
        <v>17</v>
      </c>
      <c r="BK83" s="121" t="s">
        <v>16</v>
      </c>
      <c r="BL83" s="121" t="s">
        <v>17</v>
      </c>
      <c r="BM83" s="121" t="s">
        <v>16</v>
      </c>
      <c r="BN83" s="121" t="s">
        <v>17</v>
      </c>
      <c r="BO83" s="121" t="s">
        <v>16</v>
      </c>
      <c r="BP83" s="121" t="s">
        <v>17</v>
      </c>
      <c r="BQ83" s="121" t="s">
        <v>16</v>
      </c>
      <c r="BR83" s="121" t="s">
        <v>17</v>
      </c>
      <c r="BS83" s="121" t="s">
        <v>16</v>
      </c>
      <c r="BT83" s="121" t="s">
        <v>17</v>
      </c>
      <c r="BU83" s="121" t="s">
        <v>16</v>
      </c>
      <c r="BV83" s="121" t="s">
        <v>17</v>
      </c>
      <c r="BW83" s="121" t="s">
        <v>16</v>
      </c>
      <c r="BX83" s="121" t="s">
        <v>17</v>
      </c>
      <c r="BY83" s="121" t="s">
        <v>16</v>
      </c>
      <c r="BZ83" s="121" t="s">
        <v>17</v>
      </c>
      <c r="CA83" s="120" t="s">
        <v>32</v>
      </c>
    </row>
    <row r="84" spans="1:79" ht="64.5" customHeight="1">
      <c r="A84" s="173">
        <v>1</v>
      </c>
      <c r="B84" s="142" t="s">
        <v>61</v>
      </c>
      <c r="C84" s="143" t="s">
        <v>62</v>
      </c>
      <c r="D84" s="144">
        <v>100000</v>
      </c>
      <c r="E84" s="144">
        <f>(F84*2)+F84*0.25</f>
        <v>56.25</v>
      </c>
      <c r="F84" s="144">
        <v>25</v>
      </c>
      <c r="G84" s="174">
        <v>7</v>
      </c>
      <c r="H84" s="174">
        <v>4</v>
      </c>
      <c r="I84" s="173">
        <f t="shared" ref="I84:I91" si="97">SUM(G84:H84)</f>
        <v>11</v>
      </c>
      <c r="J84" s="173">
        <v>11</v>
      </c>
      <c r="K84" s="173">
        <f t="shared" ref="K84:K117" si="98">N84+Q84+T84</f>
        <v>0</v>
      </c>
      <c r="L84" s="174">
        <v>0</v>
      </c>
      <c r="M84" s="174">
        <v>0</v>
      </c>
      <c r="N84" s="173">
        <f t="shared" ref="N84:N91" si="99">SUM(L84:M84)</f>
        <v>0</v>
      </c>
      <c r="O84" s="174">
        <v>0</v>
      </c>
      <c r="P84" s="174">
        <v>0</v>
      </c>
      <c r="Q84" s="173">
        <f t="shared" ref="Q84:Q91" si="100">SUM(O84:P84)</f>
        <v>0</v>
      </c>
      <c r="R84" s="174">
        <v>0</v>
      </c>
      <c r="S84" s="174">
        <v>0</v>
      </c>
      <c r="T84" s="173">
        <f t="shared" ref="T84:T91" si="101">SUM(R84:S84)</f>
        <v>0</v>
      </c>
      <c r="U84" s="173"/>
      <c r="V84" s="173"/>
      <c r="W84" s="173"/>
      <c r="X84" s="173"/>
      <c r="Y84" s="173"/>
      <c r="Z84" s="176">
        <f t="shared" ref="Z84:Z91" si="102">I84*4/(D84*0.0008)</f>
        <v>0.55000000000000004</v>
      </c>
      <c r="AA84" s="177"/>
      <c r="AB84" s="177"/>
      <c r="AC84" s="177"/>
      <c r="AD84" s="174"/>
      <c r="AE84" s="174"/>
      <c r="AF84" s="174"/>
      <c r="AG84" s="174">
        <v>2</v>
      </c>
      <c r="AH84" s="174">
        <v>2</v>
      </c>
      <c r="AI84" s="178">
        <f>AG84+AH84</f>
        <v>4</v>
      </c>
      <c r="AJ84" s="177"/>
      <c r="AK84" s="179"/>
      <c r="AL84" s="179"/>
      <c r="AM84" s="174"/>
      <c r="AN84" s="174"/>
      <c r="AO84" s="174"/>
      <c r="AP84" s="174">
        <v>1</v>
      </c>
      <c r="AQ84" s="174">
        <v>1</v>
      </c>
      <c r="AR84" s="178">
        <f>AP84+AQ84</f>
        <v>2</v>
      </c>
      <c r="AS84" s="179">
        <f>G84+L84+O84+R84+U84+AG84+AP84</f>
        <v>10</v>
      </c>
      <c r="AT84" s="179">
        <f>H84+M84+P84+S84+V84+AH84+AQ84</f>
        <v>7</v>
      </c>
      <c r="AU84" s="180">
        <f>AS84+AT84</f>
        <v>17</v>
      </c>
      <c r="AV84" s="180">
        <v>10</v>
      </c>
      <c r="AW84" s="180">
        <v>7</v>
      </c>
      <c r="AX84" s="176">
        <f t="shared" ref="AX84:AX117" si="103">(I84)/(I84+AI84)</f>
        <v>0.73333333333333328</v>
      </c>
      <c r="AY84" s="176">
        <v>0.73</v>
      </c>
      <c r="AZ84" s="176">
        <f t="shared" ref="AZ84:AZ117" si="104">AU84/E84</f>
        <v>0.30222222222222223</v>
      </c>
      <c r="BA84" s="176">
        <f t="shared" ref="BA84:BA91" si="105">AU84*4/(D84*0.00177)</f>
        <v>0.38418079096045199</v>
      </c>
      <c r="BB84" s="176">
        <f t="shared" ref="BB84:BB91" si="106">(N84+Q84+T84)/AU84</f>
        <v>0</v>
      </c>
      <c r="BC84" s="181">
        <f t="shared" ref="BC84:BC91" si="107">I84*4/D84*100000</f>
        <v>44</v>
      </c>
      <c r="BD84" s="182">
        <f t="shared" ref="BD84:BD91" si="108">AU84*4/D84*100000</f>
        <v>68</v>
      </c>
      <c r="BE84" s="183"/>
      <c r="BF84" s="184">
        <v>1</v>
      </c>
      <c r="BG84" s="142" t="s">
        <v>61</v>
      </c>
      <c r="BH84" s="143" t="s">
        <v>62</v>
      </c>
      <c r="BI84" s="219"/>
      <c r="BJ84" s="219"/>
      <c r="BK84" s="174">
        <v>0</v>
      </c>
      <c r="BL84" s="174">
        <v>0</v>
      </c>
      <c r="BM84" s="174">
        <v>3</v>
      </c>
      <c r="BN84" s="174">
        <v>1</v>
      </c>
      <c r="BO84" s="174">
        <v>1</v>
      </c>
      <c r="BP84" s="174">
        <v>0</v>
      </c>
      <c r="BQ84" s="174">
        <v>2</v>
      </c>
      <c r="BR84" s="174">
        <v>2</v>
      </c>
      <c r="BS84" s="174">
        <v>1</v>
      </c>
      <c r="BT84" s="174">
        <v>1</v>
      </c>
      <c r="BU84" s="174">
        <v>0</v>
      </c>
      <c r="BV84" s="174">
        <v>0</v>
      </c>
      <c r="BW84" s="174">
        <v>0</v>
      </c>
      <c r="BX84" s="174">
        <v>0</v>
      </c>
      <c r="BY84" s="179">
        <f t="shared" ref="BY84:BZ91" si="109">BW84+BU84+BS84+BQ84+BO84+BM84+BK84+BI84</f>
        <v>7</v>
      </c>
      <c r="BZ84" s="179">
        <f t="shared" si="109"/>
        <v>4</v>
      </c>
      <c r="CA84" s="185">
        <f>BZ84+BY84</f>
        <v>11</v>
      </c>
    </row>
    <row r="85" spans="1:79" ht="57" customHeight="1">
      <c r="A85" s="173">
        <v>2</v>
      </c>
      <c r="B85" s="142" t="s">
        <v>63</v>
      </c>
      <c r="C85" s="143" t="s">
        <v>51</v>
      </c>
      <c r="D85" s="145">
        <v>100000</v>
      </c>
      <c r="E85" s="144">
        <f t="shared" ref="E85:E111" si="110">(F85*2)+F85*0.25</f>
        <v>56.25</v>
      </c>
      <c r="F85" s="145">
        <v>25</v>
      </c>
      <c r="G85" s="186">
        <v>4</v>
      </c>
      <c r="H85" s="186">
        <v>7</v>
      </c>
      <c r="I85" s="173">
        <f t="shared" si="97"/>
        <v>11</v>
      </c>
      <c r="J85" s="173">
        <v>11</v>
      </c>
      <c r="K85" s="173">
        <f t="shared" si="98"/>
        <v>0</v>
      </c>
      <c r="L85" s="186">
        <v>0</v>
      </c>
      <c r="M85" s="186">
        <v>0</v>
      </c>
      <c r="N85" s="173">
        <f t="shared" si="99"/>
        <v>0</v>
      </c>
      <c r="O85" s="186">
        <v>0</v>
      </c>
      <c r="P85" s="186">
        <v>0</v>
      </c>
      <c r="Q85" s="173">
        <f t="shared" si="100"/>
        <v>0</v>
      </c>
      <c r="R85" s="186">
        <v>0</v>
      </c>
      <c r="S85" s="186">
        <v>0</v>
      </c>
      <c r="T85" s="173">
        <f t="shared" si="101"/>
        <v>0</v>
      </c>
      <c r="U85" s="173"/>
      <c r="V85" s="173"/>
      <c r="W85" s="173"/>
      <c r="X85" s="173"/>
      <c r="Y85" s="173"/>
      <c r="Z85" s="175">
        <f t="shared" si="102"/>
        <v>0.55000000000000004</v>
      </c>
      <c r="AA85" s="178"/>
      <c r="AB85" s="178"/>
      <c r="AC85" s="178"/>
      <c r="AD85" s="186"/>
      <c r="AE85" s="186"/>
      <c r="AF85" s="186"/>
      <c r="AG85" s="186">
        <v>0</v>
      </c>
      <c r="AH85" s="186">
        <v>0</v>
      </c>
      <c r="AI85" s="178">
        <f t="shared" ref="AI85:AI117" si="111">AG85+AH85</f>
        <v>0</v>
      </c>
      <c r="AJ85" s="178"/>
      <c r="AK85" s="173"/>
      <c r="AL85" s="173"/>
      <c r="AM85" s="186"/>
      <c r="AN85" s="186"/>
      <c r="AO85" s="186"/>
      <c r="AP85" s="186">
        <v>0</v>
      </c>
      <c r="AQ85" s="186">
        <v>0</v>
      </c>
      <c r="AR85" s="178">
        <f t="shared" ref="AR85:AR117" si="112">AP85+AQ85</f>
        <v>0</v>
      </c>
      <c r="AS85" s="179">
        <f t="shared" ref="AS85:AS115" si="113">G85+L85+O85+R85+U85+AG85+AP85</f>
        <v>4</v>
      </c>
      <c r="AT85" s="179">
        <f t="shared" ref="AT85:AT115" si="114">H85+M85+P85+S85+V85+AH85+AQ85</f>
        <v>7</v>
      </c>
      <c r="AU85" s="180">
        <f t="shared" ref="AU85:AU117" si="115">AS85+AT85</f>
        <v>11</v>
      </c>
      <c r="AV85" s="180">
        <v>4</v>
      </c>
      <c r="AW85" s="180">
        <v>7</v>
      </c>
      <c r="AX85" s="176">
        <f t="shared" si="103"/>
        <v>1</v>
      </c>
      <c r="AY85" s="176">
        <v>1</v>
      </c>
      <c r="AZ85" s="176">
        <f t="shared" si="104"/>
        <v>0.19555555555555557</v>
      </c>
      <c r="BA85" s="175">
        <f t="shared" si="105"/>
        <v>0.24858757062146894</v>
      </c>
      <c r="BB85" s="175">
        <f t="shared" si="106"/>
        <v>0</v>
      </c>
      <c r="BC85" s="187">
        <f t="shared" si="107"/>
        <v>44</v>
      </c>
      <c r="BD85" s="188">
        <f t="shared" si="108"/>
        <v>44</v>
      </c>
      <c r="BE85" s="189"/>
      <c r="BF85" s="184">
        <v>2</v>
      </c>
      <c r="BG85" s="142" t="s">
        <v>63</v>
      </c>
      <c r="BH85" s="143" t="s">
        <v>51</v>
      </c>
      <c r="BI85" s="219"/>
      <c r="BJ85" s="219"/>
      <c r="BK85" s="186">
        <v>0</v>
      </c>
      <c r="BL85" s="186">
        <v>0</v>
      </c>
      <c r="BM85" s="186">
        <v>0</v>
      </c>
      <c r="BN85" s="186">
        <v>2</v>
      </c>
      <c r="BO85" s="186">
        <v>1</v>
      </c>
      <c r="BP85" s="186">
        <v>2</v>
      </c>
      <c r="BQ85" s="186">
        <v>0</v>
      </c>
      <c r="BR85" s="186">
        <v>0</v>
      </c>
      <c r="BS85" s="186">
        <v>1</v>
      </c>
      <c r="BT85" s="186">
        <v>1</v>
      </c>
      <c r="BU85" s="186">
        <v>1</v>
      </c>
      <c r="BV85" s="186">
        <v>1</v>
      </c>
      <c r="BW85" s="186">
        <v>1</v>
      </c>
      <c r="BX85" s="186">
        <v>1</v>
      </c>
      <c r="BY85" s="173">
        <f t="shared" si="109"/>
        <v>4</v>
      </c>
      <c r="BZ85" s="173">
        <f t="shared" si="109"/>
        <v>7</v>
      </c>
      <c r="CA85" s="180">
        <f t="shared" ref="CA85:CA91" si="116">BZ85+BY85</f>
        <v>11</v>
      </c>
    </row>
    <row r="86" spans="1:79" ht="80.099999999999994" customHeight="1">
      <c r="A86" s="173">
        <v>3</v>
      </c>
      <c r="B86" s="142" t="s">
        <v>64</v>
      </c>
      <c r="C86" s="143" t="s">
        <v>65</v>
      </c>
      <c r="D86" s="145">
        <v>100000</v>
      </c>
      <c r="E86" s="144">
        <f t="shared" si="110"/>
        <v>67.5</v>
      </c>
      <c r="F86" s="145">
        <v>30</v>
      </c>
      <c r="G86" s="174">
        <v>7</v>
      </c>
      <c r="H86" s="174">
        <v>7</v>
      </c>
      <c r="I86" s="173">
        <f t="shared" si="97"/>
        <v>14</v>
      </c>
      <c r="J86" s="173">
        <v>14</v>
      </c>
      <c r="K86" s="173">
        <f t="shared" si="98"/>
        <v>0</v>
      </c>
      <c r="L86" s="174">
        <v>0</v>
      </c>
      <c r="M86" s="174">
        <v>0</v>
      </c>
      <c r="N86" s="173">
        <f t="shared" si="99"/>
        <v>0</v>
      </c>
      <c r="O86" s="174">
        <v>0</v>
      </c>
      <c r="P86" s="174">
        <v>0</v>
      </c>
      <c r="Q86" s="173">
        <f t="shared" si="100"/>
        <v>0</v>
      </c>
      <c r="R86" s="174">
        <v>0</v>
      </c>
      <c r="S86" s="174">
        <v>0</v>
      </c>
      <c r="T86" s="173">
        <f t="shared" si="101"/>
        <v>0</v>
      </c>
      <c r="U86" s="173"/>
      <c r="V86" s="173"/>
      <c r="W86" s="173"/>
      <c r="X86" s="173"/>
      <c r="Y86" s="173"/>
      <c r="Z86" s="176">
        <f t="shared" si="102"/>
        <v>0.7</v>
      </c>
      <c r="AA86" s="177"/>
      <c r="AB86" s="177"/>
      <c r="AC86" s="177"/>
      <c r="AD86" s="174"/>
      <c r="AE86" s="174"/>
      <c r="AF86" s="174"/>
      <c r="AG86" s="174">
        <v>3</v>
      </c>
      <c r="AH86" s="174">
        <v>1</v>
      </c>
      <c r="AI86" s="178">
        <f t="shared" si="111"/>
        <v>4</v>
      </c>
      <c r="AJ86" s="177"/>
      <c r="AK86" s="179"/>
      <c r="AL86" s="179"/>
      <c r="AM86" s="174"/>
      <c r="AN86" s="174"/>
      <c r="AO86" s="174"/>
      <c r="AP86" s="174">
        <v>2</v>
      </c>
      <c r="AQ86" s="174">
        <v>2</v>
      </c>
      <c r="AR86" s="178">
        <f t="shared" si="112"/>
        <v>4</v>
      </c>
      <c r="AS86" s="179">
        <f t="shared" si="113"/>
        <v>12</v>
      </c>
      <c r="AT86" s="179">
        <f t="shared" si="114"/>
        <v>10</v>
      </c>
      <c r="AU86" s="180">
        <f t="shared" si="115"/>
        <v>22</v>
      </c>
      <c r="AV86" s="180">
        <v>12</v>
      </c>
      <c r="AW86" s="180">
        <v>10</v>
      </c>
      <c r="AX86" s="176">
        <f t="shared" si="103"/>
        <v>0.77777777777777779</v>
      </c>
      <c r="AY86" s="176">
        <v>0.78</v>
      </c>
      <c r="AZ86" s="176">
        <f t="shared" si="104"/>
        <v>0.32592592592592595</v>
      </c>
      <c r="BA86" s="176">
        <f t="shared" si="105"/>
        <v>0.49717514124293788</v>
      </c>
      <c r="BB86" s="176">
        <f t="shared" si="106"/>
        <v>0</v>
      </c>
      <c r="BC86" s="181">
        <f t="shared" si="107"/>
        <v>55.999999999999993</v>
      </c>
      <c r="BD86" s="182">
        <f t="shared" si="108"/>
        <v>88</v>
      </c>
      <c r="BE86" s="183"/>
      <c r="BF86" s="184">
        <v>3</v>
      </c>
      <c r="BG86" s="142" t="s">
        <v>64</v>
      </c>
      <c r="BH86" s="143" t="s">
        <v>65</v>
      </c>
      <c r="BI86" s="219"/>
      <c r="BJ86" s="219"/>
      <c r="BK86" s="174">
        <v>0</v>
      </c>
      <c r="BL86" s="174">
        <v>1</v>
      </c>
      <c r="BM86" s="174">
        <v>4</v>
      </c>
      <c r="BN86" s="174">
        <v>3</v>
      </c>
      <c r="BO86" s="174">
        <v>0</v>
      </c>
      <c r="BP86" s="174">
        <v>1</v>
      </c>
      <c r="BQ86" s="174">
        <v>0</v>
      </c>
      <c r="BR86" s="174">
        <v>0</v>
      </c>
      <c r="BS86" s="174">
        <v>1</v>
      </c>
      <c r="BT86" s="174">
        <v>0</v>
      </c>
      <c r="BU86" s="174">
        <v>2</v>
      </c>
      <c r="BV86" s="174">
        <v>1</v>
      </c>
      <c r="BW86" s="174">
        <v>0</v>
      </c>
      <c r="BX86" s="174">
        <v>1</v>
      </c>
      <c r="BY86" s="179">
        <f t="shared" si="109"/>
        <v>7</v>
      </c>
      <c r="BZ86" s="179">
        <f t="shared" si="109"/>
        <v>7</v>
      </c>
      <c r="CA86" s="185">
        <f t="shared" si="116"/>
        <v>14</v>
      </c>
    </row>
    <row r="87" spans="1:79" ht="60.75" customHeight="1">
      <c r="A87" s="173">
        <v>4</v>
      </c>
      <c r="B87" s="142" t="s">
        <v>66</v>
      </c>
      <c r="C87" s="143" t="s">
        <v>55</v>
      </c>
      <c r="D87" s="145">
        <v>100000</v>
      </c>
      <c r="E87" s="144">
        <f t="shared" si="110"/>
        <v>112.5</v>
      </c>
      <c r="F87" s="145">
        <v>50</v>
      </c>
      <c r="G87" s="186">
        <v>12</v>
      </c>
      <c r="H87" s="186">
        <v>13</v>
      </c>
      <c r="I87" s="173">
        <f t="shared" si="97"/>
        <v>25</v>
      </c>
      <c r="J87" s="173">
        <v>25</v>
      </c>
      <c r="K87" s="173">
        <f t="shared" si="98"/>
        <v>0</v>
      </c>
      <c r="L87" s="186">
        <v>0</v>
      </c>
      <c r="M87" s="186">
        <v>0</v>
      </c>
      <c r="N87" s="173">
        <f t="shared" si="99"/>
        <v>0</v>
      </c>
      <c r="O87" s="186">
        <v>0</v>
      </c>
      <c r="P87" s="186">
        <v>0</v>
      </c>
      <c r="Q87" s="173">
        <f t="shared" si="100"/>
        <v>0</v>
      </c>
      <c r="R87" s="186">
        <v>0</v>
      </c>
      <c r="S87" s="186">
        <v>0</v>
      </c>
      <c r="T87" s="173">
        <f t="shared" si="101"/>
        <v>0</v>
      </c>
      <c r="U87" s="173"/>
      <c r="V87" s="173"/>
      <c r="W87" s="173"/>
      <c r="X87" s="173"/>
      <c r="Y87" s="173"/>
      <c r="Z87" s="175">
        <f t="shared" si="102"/>
        <v>1.25</v>
      </c>
      <c r="AA87" s="178"/>
      <c r="AB87" s="178"/>
      <c r="AC87" s="178"/>
      <c r="AD87" s="186"/>
      <c r="AE87" s="186"/>
      <c r="AF87" s="186"/>
      <c r="AG87" s="186">
        <v>7</v>
      </c>
      <c r="AH87" s="186">
        <v>7</v>
      </c>
      <c r="AI87" s="178">
        <f t="shared" si="111"/>
        <v>14</v>
      </c>
      <c r="AJ87" s="178"/>
      <c r="AK87" s="173"/>
      <c r="AL87" s="173"/>
      <c r="AM87" s="186"/>
      <c r="AN87" s="186"/>
      <c r="AO87" s="186"/>
      <c r="AP87" s="186">
        <v>2</v>
      </c>
      <c r="AQ87" s="186">
        <v>1</v>
      </c>
      <c r="AR87" s="178">
        <f t="shared" si="112"/>
        <v>3</v>
      </c>
      <c r="AS87" s="179">
        <f t="shared" si="113"/>
        <v>21</v>
      </c>
      <c r="AT87" s="179">
        <f t="shared" si="114"/>
        <v>21</v>
      </c>
      <c r="AU87" s="180">
        <f t="shared" si="115"/>
        <v>42</v>
      </c>
      <c r="AV87" s="180">
        <v>21</v>
      </c>
      <c r="AW87" s="180">
        <v>21</v>
      </c>
      <c r="AX87" s="176">
        <f t="shared" si="103"/>
        <v>0.64102564102564108</v>
      </c>
      <c r="AY87" s="176">
        <v>0.64</v>
      </c>
      <c r="AZ87" s="176">
        <f t="shared" si="104"/>
        <v>0.37333333333333335</v>
      </c>
      <c r="BA87" s="175">
        <f t="shared" si="105"/>
        <v>0.94915254237288138</v>
      </c>
      <c r="BB87" s="175">
        <f t="shared" si="106"/>
        <v>0</v>
      </c>
      <c r="BC87" s="187">
        <f t="shared" si="107"/>
        <v>100</v>
      </c>
      <c r="BD87" s="188">
        <f t="shared" si="108"/>
        <v>168</v>
      </c>
      <c r="BE87" s="189"/>
      <c r="BF87" s="184">
        <v>4</v>
      </c>
      <c r="BG87" s="142" t="s">
        <v>66</v>
      </c>
      <c r="BH87" s="143" t="s">
        <v>55</v>
      </c>
      <c r="BI87" s="219"/>
      <c r="BJ87" s="219"/>
      <c r="BK87" s="186">
        <v>0</v>
      </c>
      <c r="BL87" s="186">
        <v>0</v>
      </c>
      <c r="BM87" s="186">
        <v>4</v>
      </c>
      <c r="BN87" s="186">
        <v>5</v>
      </c>
      <c r="BO87" s="186">
        <v>2</v>
      </c>
      <c r="BP87" s="186">
        <v>2</v>
      </c>
      <c r="BQ87" s="186">
        <v>3</v>
      </c>
      <c r="BR87" s="186">
        <v>1</v>
      </c>
      <c r="BS87" s="186">
        <v>1</v>
      </c>
      <c r="BT87" s="186">
        <v>1</v>
      </c>
      <c r="BU87" s="186">
        <v>0</v>
      </c>
      <c r="BV87" s="186">
        <v>1</v>
      </c>
      <c r="BW87" s="186">
        <v>2</v>
      </c>
      <c r="BX87" s="186">
        <v>3</v>
      </c>
      <c r="BY87" s="173">
        <f t="shared" si="109"/>
        <v>12</v>
      </c>
      <c r="BZ87" s="173">
        <f t="shared" si="109"/>
        <v>13</v>
      </c>
      <c r="CA87" s="180">
        <f t="shared" si="116"/>
        <v>25</v>
      </c>
    </row>
    <row r="88" spans="1:79" ht="80.099999999999994" customHeight="1">
      <c r="A88" s="173">
        <v>5</v>
      </c>
      <c r="B88" s="142" t="s">
        <v>67</v>
      </c>
      <c r="C88" s="143" t="s">
        <v>68</v>
      </c>
      <c r="D88" s="145">
        <v>100000</v>
      </c>
      <c r="E88" s="144">
        <f t="shared" si="110"/>
        <v>56.25</v>
      </c>
      <c r="F88" s="145">
        <v>25</v>
      </c>
      <c r="G88" s="174">
        <v>0</v>
      </c>
      <c r="H88" s="174">
        <v>2</v>
      </c>
      <c r="I88" s="173">
        <f t="shared" si="97"/>
        <v>2</v>
      </c>
      <c r="J88" s="173">
        <v>2</v>
      </c>
      <c r="K88" s="173">
        <f t="shared" si="98"/>
        <v>1</v>
      </c>
      <c r="L88" s="174">
        <v>1</v>
      </c>
      <c r="M88" s="174">
        <v>0</v>
      </c>
      <c r="N88" s="173">
        <f t="shared" si="99"/>
        <v>1</v>
      </c>
      <c r="O88" s="174">
        <v>0</v>
      </c>
      <c r="P88" s="174">
        <v>0</v>
      </c>
      <c r="Q88" s="173">
        <f t="shared" si="100"/>
        <v>0</v>
      </c>
      <c r="R88" s="174">
        <v>0</v>
      </c>
      <c r="S88" s="174">
        <v>0</v>
      </c>
      <c r="T88" s="173">
        <f t="shared" si="101"/>
        <v>0</v>
      </c>
      <c r="U88" s="173"/>
      <c r="V88" s="173"/>
      <c r="W88" s="173"/>
      <c r="X88" s="173"/>
      <c r="Y88" s="173"/>
      <c r="Z88" s="176">
        <f t="shared" si="102"/>
        <v>0.1</v>
      </c>
      <c r="AA88" s="177"/>
      <c r="AB88" s="177"/>
      <c r="AC88" s="177"/>
      <c r="AD88" s="174"/>
      <c r="AE88" s="174"/>
      <c r="AF88" s="174"/>
      <c r="AG88" s="174">
        <v>2</v>
      </c>
      <c r="AH88" s="174">
        <v>3</v>
      </c>
      <c r="AI88" s="178">
        <f t="shared" si="111"/>
        <v>5</v>
      </c>
      <c r="AJ88" s="177"/>
      <c r="AK88" s="179"/>
      <c r="AL88" s="179"/>
      <c r="AM88" s="174"/>
      <c r="AN88" s="174"/>
      <c r="AO88" s="174"/>
      <c r="AP88" s="174">
        <v>0</v>
      </c>
      <c r="AQ88" s="174">
        <v>0</v>
      </c>
      <c r="AR88" s="178">
        <f t="shared" si="112"/>
        <v>0</v>
      </c>
      <c r="AS88" s="179">
        <f t="shared" si="113"/>
        <v>3</v>
      </c>
      <c r="AT88" s="179">
        <f t="shared" si="114"/>
        <v>5</v>
      </c>
      <c r="AU88" s="180">
        <f t="shared" si="115"/>
        <v>8</v>
      </c>
      <c r="AV88" s="180">
        <v>3</v>
      </c>
      <c r="AW88" s="180">
        <v>5</v>
      </c>
      <c r="AX88" s="176">
        <f t="shared" si="103"/>
        <v>0.2857142857142857</v>
      </c>
      <c r="AY88" s="176">
        <v>0.28999999999999998</v>
      </c>
      <c r="AZ88" s="176">
        <f t="shared" si="104"/>
        <v>0.14222222222222222</v>
      </c>
      <c r="BA88" s="176">
        <f t="shared" si="105"/>
        <v>0.1807909604519774</v>
      </c>
      <c r="BB88" s="176">
        <f t="shared" si="106"/>
        <v>0.125</v>
      </c>
      <c r="BC88" s="181">
        <f t="shared" si="107"/>
        <v>8</v>
      </c>
      <c r="BD88" s="182">
        <f t="shared" si="108"/>
        <v>32</v>
      </c>
      <c r="BE88" s="183"/>
      <c r="BF88" s="184">
        <v>5</v>
      </c>
      <c r="BG88" s="142" t="s">
        <v>67</v>
      </c>
      <c r="BH88" s="143" t="s">
        <v>68</v>
      </c>
      <c r="BI88" s="219"/>
      <c r="BJ88" s="219"/>
      <c r="BK88" s="174">
        <v>0</v>
      </c>
      <c r="BL88" s="174">
        <v>1</v>
      </c>
      <c r="BM88" s="174">
        <v>0</v>
      </c>
      <c r="BN88" s="174">
        <v>0</v>
      </c>
      <c r="BO88" s="174">
        <v>0</v>
      </c>
      <c r="BP88" s="174">
        <v>1</v>
      </c>
      <c r="BQ88" s="174">
        <v>0</v>
      </c>
      <c r="BR88" s="174">
        <v>0</v>
      </c>
      <c r="BS88" s="174">
        <v>0</v>
      </c>
      <c r="BT88" s="174">
        <v>0</v>
      </c>
      <c r="BU88" s="174">
        <v>0</v>
      </c>
      <c r="BV88" s="174">
        <v>0</v>
      </c>
      <c r="BW88" s="174">
        <v>0</v>
      </c>
      <c r="BX88" s="174">
        <v>0</v>
      </c>
      <c r="BY88" s="179">
        <f t="shared" si="109"/>
        <v>0</v>
      </c>
      <c r="BZ88" s="179">
        <f t="shared" si="109"/>
        <v>2</v>
      </c>
      <c r="CA88" s="185">
        <f t="shared" si="116"/>
        <v>2</v>
      </c>
    </row>
    <row r="89" spans="1:79" ht="80.099999999999994" customHeight="1">
      <c r="A89" s="173">
        <v>6</v>
      </c>
      <c r="B89" s="142" t="s">
        <v>69</v>
      </c>
      <c r="C89" s="146" t="s">
        <v>53</v>
      </c>
      <c r="D89" s="147">
        <v>100000</v>
      </c>
      <c r="E89" s="144">
        <f t="shared" si="110"/>
        <v>67.5</v>
      </c>
      <c r="F89" s="147">
        <v>30</v>
      </c>
      <c r="G89" s="186">
        <v>3</v>
      </c>
      <c r="H89" s="186">
        <v>8</v>
      </c>
      <c r="I89" s="173">
        <f t="shared" si="97"/>
        <v>11</v>
      </c>
      <c r="J89" s="173">
        <v>11</v>
      </c>
      <c r="K89" s="173">
        <f t="shared" si="98"/>
        <v>1</v>
      </c>
      <c r="L89" s="186">
        <v>0</v>
      </c>
      <c r="M89" s="186">
        <v>1</v>
      </c>
      <c r="N89" s="173">
        <f t="shared" si="99"/>
        <v>1</v>
      </c>
      <c r="O89" s="186">
        <v>0</v>
      </c>
      <c r="P89" s="186">
        <v>0</v>
      </c>
      <c r="Q89" s="173">
        <f t="shared" si="100"/>
        <v>0</v>
      </c>
      <c r="R89" s="186">
        <v>0</v>
      </c>
      <c r="S89" s="186">
        <v>0</v>
      </c>
      <c r="T89" s="173">
        <f t="shared" si="101"/>
        <v>0</v>
      </c>
      <c r="U89" s="173"/>
      <c r="V89" s="173"/>
      <c r="W89" s="173"/>
      <c r="X89" s="173"/>
      <c r="Y89" s="173"/>
      <c r="Z89" s="175">
        <f t="shared" si="102"/>
        <v>0.55000000000000004</v>
      </c>
      <c r="AA89" s="178"/>
      <c r="AB89" s="178"/>
      <c r="AC89" s="178"/>
      <c r="AD89" s="186"/>
      <c r="AE89" s="186"/>
      <c r="AF89" s="186"/>
      <c r="AG89" s="186">
        <v>4</v>
      </c>
      <c r="AH89" s="186">
        <v>4</v>
      </c>
      <c r="AI89" s="178">
        <f t="shared" si="111"/>
        <v>8</v>
      </c>
      <c r="AJ89" s="178"/>
      <c r="AK89" s="173"/>
      <c r="AL89" s="173"/>
      <c r="AM89" s="186"/>
      <c r="AN89" s="186"/>
      <c r="AO89" s="186"/>
      <c r="AP89" s="186">
        <v>1</v>
      </c>
      <c r="AQ89" s="186">
        <v>0</v>
      </c>
      <c r="AR89" s="178">
        <f t="shared" si="112"/>
        <v>1</v>
      </c>
      <c r="AS89" s="179">
        <f t="shared" si="113"/>
        <v>8</v>
      </c>
      <c r="AT89" s="179">
        <f t="shared" si="114"/>
        <v>13</v>
      </c>
      <c r="AU89" s="180">
        <f t="shared" si="115"/>
        <v>21</v>
      </c>
      <c r="AV89" s="180">
        <v>8</v>
      </c>
      <c r="AW89" s="180">
        <v>13</v>
      </c>
      <c r="AX89" s="176">
        <f t="shared" si="103"/>
        <v>0.57894736842105265</v>
      </c>
      <c r="AY89" s="176">
        <v>0.57999999999999996</v>
      </c>
      <c r="AZ89" s="176">
        <f t="shared" si="104"/>
        <v>0.31111111111111112</v>
      </c>
      <c r="BA89" s="175">
        <f t="shared" si="105"/>
        <v>0.47457627118644069</v>
      </c>
      <c r="BB89" s="175">
        <f t="shared" si="106"/>
        <v>4.7619047619047616E-2</v>
      </c>
      <c r="BC89" s="187">
        <f t="shared" si="107"/>
        <v>44</v>
      </c>
      <c r="BD89" s="188">
        <f t="shared" si="108"/>
        <v>84</v>
      </c>
      <c r="BE89" s="189"/>
      <c r="BF89" s="184">
        <v>6</v>
      </c>
      <c r="BG89" s="142" t="s">
        <v>69</v>
      </c>
      <c r="BH89" s="146" t="s">
        <v>53</v>
      </c>
      <c r="BI89" s="219"/>
      <c r="BJ89" s="219"/>
      <c r="BK89" s="186">
        <v>0</v>
      </c>
      <c r="BL89" s="186">
        <v>0</v>
      </c>
      <c r="BM89" s="186">
        <v>2</v>
      </c>
      <c r="BN89" s="186">
        <v>4</v>
      </c>
      <c r="BO89" s="186">
        <v>0</v>
      </c>
      <c r="BP89" s="186">
        <v>1</v>
      </c>
      <c r="BQ89" s="186">
        <v>0</v>
      </c>
      <c r="BR89" s="186">
        <v>1</v>
      </c>
      <c r="BS89" s="186">
        <v>0</v>
      </c>
      <c r="BT89" s="186">
        <v>1</v>
      </c>
      <c r="BU89" s="186">
        <v>1</v>
      </c>
      <c r="BV89" s="186">
        <v>1</v>
      </c>
      <c r="BW89" s="186">
        <v>0</v>
      </c>
      <c r="BX89" s="186">
        <v>0</v>
      </c>
      <c r="BY89" s="173">
        <f t="shared" si="109"/>
        <v>3</v>
      </c>
      <c r="BZ89" s="173">
        <f t="shared" si="109"/>
        <v>8</v>
      </c>
      <c r="CA89" s="180">
        <f t="shared" si="116"/>
        <v>11</v>
      </c>
    </row>
    <row r="90" spans="1:79" ht="80.099999999999994" customHeight="1">
      <c r="A90" s="173">
        <v>7</v>
      </c>
      <c r="B90" s="142" t="s">
        <v>70</v>
      </c>
      <c r="C90" s="143" t="s">
        <v>71</v>
      </c>
      <c r="D90" s="145">
        <v>100000</v>
      </c>
      <c r="E90" s="144">
        <f t="shared" si="110"/>
        <v>56.25</v>
      </c>
      <c r="F90" s="145">
        <v>25</v>
      </c>
      <c r="G90" s="174">
        <v>2</v>
      </c>
      <c r="H90" s="174">
        <v>9</v>
      </c>
      <c r="I90" s="173">
        <f t="shared" si="97"/>
        <v>11</v>
      </c>
      <c r="J90" s="173">
        <v>11</v>
      </c>
      <c r="K90" s="173">
        <f t="shared" si="98"/>
        <v>0</v>
      </c>
      <c r="L90" s="174">
        <v>0</v>
      </c>
      <c r="M90" s="174">
        <v>0</v>
      </c>
      <c r="N90" s="173">
        <f t="shared" si="99"/>
        <v>0</v>
      </c>
      <c r="O90" s="174">
        <v>0</v>
      </c>
      <c r="P90" s="174">
        <v>0</v>
      </c>
      <c r="Q90" s="173">
        <f t="shared" si="100"/>
        <v>0</v>
      </c>
      <c r="R90" s="174">
        <v>0</v>
      </c>
      <c r="S90" s="174">
        <v>0</v>
      </c>
      <c r="T90" s="173">
        <f t="shared" si="101"/>
        <v>0</v>
      </c>
      <c r="U90" s="173"/>
      <c r="V90" s="173"/>
      <c r="W90" s="173"/>
      <c r="X90" s="173"/>
      <c r="Y90" s="173"/>
      <c r="Z90" s="176">
        <f t="shared" si="102"/>
        <v>0.55000000000000004</v>
      </c>
      <c r="AA90" s="177"/>
      <c r="AB90" s="177"/>
      <c r="AC90" s="177"/>
      <c r="AD90" s="174"/>
      <c r="AE90" s="174"/>
      <c r="AF90" s="174"/>
      <c r="AG90" s="174">
        <v>1</v>
      </c>
      <c r="AH90" s="174">
        <v>5</v>
      </c>
      <c r="AI90" s="178">
        <f t="shared" si="111"/>
        <v>6</v>
      </c>
      <c r="AJ90" s="177"/>
      <c r="AK90" s="179"/>
      <c r="AL90" s="179"/>
      <c r="AM90" s="174"/>
      <c r="AN90" s="174"/>
      <c r="AO90" s="174"/>
      <c r="AP90" s="174">
        <v>1</v>
      </c>
      <c r="AQ90" s="174">
        <v>1</v>
      </c>
      <c r="AR90" s="178">
        <f t="shared" si="112"/>
        <v>2</v>
      </c>
      <c r="AS90" s="179">
        <f t="shared" si="113"/>
        <v>4</v>
      </c>
      <c r="AT90" s="179">
        <f t="shared" si="114"/>
        <v>15</v>
      </c>
      <c r="AU90" s="180">
        <f t="shared" si="115"/>
        <v>19</v>
      </c>
      <c r="AV90" s="180">
        <v>4</v>
      </c>
      <c r="AW90" s="180">
        <v>15</v>
      </c>
      <c r="AX90" s="176">
        <f t="shared" si="103"/>
        <v>0.6470588235294118</v>
      </c>
      <c r="AY90" s="176">
        <v>0.65</v>
      </c>
      <c r="AZ90" s="176">
        <f t="shared" si="104"/>
        <v>0.33777777777777779</v>
      </c>
      <c r="BA90" s="176">
        <f t="shared" si="105"/>
        <v>0.42937853107344631</v>
      </c>
      <c r="BB90" s="176">
        <f t="shared" si="106"/>
        <v>0</v>
      </c>
      <c r="BC90" s="181">
        <f t="shared" si="107"/>
        <v>44</v>
      </c>
      <c r="BD90" s="182">
        <f t="shared" si="108"/>
        <v>76</v>
      </c>
      <c r="BE90" s="183"/>
      <c r="BF90" s="184">
        <v>7</v>
      </c>
      <c r="BG90" s="142" t="s">
        <v>70</v>
      </c>
      <c r="BH90" s="143" t="s">
        <v>71</v>
      </c>
      <c r="BI90" s="219"/>
      <c r="BJ90" s="219"/>
      <c r="BK90" s="174">
        <v>0</v>
      </c>
      <c r="BL90" s="174">
        <v>0</v>
      </c>
      <c r="BM90" s="174">
        <v>0</v>
      </c>
      <c r="BN90" s="174">
        <v>2</v>
      </c>
      <c r="BO90" s="174">
        <v>0</v>
      </c>
      <c r="BP90" s="174">
        <v>3</v>
      </c>
      <c r="BQ90" s="174">
        <v>0</v>
      </c>
      <c r="BR90" s="174">
        <v>0</v>
      </c>
      <c r="BS90" s="174">
        <v>1</v>
      </c>
      <c r="BT90" s="174">
        <v>2</v>
      </c>
      <c r="BU90" s="174">
        <v>0</v>
      </c>
      <c r="BV90" s="174">
        <v>2</v>
      </c>
      <c r="BW90" s="174">
        <v>1</v>
      </c>
      <c r="BX90" s="174">
        <v>0</v>
      </c>
      <c r="BY90" s="179">
        <f t="shared" si="109"/>
        <v>2</v>
      </c>
      <c r="BZ90" s="179">
        <f t="shared" si="109"/>
        <v>9</v>
      </c>
      <c r="CA90" s="185">
        <f t="shared" si="116"/>
        <v>11</v>
      </c>
    </row>
    <row r="91" spans="1:79" ht="80.099999999999994" customHeight="1">
      <c r="A91" s="173">
        <v>8</v>
      </c>
      <c r="B91" s="142" t="s">
        <v>72</v>
      </c>
      <c r="C91" s="146" t="s">
        <v>57</v>
      </c>
      <c r="D91" s="147">
        <v>100000</v>
      </c>
      <c r="E91" s="144">
        <f t="shared" si="110"/>
        <v>56.25</v>
      </c>
      <c r="F91" s="147">
        <v>25</v>
      </c>
      <c r="G91" s="186">
        <v>4</v>
      </c>
      <c r="H91" s="186">
        <v>0</v>
      </c>
      <c r="I91" s="173">
        <f t="shared" si="97"/>
        <v>4</v>
      </c>
      <c r="J91" s="173">
        <v>4</v>
      </c>
      <c r="K91" s="173">
        <f t="shared" si="98"/>
        <v>2</v>
      </c>
      <c r="L91" s="186">
        <v>1</v>
      </c>
      <c r="M91" s="186">
        <v>1</v>
      </c>
      <c r="N91" s="173">
        <f t="shared" si="99"/>
        <v>2</v>
      </c>
      <c r="O91" s="186">
        <v>0</v>
      </c>
      <c r="P91" s="186">
        <v>0</v>
      </c>
      <c r="Q91" s="173">
        <f t="shared" si="100"/>
        <v>0</v>
      </c>
      <c r="R91" s="186">
        <v>0</v>
      </c>
      <c r="S91" s="186">
        <v>0</v>
      </c>
      <c r="T91" s="173">
        <f t="shared" si="101"/>
        <v>0</v>
      </c>
      <c r="U91" s="173"/>
      <c r="V91" s="173"/>
      <c r="W91" s="173"/>
      <c r="X91" s="173"/>
      <c r="Y91" s="173"/>
      <c r="Z91" s="175">
        <f t="shared" si="102"/>
        <v>0.2</v>
      </c>
      <c r="AA91" s="178"/>
      <c r="AB91" s="178"/>
      <c r="AC91" s="178"/>
      <c r="AD91" s="186"/>
      <c r="AE91" s="186"/>
      <c r="AF91" s="186"/>
      <c r="AG91" s="186">
        <v>2</v>
      </c>
      <c r="AH91" s="186">
        <v>3</v>
      </c>
      <c r="AI91" s="178">
        <f t="shared" si="111"/>
        <v>5</v>
      </c>
      <c r="AJ91" s="178"/>
      <c r="AK91" s="173"/>
      <c r="AL91" s="173"/>
      <c r="AM91" s="186"/>
      <c r="AN91" s="186"/>
      <c r="AO91" s="186"/>
      <c r="AP91" s="186">
        <v>2</v>
      </c>
      <c r="AQ91" s="186">
        <v>3</v>
      </c>
      <c r="AR91" s="178">
        <f t="shared" si="112"/>
        <v>5</v>
      </c>
      <c r="AS91" s="179">
        <f t="shared" si="113"/>
        <v>9</v>
      </c>
      <c r="AT91" s="179">
        <f t="shared" si="114"/>
        <v>7</v>
      </c>
      <c r="AU91" s="180">
        <f t="shared" si="115"/>
        <v>16</v>
      </c>
      <c r="AV91" s="180">
        <v>9</v>
      </c>
      <c r="AW91" s="180">
        <v>7</v>
      </c>
      <c r="AX91" s="176">
        <f t="shared" si="103"/>
        <v>0.44444444444444442</v>
      </c>
      <c r="AY91" s="176">
        <v>0.44</v>
      </c>
      <c r="AZ91" s="176">
        <f t="shared" si="104"/>
        <v>0.28444444444444444</v>
      </c>
      <c r="BA91" s="175">
        <f t="shared" si="105"/>
        <v>0.3615819209039548</v>
      </c>
      <c r="BB91" s="175">
        <f t="shared" si="106"/>
        <v>0.125</v>
      </c>
      <c r="BC91" s="187">
        <f t="shared" si="107"/>
        <v>16</v>
      </c>
      <c r="BD91" s="188">
        <f t="shared" si="108"/>
        <v>64</v>
      </c>
      <c r="BE91" s="189"/>
      <c r="BF91" s="184">
        <v>8</v>
      </c>
      <c r="BG91" s="142" t="s">
        <v>72</v>
      </c>
      <c r="BH91" s="146" t="s">
        <v>57</v>
      </c>
      <c r="BI91" s="219"/>
      <c r="BJ91" s="219"/>
      <c r="BK91" s="186">
        <v>0</v>
      </c>
      <c r="BL91" s="186">
        <v>0</v>
      </c>
      <c r="BM91" s="186">
        <v>3</v>
      </c>
      <c r="BN91" s="186">
        <v>0</v>
      </c>
      <c r="BO91" s="186">
        <v>0</v>
      </c>
      <c r="BP91" s="186">
        <v>0</v>
      </c>
      <c r="BQ91" s="186">
        <v>1</v>
      </c>
      <c r="BR91" s="186">
        <v>0</v>
      </c>
      <c r="BS91" s="186">
        <v>0</v>
      </c>
      <c r="BT91" s="186">
        <v>0</v>
      </c>
      <c r="BU91" s="186">
        <v>0</v>
      </c>
      <c r="BV91" s="186">
        <v>0</v>
      </c>
      <c r="BW91" s="186">
        <v>0</v>
      </c>
      <c r="BX91" s="186">
        <v>0</v>
      </c>
      <c r="BY91" s="173">
        <f t="shared" si="109"/>
        <v>4</v>
      </c>
      <c r="BZ91" s="173">
        <f t="shared" si="109"/>
        <v>0</v>
      </c>
      <c r="CA91" s="180">
        <f t="shared" si="116"/>
        <v>4</v>
      </c>
    </row>
    <row r="92" spans="1:79" ht="80.099999999999994" customHeight="1">
      <c r="A92" s="190" t="s">
        <v>109</v>
      </c>
      <c r="B92" s="148" t="s">
        <v>73</v>
      </c>
      <c r="C92" s="149" t="s">
        <v>74</v>
      </c>
      <c r="D92" s="150">
        <f>SUM(D84:D91)</f>
        <v>800000</v>
      </c>
      <c r="E92" s="144">
        <f t="shared" si="110"/>
        <v>528.75</v>
      </c>
      <c r="F92" s="150">
        <f>SUM(F84:F91)</f>
        <v>235</v>
      </c>
      <c r="G92" s="191">
        <f t="shared" ref="G92:AO92" si="117">G84+G85+G86+G87+G88+G89+G90+G91</f>
        <v>39</v>
      </c>
      <c r="H92" s="191">
        <f>H84+H85+H86+H87+H88+H89+H90+H91</f>
        <v>50</v>
      </c>
      <c r="I92" s="191">
        <f t="shared" si="117"/>
        <v>89</v>
      </c>
      <c r="J92" s="191">
        <v>89</v>
      </c>
      <c r="K92" s="173">
        <f t="shared" si="98"/>
        <v>4</v>
      </c>
      <c r="L92" s="191">
        <f t="shared" si="117"/>
        <v>2</v>
      </c>
      <c r="M92" s="191">
        <f t="shared" si="117"/>
        <v>2</v>
      </c>
      <c r="N92" s="191">
        <f t="shared" si="117"/>
        <v>4</v>
      </c>
      <c r="O92" s="191">
        <f t="shared" si="117"/>
        <v>0</v>
      </c>
      <c r="P92" s="191">
        <f t="shared" si="117"/>
        <v>0</v>
      </c>
      <c r="Q92" s="191">
        <f t="shared" si="117"/>
        <v>0</v>
      </c>
      <c r="R92" s="191">
        <f t="shared" si="117"/>
        <v>0</v>
      </c>
      <c r="S92" s="191">
        <f t="shared" si="117"/>
        <v>0</v>
      </c>
      <c r="T92" s="191">
        <f t="shared" si="117"/>
        <v>0</v>
      </c>
      <c r="U92" s="191">
        <f t="shared" si="117"/>
        <v>0</v>
      </c>
      <c r="V92" s="191">
        <f t="shared" si="117"/>
        <v>0</v>
      </c>
      <c r="W92" s="191">
        <f t="shared" si="117"/>
        <v>0</v>
      </c>
      <c r="X92" s="191"/>
      <c r="Y92" s="191"/>
      <c r="Z92" s="191">
        <f t="shared" si="117"/>
        <v>4.45</v>
      </c>
      <c r="AA92" s="191">
        <f t="shared" si="117"/>
        <v>0</v>
      </c>
      <c r="AB92" s="191">
        <f t="shared" si="117"/>
        <v>0</v>
      </c>
      <c r="AC92" s="191">
        <f t="shared" si="117"/>
        <v>0</v>
      </c>
      <c r="AD92" s="191">
        <f t="shared" si="117"/>
        <v>0</v>
      </c>
      <c r="AE92" s="191">
        <f t="shared" si="117"/>
        <v>0</v>
      </c>
      <c r="AF92" s="191">
        <f t="shared" si="117"/>
        <v>0</v>
      </c>
      <c r="AG92" s="191">
        <f>SUM(AG84:AG91)</f>
        <v>21</v>
      </c>
      <c r="AH92" s="191">
        <f>SUM(AH84:AH91)</f>
        <v>25</v>
      </c>
      <c r="AI92" s="178">
        <f t="shared" si="111"/>
        <v>46</v>
      </c>
      <c r="AJ92" s="191">
        <f t="shared" si="117"/>
        <v>0</v>
      </c>
      <c r="AK92" s="191">
        <f t="shared" si="117"/>
        <v>0</v>
      </c>
      <c r="AL92" s="191">
        <f t="shared" si="117"/>
        <v>0</v>
      </c>
      <c r="AM92" s="191">
        <f t="shared" si="117"/>
        <v>0</v>
      </c>
      <c r="AN92" s="191">
        <f t="shared" si="117"/>
        <v>0</v>
      </c>
      <c r="AO92" s="191">
        <f t="shared" si="117"/>
        <v>0</v>
      </c>
      <c r="AP92" s="191">
        <f>SUM(AP84:AP91)</f>
        <v>9</v>
      </c>
      <c r="AQ92" s="191">
        <f>SUM(AQ84:AQ91)</f>
        <v>8</v>
      </c>
      <c r="AR92" s="178">
        <f t="shared" si="112"/>
        <v>17</v>
      </c>
      <c r="AS92" s="179">
        <f>SUM(AS84:AS91)</f>
        <v>71</v>
      </c>
      <c r="AT92" s="179">
        <f>SUM(AT84:AT91)</f>
        <v>85</v>
      </c>
      <c r="AU92" s="180">
        <f t="shared" si="115"/>
        <v>156</v>
      </c>
      <c r="AV92" s="250">
        <v>71</v>
      </c>
      <c r="AW92" s="250">
        <v>85</v>
      </c>
      <c r="AX92" s="209">
        <f t="shared" si="103"/>
        <v>0.65925925925925921</v>
      </c>
      <c r="AY92" s="209">
        <v>0.66</v>
      </c>
      <c r="AZ92" s="209">
        <f t="shared" si="104"/>
        <v>0.29503546099290778</v>
      </c>
      <c r="BA92" s="208">
        <f>BA84+BA85+BA86+BA87+BA88+BA89+BA90+BA91</f>
        <v>3.5254237288135597</v>
      </c>
      <c r="BB92" s="208">
        <f>BB84+BB85+BB86+BB87+BB88+BB89+BB90+BB91</f>
        <v>0.29761904761904762</v>
      </c>
      <c r="BC92" s="208">
        <f>BC84+BC85+BC86+BC87+BC88+BC89+BC90+BC91</f>
        <v>356</v>
      </c>
      <c r="BD92" s="208">
        <f>BD84+BD85+BD86+BD87+BD88+BD89+BD90+BD91</f>
        <v>624</v>
      </c>
      <c r="BE92" s="208"/>
      <c r="BF92" s="208" t="s">
        <v>162</v>
      </c>
      <c r="BG92" s="160" t="s">
        <v>73</v>
      </c>
      <c r="BH92" s="292" t="s">
        <v>74</v>
      </c>
      <c r="BI92" s="208">
        <f t="shared" ref="BI92:BZ92" si="118">BI84+BI85+BI86+BI87+BI88+BI89+BI90+BI91</f>
        <v>0</v>
      </c>
      <c r="BJ92" s="208">
        <f t="shared" si="118"/>
        <v>0</v>
      </c>
      <c r="BK92" s="208">
        <f t="shared" si="118"/>
        <v>0</v>
      </c>
      <c r="BL92" s="208">
        <f t="shared" si="118"/>
        <v>2</v>
      </c>
      <c r="BM92" s="208">
        <f t="shared" si="118"/>
        <v>16</v>
      </c>
      <c r="BN92" s="208">
        <f t="shared" si="118"/>
        <v>17</v>
      </c>
      <c r="BO92" s="208">
        <f t="shared" si="118"/>
        <v>4</v>
      </c>
      <c r="BP92" s="208">
        <f t="shared" si="118"/>
        <v>10</v>
      </c>
      <c r="BQ92" s="208">
        <f t="shared" si="118"/>
        <v>6</v>
      </c>
      <c r="BR92" s="208">
        <f t="shared" si="118"/>
        <v>4</v>
      </c>
      <c r="BS92" s="208">
        <f t="shared" si="118"/>
        <v>5</v>
      </c>
      <c r="BT92" s="208">
        <f t="shared" si="118"/>
        <v>6</v>
      </c>
      <c r="BU92" s="208">
        <f t="shared" si="118"/>
        <v>4</v>
      </c>
      <c r="BV92" s="208">
        <f t="shared" si="118"/>
        <v>6</v>
      </c>
      <c r="BW92" s="208">
        <f t="shared" si="118"/>
        <v>4</v>
      </c>
      <c r="BX92" s="208">
        <f t="shared" si="118"/>
        <v>5</v>
      </c>
      <c r="BY92" s="208">
        <f t="shared" si="118"/>
        <v>39</v>
      </c>
      <c r="BZ92" s="208">
        <f t="shared" si="118"/>
        <v>50</v>
      </c>
      <c r="CA92" s="208">
        <f>BY92+BZ92</f>
        <v>89</v>
      </c>
    </row>
    <row r="93" spans="1:79" ht="80.099999999999994" customHeight="1">
      <c r="A93" s="173">
        <v>9</v>
      </c>
      <c r="B93" s="151" t="s">
        <v>75</v>
      </c>
      <c r="C93" s="146" t="s">
        <v>76</v>
      </c>
      <c r="D93" s="147">
        <v>290000</v>
      </c>
      <c r="E93" s="144">
        <f t="shared" si="110"/>
        <v>67.5</v>
      </c>
      <c r="F93" s="147">
        <v>30</v>
      </c>
      <c r="G93" s="186">
        <v>8</v>
      </c>
      <c r="H93" s="186">
        <v>9</v>
      </c>
      <c r="I93" s="173">
        <f>SUM(G93:H93)</f>
        <v>17</v>
      </c>
      <c r="J93" s="173">
        <v>17</v>
      </c>
      <c r="K93" s="173">
        <f t="shared" si="98"/>
        <v>0</v>
      </c>
      <c r="L93" s="186">
        <v>0</v>
      </c>
      <c r="M93" s="186">
        <v>0</v>
      </c>
      <c r="N93" s="173">
        <f>SUM(L93:M93)</f>
        <v>0</v>
      </c>
      <c r="O93" s="186">
        <v>0</v>
      </c>
      <c r="P93" s="186">
        <v>0</v>
      </c>
      <c r="Q93" s="173">
        <f>SUM(O93:P93)</f>
        <v>0</v>
      </c>
      <c r="R93" s="186">
        <v>0</v>
      </c>
      <c r="S93" s="186">
        <v>0</v>
      </c>
      <c r="T93" s="173">
        <f>SUM(R93:S93)</f>
        <v>0</v>
      </c>
      <c r="U93" s="173"/>
      <c r="V93" s="173"/>
      <c r="W93" s="173"/>
      <c r="X93" s="173"/>
      <c r="Y93" s="173"/>
      <c r="Z93" s="175">
        <f>I93*4/(D93*0.0008)</f>
        <v>0.29310344827586204</v>
      </c>
      <c r="AA93" s="178"/>
      <c r="AB93" s="178"/>
      <c r="AC93" s="178"/>
      <c r="AD93" s="186"/>
      <c r="AE93" s="186"/>
      <c r="AF93" s="186"/>
      <c r="AG93" s="186">
        <v>2</v>
      </c>
      <c r="AH93" s="186">
        <v>1</v>
      </c>
      <c r="AI93" s="178">
        <f t="shared" si="111"/>
        <v>3</v>
      </c>
      <c r="AJ93" s="178"/>
      <c r="AK93" s="173"/>
      <c r="AL93" s="173"/>
      <c r="AM93" s="186"/>
      <c r="AN93" s="186"/>
      <c r="AO93" s="186"/>
      <c r="AP93" s="186">
        <v>6</v>
      </c>
      <c r="AQ93" s="186">
        <v>3</v>
      </c>
      <c r="AR93" s="178">
        <f t="shared" si="112"/>
        <v>9</v>
      </c>
      <c r="AS93" s="179">
        <f t="shared" si="113"/>
        <v>16</v>
      </c>
      <c r="AT93" s="179">
        <f t="shared" si="114"/>
        <v>13</v>
      </c>
      <c r="AU93" s="180">
        <f t="shared" si="115"/>
        <v>29</v>
      </c>
      <c r="AV93" s="180">
        <v>16</v>
      </c>
      <c r="AW93" s="180">
        <v>13</v>
      </c>
      <c r="AX93" s="176">
        <f t="shared" si="103"/>
        <v>0.85</v>
      </c>
      <c r="AY93" s="176">
        <v>0.85</v>
      </c>
      <c r="AZ93" s="176">
        <f t="shared" si="104"/>
        <v>0.42962962962962964</v>
      </c>
      <c r="BA93" s="175">
        <f>AU93*4/(D93*0.00177)</f>
        <v>0.22598870056497172</v>
      </c>
      <c r="BB93" s="175">
        <f>(N93+Q93+T93)/AU93</f>
        <v>0</v>
      </c>
      <c r="BC93" s="187">
        <f>I93*4/D93*100000</f>
        <v>23.448275862068964</v>
      </c>
      <c r="BD93" s="188">
        <f>AU93*4/D93*100000</f>
        <v>40</v>
      </c>
      <c r="BE93" s="189"/>
      <c r="BF93" s="184">
        <v>9</v>
      </c>
      <c r="BG93" s="151" t="s">
        <v>75</v>
      </c>
      <c r="BH93" s="146" t="s">
        <v>76</v>
      </c>
      <c r="BI93" s="219"/>
      <c r="BJ93" s="219"/>
      <c r="BK93" s="186">
        <v>0</v>
      </c>
      <c r="BL93" s="186">
        <v>0</v>
      </c>
      <c r="BM93" s="186">
        <v>1</v>
      </c>
      <c r="BN93" s="186">
        <v>2</v>
      </c>
      <c r="BO93" s="186">
        <v>2</v>
      </c>
      <c r="BP93" s="186">
        <v>5</v>
      </c>
      <c r="BQ93" s="186">
        <v>0</v>
      </c>
      <c r="BR93" s="186">
        <v>2</v>
      </c>
      <c r="BS93" s="186">
        <v>2</v>
      </c>
      <c r="BT93" s="186">
        <v>0</v>
      </c>
      <c r="BU93" s="186">
        <v>2</v>
      </c>
      <c r="BV93" s="186">
        <v>0</v>
      </c>
      <c r="BW93" s="186">
        <v>1</v>
      </c>
      <c r="BX93" s="186">
        <v>0</v>
      </c>
      <c r="BY93" s="173">
        <f t="shared" ref="BY93:BZ95" si="119">BW93+BU93+BS93+BQ93+BO93+BM93+BK93+BI93</f>
        <v>8</v>
      </c>
      <c r="BZ93" s="173">
        <f t="shared" si="119"/>
        <v>9</v>
      </c>
      <c r="CA93" s="180">
        <f>BZ93+BY93</f>
        <v>17</v>
      </c>
    </row>
    <row r="94" spans="1:79" ht="80.099999999999994" customHeight="1">
      <c r="A94" s="173">
        <v>10</v>
      </c>
      <c r="B94" s="151" t="s">
        <v>77</v>
      </c>
      <c r="C94" s="146" t="s">
        <v>78</v>
      </c>
      <c r="D94" s="147">
        <v>190000</v>
      </c>
      <c r="E94" s="144">
        <f t="shared" si="110"/>
        <v>67.5</v>
      </c>
      <c r="F94" s="147">
        <v>30</v>
      </c>
      <c r="G94" s="174">
        <v>16</v>
      </c>
      <c r="H94" s="174">
        <v>12</v>
      </c>
      <c r="I94" s="173">
        <f>SUM(G94:H94)</f>
        <v>28</v>
      </c>
      <c r="J94" s="173">
        <v>28</v>
      </c>
      <c r="K94" s="173">
        <f t="shared" si="98"/>
        <v>1</v>
      </c>
      <c r="L94" s="174">
        <v>0</v>
      </c>
      <c r="M94" s="174">
        <v>1</v>
      </c>
      <c r="N94" s="173">
        <f>SUM(L94:M94)</f>
        <v>1</v>
      </c>
      <c r="O94" s="174">
        <v>0</v>
      </c>
      <c r="P94" s="174">
        <v>0</v>
      </c>
      <c r="Q94" s="173">
        <f>SUM(O94:P94)</f>
        <v>0</v>
      </c>
      <c r="R94" s="174">
        <v>0</v>
      </c>
      <c r="S94" s="174">
        <v>0</v>
      </c>
      <c r="T94" s="173">
        <f>SUM(R94:S94)</f>
        <v>0</v>
      </c>
      <c r="U94" s="173"/>
      <c r="V94" s="173"/>
      <c r="W94" s="173"/>
      <c r="X94" s="173"/>
      <c r="Y94" s="173"/>
      <c r="Z94" s="176">
        <f>I94*4/(D94*0.0008)</f>
        <v>0.73684210526315785</v>
      </c>
      <c r="AA94" s="177"/>
      <c r="AB94" s="177"/>
      <c r="AC94" s="177"/>
      <c r="AD94" s="174"/>
      <c r="AE94" s="174"/>
      <c r="AF94" s="174"/>
      <c r="AG94" s="174">
        <v>0</v>
      </c>
      <c r="AH94" s="174">
        <v>5</v>
      </c>
      <c r="AI94" s="178">
        <f t="shared" si="111"/>
        <v>5</v>
      </c>
      <c r="AJ94" s="177"/>
      <c r="AK94" s="179"/>
      <c r="AL94" s="179"/>
      <c r="AM94" s="174"/>
      <c r="AN94" s="174"/>
      <c r="AO94" s="174"/>
      <c r="AP94" s="174">
        <v>0</v>
      </c>
      <c r="AQ94" s="174">
        <v>1</v>
      </c>
      <c r="AR94" s="178">
        <f t="shared" si="112"/>
        <v>1</v>
      </c>
      <c r="AS94" s="179">
        <f t="shared" si="113"/>
        <v>16</v>
      </c>
      <c r="AT94" s="179">
        <f t="shared" si="114"/>
        <v>19</v>
      </c>
      <c r="AU94" s="180">
        <f t="shared" si="115"/>
        <v>35</v>
      </c>
      <c r="AV94" s="180">
        <v>16</v>
      </c>
      <c r="AW94" s="180">
        <v>19</v>
      </c>
      <c r="AX94" s="176">
        <f t="shared" si="103"/>
        <v>0.84848484848484851</v>
      </c>
      <c r="AY94" s="176">
        <v>0.85</v>
      </c>
      <c r="AZ94" s="176">
        <f t="shared" si="104"/>
        <v>0.51851851851851849</v>
      </c>
      <c r="BA94" s="176">
        <f>AU94*4/(D94*0.00177)</f>
        <v>0.41629497472494797</v>
      </c>
      <c r="BB94" s="176">
        <f>(N94+Q94+T94)/AU94</f>
        <v>2.8571428571428571E-2</v>
      </c>
      <c r="BC94" s="181">
        <f>I94*4/D94*100000</f>
        <v>58.94736842105263</v>
      </c>
      <c r="BD94" s="182">
        <f>AU94*4/D94*100000</f>
        <v>73.684210526315795</v>
      </c>
      <c r="BE94" s="183"/>
      <c r="BF94" s="184">
        <v>10</v>
      </c>
      <c r="BG94" s="151" t="s">
        <v>77</v>
      </c>
      <c r="BH94" s="146" t="s">
        <v>78</v>
      </c>
      <c r="BI94" s="219"/>
      <c r="BJ94" s="219"/>
      <c r="BK94" s="174">
        <v>0</v>
      </c>
      <c r="BL94" s="174">
        <v>2</v>
      </c>
      <c r="BM94" s="174">
        <v>5</v>
      </c>
      <c r="BN94" s="174">
        <v>5</v>
      </c>
      <c r="BO94" s="174">
        <v>7</v>
      </c>
      <c r="BP94" s="174">
        <v>2</v>
      </c>
      <c r="BQ94" s="174">
        <v>2</v>
      </c>
      <c r="BR94" s="174">
        <v>2</v>
      </c>
      <c r="BS94" s="174">
        <v>1</v>
      </c>
      <c r="BT94" s="174">
        <v>1</v>
      </c>
      <c r="BU94" s="174">
        <v>0</v>
      </c>
      <c r="BV94" s="174">
        <v>0</v>
      </c>
      <c r="BW94" s="174">
        <v>1</v>
      </c>
      <c r="BX94" s="174">
        <v>0</v>
      </c>
      <c r="BY94" s="179">
        <f t="shared" si="119"/>
        <v>16</v>
      </c>
      <c r="BZ94" s="179">
        <f t="shared" si="119"/>
        <v>12</v>
      </c>
      <c r="CA94" s="185">
        <f>BZ94+BY94</f>
        <v>28</v>
      </c>
    </row>
    <row r="95" spans="1:79" ht="80.099999999999994" customHeight="1">
      <c r="A95" s="173">
        <v>11</v>
      </c>
      <c r="B95" s="151" t="s">
        <v>79</v>
      </c>
      <c r="C95" s="146" t="s">
        <v>80</v>
      </c>
      <c r="D95" s="147">
        <v>190000</v>
      </c>
      <c r="E95" s="144">
        <f t="shared" si="110"/>
        <v>67.5</v>
      </c>
      <c r="F95" s="147">
        <v>30</v>
      </c>
      <c r="G95" s="186">
        <v>1</v>
      </c>
      <c r="H95" s="186">
        <v>1</v>
      </c>
      <c r="I95" s="173">
        <f>SUM(G95:H95)</f>
        <v>2</v>
      </c>
      <c r="J95" s="173">
        <v>2</v>
      </c>
      <c r="K95" s="173">
        <f t="shared" si="98"/>
        <v>0</v>
      </c>
      <c r="L95" s="186">
        <v>0</v>
      </c>
      <c r="M95" s="186">
        <v>0</v>
      </c>
      <c r="N95" s="173">
        <f>SUM(L95:M95)</f>
        <v>0</v>
      </c>
      <c r="O95" s="186">
        <v>0</v>
      </c>
      <c r="P95" s="186">
        <v>0</v>
      </c>
      <c r="Q95" s="173">
        <f>SUM(O95:P95)</f>
        <v>0</v>
      </c>
      <c r="R95" s="186">
        <v>0</v>
      </c>
      <c r="S95" s="186">
        <v>0</v>
      </c>
      <c r="T95" s="173">
        <f>SUM(R95:S95)</f>
        <v>0</v>
      </c>
      <c r="U95" s="173"/>
      <c r="V95" s="173"/>
      <c r="W95" s="173"/>
      <c r="X95" s="173"/>
      <c r="Y95" s="173"/>
      <c r="Z95" s="175">
        <f>I95*4/(D95*0.0008)</f>
        <v>5.2631578947368418E-2</v>
      </c>
      <c r="AA95" s="178"/>
      <c r="AB95" s="178"/>
      <c r="AC95" s="178"/>
      <c r="AD95" s="186"/>
      <c r="AE95" s="186"/>
      <c r="AF95" s="186"/>
      <c r="AG95" s="186">
        <v>4</v>
      </c>
      <c r="AH95" s="186">
        <v>8</v>
      </c>
      <c r="AI95" s="178">
        <f t="shared" si="111"/>
        <v>12</v>
      </c>
      <c r="AJ95" s="178"/>
      <c r="AK95" s="173"/>
      <c r="AL95" s="173"/>
      <c r="AM95" s="186"/>
      <c r="AN95" s="186"/>
      <c r="AO95" s="186"/>
      <c r="AP95" s="186">
        <v>2</v>
      </c>
      <c r="AQ95" s="186">
        <v>4</v>
      </c>
      <c r="AR95" s="178">
        <f t="shared" si="112"/>
        <v>6</v>
      </c>
      <c r="AS95" s="179">
        <f t="shared" si="113"/>
        <v>7</v>
      </c>
      <c r="AT95" s="179">
        <f t="shared" si="114"/>
        <v>13</v>
      </c>
      <c r="AU95" s="180">
        <f t="shared" si="115"/>
        <v>20</v>
      </c>
      <c r="AV95" s="180">
        <v>7</v>
      </c>
      <c r="AW95" s="180">
        <v>13</v>
      </c>
      <c r="AX95" s="176">
        <f t="shared" si="103"/>
        <v>0.14285714285714285</v>
      </c>
      <c r="AY95" s="176">
        <v>0.14000000000000001</v>
      </c>
      <c r="AZ95" s="176">
        <f t="shared" si="104"/>
        <v>0.29629629629629628</v>
      </c>
      <c r="BA95" s="175">
        <f>AU95*4/(D95*0.00177)</f>
        <v>0.23788284269997026</v>
      </c>
      <c r="BB95" s="175">
        <f>(N95+Q95+T95)/AU95</f>
        <v>0</v>
      </c>
      <c r="BC95" s="187">
        <f>I95*4/D95*100000</f>
        <v>4.2105263157894735</v>
      </c>
      <c r="BD95" s="188">
        <f>AU95*4/D95*100000</f>
        <v>42.10526315789474</v>
      </c>
      <c r="BE95" s="189"/>
      <c r="BF95" s="184">
        <v>11</v>
      </c>
      <c r="BG95" s="151" t="s">
        <v>79</v>
      </c>
      <c r="BH95" s="146" t="s">
        <v>80</v>
      </c>
      <c r="BI95" s="219"/>
      <c r="BJ95" s="219"/>
      <c r="BK95" s="186">
        <v>0</v>
      </c>
      <c r="BL95" s="186">
        <v>0</v>
      </c>
      <c r="BM95" s="186">
        <v>1</v>
      </c>
      <c r="BN95" s="186">
        <v>0</v>
      </c>
      <c r="BO95" s="186">
        <v>0</v>
      </c>
      <c r="BP95" s="186">
        <v>0</v>
      </c>
      <c r="BQ95" s="186">
        <v>0</v>
      </c>
      <c r="BR95" s="186">
        <v>0</v>
      </c>
      <c r="BS95" s="186">
        <v>0</v>
      </c>
      <c r="BT95" s="186">
        <v>0</v>
      </c>
      <c r="BU95" s="186">
        <v>0</v>
      </c>
      <c r="BV95" s="186">
        <v>0</v>
      </c>
      <c r="BW95" s="186">
        <v>0</v>
      </c>
      <c r="BX95" s="186">
        <v>1</v>
      </c>
      <c r="BY95" s="173">
        <f t="shared" si="119"/>
        <v>1</v>
      </c>
      <c r="BZ95" s="173">
        <f t="shared" si="119"/>
        <v>1</v>
      </c>
      <c r="CA95" s="180">
        <f>BZ95+BY95</f>
        <v>2</v>
      </c>
    </row>
    <row r="96" spans="1:79" ht="80.099999999999994" customHeight="1">
      <c r="A96" s="207" t="s">
        <v>110</v>
      </c>
      <c r="B96" s="293" t="s">
        <v>81</v>
      </c>
      <c r="C96" s="292" t="s">
        <v>82</v>
      </c>
      <c r="D96" s="294">
        <f>SUM(D93:D95)</f>
        <v>670000</v>
      </c>
      <c r="E96" s="295">
        <f t="shared" si="110"/>
        <v>202.5</v>
      </c>
      <c r="F96" s="294">
        <f>SUM(F93:F95)</f>
        <v>90</v>
      </c>
      <c r="G96" s="208">
        <f t="shared" ref="G96:AO96" si="120">G93+G94+G95</f>
        <v>25</v>
      </c>
      <c r="H96" s="208">
        <f t="shared" si="120"/>
        <v>22</v>
      </c>
      <c r="I96" s="208">
        <f t="shared" si="120"/>
        <v>47</v>
      </c>
      <c r="J96" s="208">
        <v>47</v>
      </c>
      <c r="K96" s="173">
        <f t="shared" si="98"/>
        <v>1</v>
      </c>
      <c r="L96" s="208">
        <f t="shared" si="120"/>
        <v>0</v>
      </c>
      <c r="M96" s="208">
        <f t="shared" si="120"/>
        <v>1</v>
      </c>
      <c r="N96" s="208">
        <f t="shared" si="120"/>
        <v>1</v>
      </c>
      <c r="O96" s="208">
        <f t="shared" si="120"/>
        <v>0</v>
      </c>
      <c r="P96" s="208">
        <f t="shared" si="120"/>
        <v>0</v>
      </c>
      <c r="Q96" s="208">
        <f t="shared" si="120"/>
        <v>0</v>
      </c>
      <c r="R96" s="208">
        <f t="shared" si="120"/>
        <v>0</v>
      </c>
      <c r="S96" s="208">
        <f t="shared" si="120"/>
        <v>0</v>
      </c>
      <c r="T96" s="208">
        <f t="shared" si="120"/>
        <v>0</v>
      </c>
      <c r="U96" s="208">
        <f t="shared" si="120"/>
        <v>0</v>
      </c>
      <c r="V96" s="208">
        <f t="shared" si="120"/>
        <v>0</v>
      </c>
      <c r="W96" s="208">
        <f t="shared" si="120"/>
        <v>0</v>
      </c>
      <c r="X96" s="208"/>
      <c r="Y96" s="208"/>
      <c r="Z96" s="208">
        <f t="shared" si="120"/>
        <v>1.0825771324863882</v>
      </c>
      <c r="AA96" s="208">
        <f t="shared" si="120"/>
        <v>0</v>
      </c>
      <c r="AB96" s="208">
        <f t="shared" si="120"/>
        <v>0</v>
      </c>
      <c r="AC96" s="208">
        <f t="shared" si="120"/>
        <v>0</v>
      </c>
      <c r="AD96" s="208">
        <f t="shared" si="120"/>
        <v>0</v>
      </c>
      <c r="AE96" s="208">
        <f t="shared" si="120"/>
        <v>0</v>
      </c>
      <c r="AF96" s="208">
        <f t="shared" si="120"/>
        <v>0</v>
      </c>
      <c r="AG96" s="174">
        <f>SUM(AG93:AG95)</f>
        <v>6</v>
      </c>
      <c r="AH96" s="174">
        <f>SUM(AH93:AH95)</f>
        <v>14</v>
      </c>
      <c r="AI96" s="178">
        <f t="shared" si="111"/>
        <v>20</v>
      </c>
      <c r="AJ96" s="208">
        <f t="shared" si="120"/>
        <v>0</v>
      </c>
      <c r="AK96" s="208">
        <f t="shared" si="120"/>
        <v>0</v>
      </c>
      <c r="AL96" s="208">
        <f t="shared" si="120"/>
        <v>0</v>
      </c>
      <c r="AM96" s="208">
        <f t="shared" si="120"/>
        <v>0</v>
      </c>
      <c r="AN96" s="208">
        <f t="shared" si="120"/>
        <v>0</v>
      </c>
      <c r="AO96" s="208">
        <f t="shared" si="120"/>
        <v>0</v>
      </c>
      <c r="AP96" s="208">
        <f>SUM(AP93:AP95)</f>
        <v>8</v>
      </c>
      <c r="AQ96" s="208">
        <f>SUM(AQ93:AQ95)</f>
        <v>8</v>
      </c>
      <c r="AR96" s="178">
        <f t="shared" si="112"/>
        <v>16</v>
      </c>
      <c r="AS96" s="179">
        <f>SUM(AS93:AS95)</f>
        <v>39</v>
      </c>
      <c r="AT96" s="179">
        <f>SUM(AT93:AT95)</f>
        <v>45</v>
      </c>
      <c r="AU96" s="180">
        <f t="shared" si="115"/>
        <v>84</v>
      </c>
      <c r="AV96" s="250">
        <v>39</v>
      </c>
      <c r="AW96" s="250">
        <v>45</v>
      </c>
      <c r="AX96" s="209">
        <f t="shared" si="103"/>
        <v>0.70149253731343286</v>
      </c>
      <c r="AY96" s="209">
        <v>0.7</v>
      </c>
      <c r="AZ96" s="209">
        <f t="shared" si="104"/>
        <v>0.4148148148148148</v>
      </c>
      <c r="BA96" s="208">
        <f>BA93+BA94+BA95</f>
        <v>0.88016651798988998</v>
      </c>
      <c r="BB96" s="208">
        <f>BB93+BB94+BB95</f>
        <v>2.8571428571428571E-2</v>
      </c>
      <c r="BC96" s="208">
        <f>BC93+BC94+BC95</f>
        <v>86.606170598911078</v>
      </c>
      <c r="BD96" s="208">
        <f>BD93+BD94+BD95</f>
        <v>155.78947368421052</v>
      </c>
      <c r="BE96" s="208"/>
      <c r="BF96" s="208" t="s">
        <v>162</v>
      </c>
      <c r="BG96" s="293" t="s">
        <v>81</v>
      </c>
      <c r="BH96" s="292" t="s">
        <v>82</v>
      </c>
      <c r="BI96" s="208">
        <f t="shared" ref="BI96:BZ96" si="121">BI93+BI94+BI95</f>
        <v>0</v>
      </c>
      <c r="BJ96" s="208">
        <f t="shared" si="121"/>
        <v>0</v>
      </c>
      <c r="BK96" s="208">
        <f t="shared" si="121"/>
        <v>0</v>
      </c>
      <c r="BL96" s="208">
        <f t="shared" si="121"/>
        <v>2</v>
      </c>
      <c r="BM96" s="208">
        <f t="shared" si="121"/>
        <v>7</v>
      </c>
      <c r="BN96" s="208">
        <f t="shared" si="121"/>
        <v>7</v>
      </c>
      <c r="BO96" s="208">
        <f t="shared" si="121"/>
        <v>9</v>
      </c>
      <c r="BP96" s="208">
        <f t="shared" si="121"/>
        <v>7</v>
      </c>
      <c r="BQ96" s="208">
        <f t="shared" si="121"/>
        <v>2</v>
      </c>
      <c r="BR96" s="208">
        <f t="shared" si="121"/>
        <v>4</v>
      </c>
      <c r="BS96" s="208">
        <f t="shared" si="121"/>
        <v>3</v>
      </c>
      <c r="BT96" s="208">
        <f t="shared" si="121"/>
        <v>1</v>
      </c>
      <c r="BU96" s="208">
        <f t="shared" si="121"/>
        <v>2</v>
      </c>
      <c r="BV96" s="208">
        <f t="shared" si="121"/>
        <v>0</v>
      </c>
      <c r="BW96" s="208">
        <f t="shared" si="121"/>
        <v>2</v>
      </c>
      <c r="BX96" s="208">
        <f t="shared" si="121"/>
        <v>1</v>
      </c>
      <c r="BY96" s="208">
        <f t="shared" si="121"/>
        <v>25</v>
      </c>
      <c r="BZ96" s="208">
        <f t="shared" si="121"/>
        <v>22</v>
      </c>
      <c r="CA96" s="208">
        <f>BY96+BZ96</f>
        <v>47</v>
      </c>
    </row>
    <row r="97" spans="1:79" ht="80.099999999999994" customHeight="1">
      <c r="A97" s="173">
        <v>12</v>
      </c>
      <c r="B97" s="142" t="s">
        <v>83</v>
      </c>
      <c r="C97" s="143" t="s">
        <v>62</v>
      </c>
      <c r="D97" s="144">
        <v>200000</v>
      </c>
      <c r="E97" s="144">
        <f t="shared" si="110"/>
        <v>67.5</v>
      </c>
      <c r="F97" s="144">
        <v>30</v>
      </c>
      <c r="G97" s="174">
        <v>4</v>
      </c>
      <c r="H97" s="174">
        <v>4</v>
      </c>
      <c r="I97" s="173">
        <f t="shared" ref="I97:I115" si="122">SUM(G97:H97)</f>
        <v>8</v>
      </c>
      <c r="J97" s="173">
        <v>8</v>
      </c>
      <c r="K97" s="173">
        <f t="shared" si="98"/>
        <v>0</v>
      </c>
      <c r="L97" s="174">
        <v>0</v>
      </c>
      <c r="M97" s="174">
        <v>0</v>
      </c>
      <c r="N97" s="173">
        <f t="shared" ref="N97:N115" si="123">SUM(L97:M97)</f>
        <v>0</v>
      </c>
      <c r="O97" s="174">
        <v>0</v>
      </c>
      <c r="P97" s="174">
        <v>0</v>
      </c>
      <c r="Q97" s="173">
        <f t="shared" ref="Q97:Q115" si="124">SUM(O97:P97)</f>
        <v>0</v>
      </c>
      <c r="R97" s="174">
        <v>1</v>
      </c>
      <c r="S97" s="174">
        <v>0</v>
      </c>
      <c r="T97" s="173">
        <f>SUM(T96)</f>
        <v>0</v>
      </c>
      <c r="U97" s="173"/>
      <c r="V97" s="173"/>
      <c r="W97" s="173"/>
      <c r="X97" s="173"/>
      <c r="Y97" s="173"/>
      <c r="Z97" s="175">
        <f t="shared" ref="Z97:Z116" si="125">I97*4/(D97*0.0008)</f>
        <v>0.2</v>
      </c>
      <c r="AA97" s="178"/>
      <c r="AB97" s="178"/>
      <c r="AC97" s="178"/>
      <c r="AD97" s="186"/>
      <c r="AE97" s="186"/>
      <c r="AF97" s="186"/>
      <c r="AG97" s="174">
        <v>4</v>
      </c>
      <c r="AH97" s="174">
        <v>2</v>
      </c>
      <c r="AI97" s="178">
        <f t="shared" si="111"/>
        <v>6</v>
      </c>
      <c r="AJ97" s="178"/>
      <c r="AK97" s="173"/>
      <c r="AL97" s="173"/>
      <c r="AM97" s="186"/>
      <c r="AN97" s="186"/>
      <c r="AO97" s="186"/>
      <c r="AP97" s="174">
        <v>2</v>
      </c>
      <c r="AQ97" s="174">
        <v>2</v>
      </c>
      <c r="AR97" s="178">
        <f t="shared" si="112"/>
        <v>4</v>
      </c>
      <c r="AS97" s="179">
        <f t="shared" si="113"/>
        <v>11</v>
      </c>
      <c r="AT97" s="179">
        <f t="shared" si="114"/>
        <v>8</v>
      </c>
      <c r="AU97" s="180">
        <f t="shared" si="115"/>
        <v>19</v>
      </c>
      <c r="AV97" s="180">
        <v>11</v>
      </c>
      <c r="AW97" s="180">
        <v>8</v>
      </c>
      <c r="AX97" s="176">
        <f t="shared" si="103"/>
        <v>0.5714285714285714</v>
      </c>
      <c r="AY97" s="176">
        <v>0.56999999999999995</v>
      </c>
      <c r="AZ97" s="176">
        <f t="shared" si="104"/>
        <v>0.2814814814814815</v>
      </c>
      <c r="BA97" s="175">
        <f t="shared" ref="BA97:BA117" si="126">AU97*4/(D97*0.00177)</f>
        <v>0.21468926553672316</v>
      </c>
      <c r="BB97" s="175">
        <f t="shared" ref="BB97:BB117" si="127">(N97+Q97+T97)/AU97</f>
        <v>0</v>
      </c>
      <c r="BC97" s="187">
        <f t="shared" ref="BC97:BC117" si="128">I97*4/D97*100000</f>
        <v>16</v>
      </c>
      <c r="BD97" s="188">
        <f t="shared" ref="BD97:BD117" si="129">AU97*4/D97*100000</f>
        <v>38</v>
      </c>
      <c r="BE97" s="189"/>
      <c r="BF97" s="184">
        <v>12</v>
      </c>
      <c r="BG97" s="142" t="s">
        <v>83</v>
      </c>
      <c r="BH97" s="143" t="s">
        <v>62</v>
      </c>
      <c r="BI97" s="219"/>
      <c r="BJ97" s="219"/>
      <c r="BK97" s="174">
        <v>0</v>
      </c>
      <c r="BL97" s="174">
        <v>0</v>
      </c>
      <c r="BM97" s="174">
        <v>2</v>
      </c>
      <c r="BN97" s="174">
        <v>3</v>
      </c>
      <c r="BO97" s="174">
        <v>1</v>
      </c>
      <c r="BP97" s="174">
        <v>1</v>
      </c>
      <c r="BQ97" s="174">
        <v>1</v>
      </c>
      <c r="BR97" s="174">
        <v>0</v>
      </c>
      <c r="BS97" s="174">
        <v>0</v>
      </c>
      <c r="BT97" s="174">
        <v>0</v>
      </c>
      <c r="BU97" s="174">
        <v>0</v>
      </c>
      <c r="BV97" s="174">
        <v>0</v>
      </c>
      <c r="BW97" s="174">
        <v>0</v>
      </c>
      <c r="BX97" s="174">
        <v>0</v>
      </c>
      <c r="BY97" s="173">
        <f t="shared" ref="BY97:BY115" si="130">BW97+BU97+BS97+BQ97+BO97+BM97+BK97+BI97</f>
        <v>4</v>
      </c>
      <c r="BZ97" s="173">
        <f t="shared" ref="BZ97:BZ115" si="131">BX97+BV97+BT97+BR97+BP97+BN97+BL97+BJ97</f>
        <v>4</v>
      </c>
      <c r="CA97" s="180">
        <f t="shared" ref="CA97:CA115" si="132">BZ97+BY97</f>
        <v>8</v>
      </c>
    </row>
    <row r="98" spans="1:79" ht="80.099999999999994" customHeight="1">
      <c r="A98" s="173">
        <v>13</v>
      </c>
      <c r="B98" s="167" t="s">
        <v>84</v>
      </c>
      <c r="C98" s="168" t="s">
        <v>85</v>
      </c>
      <c r="D98" s="169">
        <v>0</v>
      </c>
      <c r="E98" s="156">
        <f t="shared" si="110"/>
        <v>0</v>
      </c>
      <c r="F98" s="155"/>
      <c r="G98" s="174">
        <v>0</v>
      </c>
      <c r="H98" s="174">
        <v>0</v>
      </c>
      <c r="I98" s="173">
        <f t="shared" si="122"/>
        <v>0</v>
      </c>
      <c r="J98" s="173"/>
      <c r="K98" s="173">
        <f t="shared" si="98"/>
        <v>0</v>
      </c>
      <c r="L98" s="174">
        <v>0</v>
      </c>
      <c r="M98" s="174">
        <v>0</v>
      </c>
      <c r="N98" s="173">
        <f t="shared" si="123"/>
        <v>0</v>
      </c>
      <c r="O98" s="174">
        <v>0</v>
      </c>
      <c r="P98" s="174">
        <v>0</v>
      </c>
      <c r="Q98" s="173">
        <f t="shared" si="124"/>
        <v>0</v>
      </c>
      <c r="R98" s="174">
        <v>0</v>
      </c>
      <c r="S98" s="174">
        <v>0</v>
      </c>
      <c r="T98" s="173">
        <f t="shared" ref="T98:T115" si="133">SUM(R98:S98)</f>
        <v>0</v>
      </c>
      <c r="U98" s="173"/>
      <c r="V98" s="173"/>
      <c r="W98" s="173"/>
      <c r="X98" s="173"/>
      <c r="Y98" s="173"/>
      <c r="Z98" s="176" t="e">
        <f t="shared" si="125"/>
        <v>#DIV/0!</v>
      </c>
      <c r="AA98" s="177"/>
      <c r="AB98" s="177"/>
      <c r="AC98" s="177"/>
      <c r="AD98" s="174"/>
      <c r="AE98" s="174"/>
      <c r="AF98" s="174"/>
      <c r="AG98" s="174">
        <v>0</v>
      </c>
      <c r="AH98" s="174">
        <v>0</v>
      </c>
      <c r="AI98" s="178">
        <f t="shared" si="111"/>
        <v>0</v>
      </c>
      <c r="AJ98" s="177"/>
      <c r="AK98" s="179"/>
      <c r="AL98" s="179"/>
      <c r="AM98" s="174"/>
      <c r="AN98" s="174"/>
      <c r="AO98" s="174"/>
      <c r="AP98" s="174">
        <v>0</v>
      </c>
      <c r="AQ98" s="174">
        <v>0</v>
      </c>
      <c r="AR98" s="178">
        <f t="shared" si="112"/>
        <v>0</v>
      </c>
      <c r="AS98" s="179">
        <f t="shared" si="113"/>
        <v>0</v>
      </c>
      <c r="AT98" s="179">
        <f t="shared" si="114"/>
        <v>0</v>
      </c>
      <c r="AU98" s="180">
        <f t="shared" si="115"/>
        <v>0</v>
      </c>
      <c r="AV98" s="180"/>
      <c r="AW98" s="180"/>
      <c r="AX98" s="176" t="e">
        <f t="shared" si="103"/>
        <v>#DIV/0!</v>
      </c>
      <c r="AY98" s="176"/>
      <c r="AZ98" s="176" t="e">
        <f t="shared" si="104"/>
        <v>#DIV/0!</v>
      </c>
      <c r="BA98" s="176" t="e">
        <f t="shared" si="126"/>
        <v>#DIV/0!</v>
      </c>
      <c r="BB98" s="176" t="e">
        <f t="shared" si="127"/>
        <v>#DIV/0!</v>
      </c>
      <c r="BC98" s="181" t="e">
        <f t="shared" si="128"/>
        <v>#DIV/0!</v>
      </c>
      <c r="BD98" s="182" t="e">
        <f t="shared" si="129"/>
        <v>#DIV/0!</v>
      </c>
      <c r="BE98" s="183"/>
      <c r="BF98" s="184">
        <v>13</v>
      </c>
      <c r="BG98" s="167" t="s">
        <v>84</v>
      </c>
      <c r="BH98" s="168" t="s">
        <v>85</v>
      </c>
      <c r="BI98" s="219"/>
      <c r="BJ98" s="219"/>
      <c r="BK98" s="174">
        <v>0</v>
      </c>
      <c r="BL98" s="174">
        <v>0</v>
      </c>
      <c r="BM98" s="174">
        <v>0</v>
      </c>
      <c r="BN98" s="174">
        <v>0</v>
      </c>
      <c r="BO98" s="174">
        <v>0</v>
      </c>
      <c r="BP98" s="174">
        <v>0</v>
      </c>
      <c r="BQ98" s="174">
        <v>0</v>
      </c>
      <c r="BR98" s="174">
        <v>0</v>
      </c>
      <c r="BS98" s="174">
        <v>0</v>
      </c>
      <c r="BT98" s="174">
        <v>0</v>
      </c>
      <c r="BU98" s="174">
        <v>0</v>
      </c>
      <c r="BV98" s="174">
        <v>0</v>
      </c>
      <c r="BW98" s="174">
        <v>0</v>
      </c>
      <c r="BX98" s="174">
        <v>0</v>
      </c>
      <c r="BY98" s="179">
        <f t="shared" si="130"/>
        <v>0</v>
      </c>
      <c r="BZ98" s="179">
        <f t="shared" si="131"/>
        <v>0</v>
      </c>
      <c r="CA98" s="185">
        <f t="shared" si="132"/>
        <v>0</v>
      </c>
    </row>
    <row r="99" spans="1:79" ht="80.099999999999994" customHeight="1">
      <c r="A99" s="173">
        <v>14</v>
      </c>
      <c r="B99" s="151" t="s">
        <v>86</v>
      </c>
      <c r="C99" s="146" t="s">
        <v>53</v>
      </c>
      <c r="D99" s="147">
        <v>100000</v>
      </c>
      <c r="E99" s="144">
        <f t="shared" si="110"/>
        <v>56.25</v>
      </c>
      <c r="F99" s="147">
        <v>25</v>
      </c>
      <c r="G99" s="174">
        <v>3</v>
      </c>
      <c r="H99" s="174">
        <v>5</v>
      </c>
      <c r="I99" s="173">
        <f t="shared" si="122"/>
        <v>8</v>
      </c>
      <c r="J99" s="173">
        <v>8</v>
      </c>
      <c r="K99" s="173">
        <f t="shared" si="98"/>
        <v>1</v>
      </c>
      <c r="L99" s="174">
        <v>0</v>
      </c>
      <c r="M99" s="174">
        <v>1</v>
      </c>
      <c r="N99" s="173">
        <f t="shared" si="123"/>
        <v>1</v>
      </c>
      <c r="O99" s="174">
        <v>0</v>
      </c>
      <c r="P99" s="174">
        <v>0</v>
      </c>
      <c r="Q99" s="173">
        <f t="shared" si="124"/>
        <v>0</v>
      </c>
      <c r="R99" s="174">
        <v>0</v>
      </c>
      <c r="S99" s="174">
        <v>0</v>
      </c>
      <c r="T99" s="173">
        <f t="shared" si="133"/>
        <v>0</v>
      </c>
      <c r="U99" s="173"/>
      <c r="V99" s="173"/>
      <c r="W99" s="173"/>
      <c r="X99" s="173"/>
      <c r="Y99" s="173"/>
      <c r="Z99" s="175">
        <f t="shared" si="125"/>
        <v>0.4</v>
      </c>
      <c r="AA99" s="178"/>
      <c r="AB99" s="178"/>
      <c r="AC99" s="178"/>
      <c r="AD99" s="186"/>
      <c r="AE99" s="186"/>
      <c r="AF99" s="186"/>
      <c r="AG99" s="174">
        <v>1</v>
      </c>
      <c r="AH99" s="174">
        <v>3</v>
      </c>
      <c r="AI99" s="178">
        <f t="shared" si="111"/>
        <v>4</v>
      </c>
      <c r="AJ99" s="178"/>
      <c r="AK99" s="173"/>
      <c r="AL99" s="173"/>
      <c r="AM99" s="186"/>
      <c r="AN99" s="186"/>
      <c r="AO99" s="186"/>
      <c r="AP99" s="174">
        <v>0</v>
      </c>
      <c r="AQ99" s="174">
        <v>0</v>
      </c>
      <c r="AR99" s="178">
        <f t="shared" si="112"/>
        <v>0</v>
      </c>
      <c r="AS99" s="179">
        <f t="shared" si="113"/>
        <v>4</v>
      </c>
      <c r="AT99" s="179">
        <f t="shared" si="114"/>
        <v>9</v>
      </c>
      <c r="AU99" s="180">
        <f t="shared" si="115"/>
        <v>13</v>
      </c>
      <c r="AV99" s="180">
        <v>4</v>
      </c>
      <c r="AW99" s="180">
        <v>9</v>
      </c>
      <c r="AX99" s="176">
        <f t="shared" si="103"/>
        <v>0.66666666666666663</v>
      </c>
      <c r="AY99" s="176">
        <v>0.67</v>
      </c>
      <c r="AZ99" s="176">
        <f t="shared" si="104"/>
        <v>0.2311111111111111</v>
      </c>
      <c r="BA99" s="175">
        <f t="shared" si="126"/>
        <v>0.29378531073446329</v>
      </c>
      <c r="BB99" s="175">
        <f t="shared" si="127"/>
        <v>7.6923076923076927E-2</v>
      </c>
      <c r="BC99" s="187">
        <f t="shared" si="128"/>
        <v>32</v>
      </c>
      <c r="BD99" s="188">
        <f t="shared" si="129"/>
        <v>51.999999999999993</v>
      </c>
      <c r="BE99" s="189"/>
      <c r="BF99" s="184">
        <v>14</v>
      </c>
      <c r="BG99" s="151" t="s">
        <v>86</v>
      </c>
      <c r="BH99" s="146" t="s">
        <v>53</v>
      </c>
      <c r="BI99" s="219"/>
      <c r="BJ99" s="219"/>
      <c r="BK99" s="174">
        <v>0</v>
      </c>
      <c r="BL99" s="174">
        <v>1</v>
      </c>
      <c r="BM99" s="174">
        <v>0</v>
      </c>
      <c r="BN99" s="174">
        <v>0</v>
      </c>
      <c r="BO99" s="174">
        <v>1</v>
      </c>
      <c r="BP99" s="174">
        <v>0</v>
      </c>
      <c r="BQ99" s="174">
        <v>0</v>
      </c>
      <c r="BR99" s="174">
        <v>1</v>
      </c>
      <c r="BS99" s="174">
        <v>0</v>
      </c>
      <c r="BT99" s="174">
        <v>2</v>
      </c>
      <c r="BU99" s="174">
        <v>2</v>
      </c>
      <c r="BV99" s="174">
        <v>1</v>
      </c>
      <c r="BW99" s="174">
        <v>0</v>
      </c>
      <c r="BX99" s="174">
        <v>0</v>
      </c>
      <c r="BY99" s="173">
        <f t="shared" si="130"/>
        <v>3</v>
      </c>
      <c r="BZ99" s="173">
        <f t="shared" si="131"/>
        <v>5</v>
      </c>
      <c r="CA99" s="180">
        <f t="shared" si="132"/>
        <v>8</v>
      </c>
    </row>
    <row r="100" spans="1:79" ht="80.099999999999994" customHeight="1">
      <c r="A100" s="173">
        <v>15</v>
      </c>
      <c r="B100" s="151" t="s">
        <v>87</v>
      </c>
      <c r="C100" s="146" t="s">
        <v>57</v>
      </c>
      <c r="D100" s="147">
        <v>100000</v>
      </c>
      <c r="E100" s="144">
        <f t="shared" si="110"/>
        <v>67.5</v>
      </c>
      <c r="F100" s="147">
        <v>30</v>
      </c>
      <c r="G100" s="174">
        <v>3</v>
      </c>
      <c r="H100" s="174">
        <v>6</v>
      </c>
      <c r="I100" s="173">
        <f t="shared" si="122"/>
        <v>9</v>
      </c>
      <c r="J100" s="173">
        <v>9</v>
      </c>
      <c r="K100" s="173">
        <f t="shared" si="98"/>
        <v>2</v>
      </c>
      <c r="L100" s="174">
        <v>1</v>
      </c>
      <c r="M100" s="174">
        <v>1</v>
      </c>
      <c r="N100" s="173">
        <f t="shared" si="123"/>
        <v>2</v>
      </c>
      <c r="O100" s="174">
        <v>0</v>
      </c>
      <c r="P100" s="174">
        <v>0</v>
      </c>
      <c r="Q100" s="173">
        <f t="shared" si="124"/>
        <v>0</v>
      </c>
      <c r="R100" s="174">
        <v>0</v>
      </c>
      <c r="S100" s="174">
        <v>0</v>
      </c>
      <c r="T100" s="173">
        <f>SUM(T98:T99)</f>
        <v>0</v>
      </c>
      <c r="U100" s="173"/>
      <c r="V100" s="173"/>
      <c r="W100" s="173"/>
      <c r="X100" s="173"/>
      <c r="Y100" s="173"/>
      <c r="Z100" s="176">
        <f t="shared" si="125"/>
        <v>0.45</v>
      </c>
      <c r="AA100" s="177"/>
      <c r="AB100" s="177"/>
      <c r="AC100" s="177"/>
      <c r="AD100" s="174"/>
      <c r="AE100" s="174"/>
      <c r="AF100" s="174"/>
      <c r="AG100" s="174">
        <v>7</v>
      </c>
      <c r="AH100" s="174">
        <v>10</v>
      </c>
      <c r="AI100" s="178">
        <f t="shared" si="111"/>
        <v>17</v>
      </c>
      <c r="AJ100" s="177"/>
      <c r="AK100" s="179"/>
      <c r="AL100" s="179"/>
      <c r="AM100" s="174"/>
      <c r="AN100" s="174"/>
      <c r="AO100" s="174"/>
      <c r="AP100" s="174">
        <v>6</v>
      </c>
      <c r="AQ100" s="174">
        <v>7</v>
      </c>
      <c r="AR100" s="178">
        <f t="shared" si="112"/>
        <v>13</v>
      </c>
      <c r="AS100" s="179">
        <f t="shared" si="113"/>
        <v>17</v>
      </c>
      <c r="AT100" s="179">
        <f t="shared" si="114"/>
        <v>24</v>
      </c>
      <c r="AU100" s="180">
        <f t="shared" si="115"/>
        <v>41</v>
      </c>
      <c r="AV100" s="180">
        <v>17</v>
      </c>
      <c r="AW100" s="180">
        <v>24</v>
      </c>
      <c r="AX100" s="176">
        <f t="shared" si="103"/>
        <v>0.34615384615384615</v>
      </c>
      <c r="AY100" s="176">
        <v>0.35</v>
      </c>
      <c r="AZ100" s="176">
        <f t="shared" si="104"/>
        <v>0.6074074074074074</v>
      </c>
      <c r="BA100" s="176">
        <f t="shared" si="126"/>
        <v>0.92655367231638419</v>
      </c>
      <c r="BB100" s="176">
        <f t="shared" si="127"/>
        <v>4.878048780487805E-2</v>
      </c>
      <c r="BC100" s="181">
        <f t="shared" si="128"/>
        <v>36</v>
      </c>
      <c r="BD100" s="182">
        <f t="shared" si="129"/>
        <v>164</v>
      </c>
      <c r="BE100" s="183"/>
      <c r="BF100" s="184">
        <v>15</v>
      </c>
      <c r="BG100" s="151" t="s">
        <v>87</v>
      </c>
      <c r="BH100" s="146" t="s">
        <v>57</v>
      </c>
      <c r="BI100" s="219"/>
      <c r="BJ100" s="219"/>
      <c r="BK100" s="174">
        <v>0</v>
      </c>
      <c r="BL100" s="174">
        <v>0</v>
      </c>
      <c r="BM100" s="174">
        <v>0</v>
      </c>
      <c r="BN100" s="174">
        <v>5</v>
      </c>
      <c r="BO100" s="174">
        <v>1</v>
      </c>
      <c r="BP100" s="174">
        <v>1</v>
      </c>
      <c r="BQ100" s="174">
        <v>1</v>
      </c>
      <c r="BR100" s="174">
        <v>0</v>
      </c>
      <c r="BS100" s="174">
        <v>0</v>
      </c>
      <c r="BT100" s="174">
        <v>0</v>
      </c>
      <c r="BU100" s="174">
        <v>1</v>
      </c>
      <c r="BV100" s="174">
        <v>0</v>
      </c>
      <c r="BW100" s="174">
        <v>0</v>
      </c>
      <c r="BX100" s="174">
        <v>0</v>
      </c>
      <c r="BY100" s="179">
        <f t="shared" si="130"/>
        <v>3</v>
      </c>
      <c r="BZ100" s="179">
        <f t="shared" si="131"/>
        <v>6</v>
      </c>
      <c r="CA100" s="185">
        <f t="shared" si="132"/>
        <v>9</v>
      </c>
    </row>
    <row r="101" spans="1:79" ht="80.099999999999994" customHeight="1">
      <c r="A101" s="173">
        <v>16</v>
      </c>
      <c r="B101" s="151" t="s">
        <v>88</v>
      </c>
      <c r="C101" s="146" t="s">
        <v>57</v>
      </c>
      <c r="D101" s="147">
        <v>150000</v>
      </c>
      <c r="E101" s="144">
        <f t="shared" si="110"/>
        <v>67.5</v>
      </c>
      <c r="F101" s="147">
        <v>30</v>
      </c>
      <c r="G101" s="186">
        <v>6</v>
      </c>
      <c r="H101" s="186">
        <v>10</v>
      </c>
      <c r="I101" s="173">
        <f t="shared" si="122"/>
        <v>16</v>
      </c>
      <c r="J101" s="173">
        <v>16</v>
      </c>
      <c r="K101" s="173">
        <f t="shared" si="98"/>
        <v>1</v>
      </c>
      <c r="L101" s="186">
        <v>0</v>
      </c>
      <c r="M101" s="186">
        <v>1</v>
      </c>
      <c r="N101" s="173">
        <f t="shared" si="123"/>
        <v>1</v>
      </c>
      <c r="O101" s="186">
        <v>0</v>
      </c>
      <c r="P101" s="186">
        <v>0</v>
      </c>
      <c r="Q101" s="173">
        <f t="shared" si="124"/>
        <v>0</v>
      </c>
      <c r="R101" s="186">
        <v>0</v>
      </c>
      <c r="S101" s="186">
        <v>0</v>
      </c>
      <c r="T101" s="173">
        <f t="shared" si="133"/>
        <v>0</v>
      </c>
      <c r="U101" s="173"/>
      <c r="V101" s="173"/>
      <c r="W101" s="173"/>
      <c r="X101" s="173"/>
      <c r="Y101" s="173"/>
      <c r="Z101" s="175">
        <f t="shared" si="125"/>
        <v>0.53333333333333333</v>
      </c>
      <c r="AA101" s="178"/>
      <c r="AB101" s="178"/>
      <c r="AC101" s="178"/>
      <c r="AD101" s="186"/>
      <c r="AE101" s="186"/>
      <c r="AF101" s="186"/>
      <c r="AG101" s="186">
        <v>6</v>
      </c>
      <c r="AH101" s="186">
        <v>10</v>
      </c>
      <c r="AI101" s="178">
        <f t="shared" si="111"/>
        <v>16</v>
      </c>
      <c r="AJ101" s="178"/>
      <c r="AK101" s="173"/>
      <c r="AL101" s="173"/>
      <c r="AM101" s="186"/>
      <c r="AN101" s="186"/>
      <c r="AO101" s="186"/>
      <c r="AP101" s="186">
        <v>1</v>
      </c>
      <c r="AQ101" s="186">
        <v>4</v>
      </c>
      <c r="AR101" s="178">
        <f t="shared" si="112"/>
        <v>5</v>
      </c>
      <c r="AS101" s="179">
        <f t="shared" si="113"/>
        <v>13</v>
      </c>
      <c r="AT101" s="179">
        <f t="shared" si="114"/>
        <v>25</v>
      </c>
      <c r="AU101" s="180">
        <f t="shared" si="115"/>
        <v>38</v>
      </c>
      <c r="AV101" s="180">
        <v>13</v>
      </c>
      <c r="AW101" s="180">
        <v>25</v>
      </c>
      <c r="AX101" s="176">
        <f t="shared" si="103"/>
        <v>0.5</v>
      </c>
      <c r="AY101" s="176">
        <v>0.5</v>
      </c>
      <c r="AZ101" s="176">
        <f t="shared" si="104"/>
        <v>0.562962962962963</v>
      </c>
      <c r="BA101" s="175">
        <f t="shared" si="126"/>
        <v>0.57250470809792842</v>
      </c>
      <c r="BB101" s="175">
        <f t="shared" si="127"/>
        <v>2.6315789473684209E-2</v>
      </c>
      <c r="BC101" s="187">
        <f t="shared" si="128"/>
        <v>42.666666666666664</v>
      </c>
      <c r="BD101" s="188">
        <f t="shared" si="129"/>
        <v>101.33333333333333</v>
      </c>
      <c r="BE101" s="189"/>
      <c r="BF101" s="184">
        <v>16</v>
      </c>
      <c r="BG101" s="151" t="s">
        <v>88</v>
      </c>
      <c r="BH101" s="146" t="s">
        <v>57</v>
      </c>
      <c r="BI101" s="219"/>
      <c r="BJ101" s="219"/>
      <c r="BK101" s="186">
        <v>0</v>
      </c>
      <c r="BL101" s="186">
        <v>1</v>
      </c>
      <c r="BM101" s="186">
        <v>2</v>
      </c>
      <c r="BN101" s="186">
        <v>0</v>
      </c>
      <c r="BO101" s="186">
        <v>4</v>
      </c>
      <c r="BP101" s="186">
        <v>4</v>
      </c>
      <c r="BQ101" s="186">
        <v>0</v>
      </c>
      <c r="BR101" s="186">
        <v>2</v>
      </c>
      <c r="BS101" s="186">
        <v>0</v>
      </c>
      <c r="BT101" s="186">
        <v>1</v>
      </c>
      <c r="BU101" s="186">
        <v>0</v>
      </c>
      <c r="BV101" s="186">
        <v>1</v>
      </c>
      <c r="BW101" s="186">
        <v>0</v>
      </c>
      <c r="BX101" s="186">
        <v>1</v>
      </c>
      <c r="BY101" s="173">
        <f t="shared" si="130"/>
        <v>6</v>
      </c>
      <c r="BZ101" s="173">
        <f t="shared" si="131"/>
        <v>10</v>
      </c>
      <c r="CA101" s="180">
        <f t="shared" si="132"/>
        <v>16</v>
      </c>
    </row>
    <row r="102" spans="1:79" ht="80.099999999999994" customHeight="1">
      <c r="A102" s="173">
        <v>17</v>
      </c>
      <c r="B102" s="151" t="s">
        <v>89</v>
      </c>
      <c r="C102" s="146" t="s">
        <v>76</v>
      </c>
      <c r="D102" s="147">
        <v>200000</v>
      </c>
      <c r="E102" s="144">
        <f t="shared" si="110"/>
        <v>56.25</v>
      </c>
      <c r="F102" s="147">
        <v>25</v>
      </c>
      <c r="G102" s="174">
        <v>3</v>
      </c>
      <c r="H102" s="174">
        <v>3</v>
      </c>
      <c r="I102" s="173">
        <f t="shared" si="122"/>
        <v>6</v>
      </c>
      <c r="J102" s="173">
        <v>6</v>
      </c>
      <c r="K102" s="173">
        <f t="shared" si="98"/>
        <v>0</v>
      </c>
      <c r="L102" s="174">
        <v>0</v>
      </c>
      <c r="M102" s="174">
        <v>0</v>
      </c>
      <c r="N102" s="173">
        <f t="shared" si="123"/>
        <v>0</v>
      </c>
      <c r="O102" s="174">
        <v>0</v>
      </c>
      <c r="P102" s="174">
        <v>0</v>
      </c>
      <c r="Q102" s="173">
        <f t="shared" si="124"/>
        <v>0</v>
      </c>
      <c r="R102" s="174">
        <v>0</v>
      </c>
      <c r="S102" s="174">
        <v>0</v>
      </c>
      <c r="T102" s="173">
        <f t="shared" si="133"/>
        <v>0</v>
      </c>
      <c r="U102" s="173"/>
      <c r="V102" s="173"/>
      <c r="W102" s="173"/>
      <c r="X102" s="173"/>
      <c r="Y102" s="173"/>
      <c r="Z102" s="176">
        <f t="shared" si="125"/>
        <v>0.15</v>
      </c>
      <c r="AA102" s="177"/>
      <c r="AB102" s="177"/>
      <c r="AC102" s="177"/>
      <c r="AD102" s="174"/>
      <c r="AE102" s="174"/>
      <c r="AF102" s="174"/>
      <c r="AG102" s="174">
        <v>10</v>
      </c>
      <c r="AH102" s="174">
        <v>17</v>
      </c>
      <c r="AI102" s="178">
        <f t="shared" si="111"/>
        <v>27</v>
      </c>
      <c r="AJ102" s="177"/>
      <c r="AK102" s="179"/>
      <c r="AL102" s="179"/>
      <c r="AM102" s="174"/>
      <c r="AN102" s="174"/>
      <c r="AO102" s="174"/>
      <c r="AP102" s="174">
        <v>1</v>
      </c>
      <c r="AQ102" s="174">
        <v>3</v>
      </c>
      <c r="AR102" s="178">
        <f t="shared" si="112"/>
        <v>4</v>
      </c>
      <c r="AS102" s="179">
        <f t="shared" si="113"/>
        <v>14</v>
      </c>
      <c r="AT102" s="179">
        <f t="shared" si="114"/>
        <v>23</v>
      </c>
      <c r="AU102" s="180">
        <f t="shared" si="115"/>
        <v>37</v>
      </c>
      <c r="AV102" s="180">
        <v>14</v>
      </c>
      <c r="AW102" s="180">
        <v>23</v>
      </c>
      <c r="AX102" s="176">
        <f t="shared" si="103"/>
        <v>0.18181818181818182</v>
      </c>
      <c r="AY102" s="176">
        <v>0.18</v>
      </c>
      <c r="AZ102" s="176">
        <f t="shared" si="104"/>
        <v>0.65777777777777779</v>
      </c>
      <c r="BA102" s="176">
        <f t="shared" si="126"/>
        <v>0.41807909604519772</v>
      </c>
      <c r="BB102" s="176">
        <f t="shared" si="127"/>
        <v>0</v>
      </c>
      <c r="BC102" s="181">
        <f t="shared" si="128"/>
        <v>12</v>
      </c>
      <c r="BD102" s="182">
        <f t="shared" si="129"/>
        <v>74</v>
      </c>
      <c r="BE102" s="183"/>
      <c r="BF102" s="184">
        <v>17</v>
      </c>
      <c r="BG102" s="151" t="s">
        <v>89</v>
      </c>
      <c r="BH102" s="146" t="s">
        <v>76</v>
      </c>
      <c r="BI102" s="219"/>
      <c r="BJ102" s="219"/>
      <c r="BK102" s="174">
        <v>0</v>
      </c>
      <c r="BL102" s="174">
        <v>0</v>
      </c>
      <c r="BM102" s="174">
        <v>0</v>
      </c>
      <c r="BN102" s="174">
        <v>2</v>
      </c>
      <c r="BO102" s="174">
        <v>1</v>
      </c>
      <c r="BP102" s="174">
        <v>1</v>
      </c>
      <c r="BQ102" s="174">
        <v>2</v>
      </c>
      <c r="BR102" s="174">
        <v>0</v>
      </c>
      <c r="BS102" s="174">
        <v>0</v>
      </c>
      <c r="BT102" s="174">
        <v>0</v>
      </c>
      <c r="BU102" s="174">
        <v>0</v>
      </c>
      <c r="BV102" s="174">
        <v>0</v>
      </c>
      <c r="BW102" s="174">
        <v>0</v>
      </c>
      <c r="BX102" s="174">
        <v>0</v>
      </c>
      <c r="BY102" s="179">
        <f t="shared" si="130"/>
        <v>3</v>
      </c>
      <c r="BZ102" s="179">
        <f t="shared" si="131"/>
        <v>3</v>
      </c>
      <c r="CA102" s="185">
        <f t="shared" si="132"/>
        <v>6</v>
      </c>
    </row>
    <row r="103" spans="1:79" ht="80.099999999999994" customHeight="1">
      <c r="A103" s="173">
        <v>18</v>
      </c>
      <c r="B103" s="142" t="s">
        <v>90</v>
      </c>
      <c r="C103" s="143" t="s">
        <v>71</v>
      </c>
      <c r="D103" s="145">
        <v>100000</v>
      </c>
      <c r="E103" s="144">
        <f t="shared" si="110"/>
        <v>67.5</v>
      </c>
      <c r="F103" s="145">
        <v>30</v>
      </c>
      <c r="G103" s="186">
        <v>3</v>
      </c>
      <c r="H103" s="186">
        <v>0</v>
      </c>
      <c r="I103" s="173">
        <f t="shared" si="122"/>
        <v>3</v>
      </c>
      <c r="J103" s="173">
        <v>3</v>
      </c>
      <c r="K103" s="173">
        <f t="shared" si="98"/>
        <v>0</v>
      </c>
      <c r="L103" s="186">
        <v>0</v>
      </c>
      <c r="M103" s="186">
        <v>0</v>
      </c>
      <c r="N103" s="173">
        <f t="shared" si="123"/>
        <v>0</v>
      </c>
      <c r="O103" s="186">
        <v>0</v>
      </c>
      <c r="P103" s="186">
        <v>0</v>
      </c>
      <c r="Q103" s="173">
        <f t="shared" si="124"/>
        <v>0</v>
      </c>
      <c r="R103" s="186">
        <v>0</v>
      </c>
      <c r="S103" s="186">
        <v>0</v>
      </c>
      <c r="T103" s="173">
        <f>SUM(T101:T102)</f>
        <v>0</v>
      </c>
      <c r="U103" s="173"/>
      <c r="V103" s="173"/>
      <c r="W103" s="173"/>
      <c r="X103" s="173"/>
      <c r="Y103" s="173"/>
      <c r="Z103" s="175">
        <f t="shared" si="125"/>
        <v>0.15</v>
      </c>
      <c r="AA103" s="178"/>
      <c r="AB103" s="178"/>
      <c r="AC103" s="178"/>
      <c r="AD103" s="186"/>
      <c r="AE103" s="186"/>
      <c r="AF103" s="186"/>
      <c r="AG103" s="186">
        <v>9</v>
      </c>
      <c r="AH103" s="186">
        <v>7</v>
      </c>
      <c r="AI103" s="178">
        <f t="shared" si="111"/>
        <v>16</v>
      </c>
      <c r="AJ103" s="178"/>
      <c r="AK103" s="173"/>
      <c r="AL103" s="173"/>
      <c r="AM103" s="186"/>
      <c r="AN103" s="186"/>
      <c r="AO103" s="186"/>
      <c r="AP103" s="186">
        <v>4</v>
      </c>
      <c r="AQ103" s="186">
        <v>4</v>
      </c>
      <c r="AR103" s="178">
        <f t="shared" si="112"/>
        <v>8</v>
      </c>
      <c r="AS103" s="179">
        <f t="shared" si="113"/>
        <v>16</v>
      </c>
      <c r="AT103" s="179">
        <f t="shared" si="114"/>
        <v>11</v>
      </c>
      <c r="AU103" s="180">
        <f t="shared" si="115"/>
        <v>27</v>
      </c>
      <c r="AV103" s="180">
        <v>16</v>
      </c>
      <c r="AW103" s="180">
        <v>11</v>
      </c>
      <c r="AX103" s="176">
        <f t="shared" si="103"/>
        <v>0.15789473684210525</v>
      </c>
      <c r="AY103" s="176">
        <v>0.16</v>
      </c>
      <c r="AZ103" s="176">
        <f t="shared" si="104"/>
        <v>0.4</v>
      </c>
      <c r="BA103" s="175">
        <f t="shared" si="126"/>
        <v>0.61016949152542377</v>
      </c>
      <c r="BB103" s="175">
        <f t="shared" si="127"/>
        <v>0</v>
      </c>
      <c r="BC103" s="187">
        <f t="shared" si="128"/>
        <v>12</v>
      </c>
      <c r="BD103" s="188">
        <f t="shared" si="129"/>
        <v>108</v>
      </c>
      <c r="BE103" s="189"/>
      <c r="BF103" s="184">
        <v>18</v>
      </c>
      <c r="BG103" s="142" t="s">
        <v>90</v>
      </c>
      <c r="BH103" s="143" t="s">
        <v>71</v>
      </c>
      <c r="BI103" s="219"/>
      <c r="BJ103" s="219"/>
      <c r="BK103" s="186">
        <v>0</v>
      </c>
      <c r="BL103" s="186">
        <v>0</v>
      </c>
      <c r="BM103" s="186">
        <v>0</v>
      </c>
      <c r="BN103" s="186">
        <v>0</v>
      </c>
      <c r="BO103" s="186">
        <v>1</v>
      </c>
      <c r="BP103" s="186">
        <v>0</v>
      </c>
      <c r="BQ103" s="186">
        <v>0</v>
      </c>
      <c r="BR103" s="186">
        <v>0</v>
      </c>
      <c r="BS103" s="186">
        <v>1</v>
      </c>
      <c r="BT103" s="186">
        <v>0</v>
      </c>
      <c r="BU103" s="186">
        <v>0</v>
      </c>
      <c r="BV103" s="186">
        <v>0</v>
      </c>
      <c r="BW103" s="186">
        <v>1</v>
      </c>
      <c r="BX103" s="186">
        <v>0</v>
      </c>
      <c r="BY103" s="173">
        <f t="shared" si="130"/>
        <v>3</v>
      </c>
      <c r="BZ103" s="173">
        <f t="shared" si="131"/>
        <v>0</v>
      </c>
      <c r="CA103" s="180">
        <f t="shared" si="132"/>
        <v>3</v>
      </c>
    </row>
    <row r="104" spans="1:79" ht="80.099999999999994" customHeight="1">
      <c r="A104" s="510">
        <v>19</v>
      </c>
      <c r="B104" s="142" t="s">
        <v>91</v>
      </c>
      <c r="C104" s="146" t="s">
        <v>57</v>
      </c>
      <c r="D104" s="147">
        <v>150000</v>
      </c>
      <c r="E104" s="144">
        <f t="shared" si="110"/>
        <v>67.5</v>
      </c>
      <c r="F104" s="147">
        <v>30</v>
      </c>
      <c r="G104" s="174">
        <v>0</v>
      </c>
      <c r="H104" s="174">
        <v>3</v>
      </c>
      <c r="I104" s="173">
        <f t="shared" si="122"/>
        <v>3</v>
      </c>
      <c r="J104" s="173">
        <v>3</v>
      </c>
      <c r="K104" s="173">
        <f t="shared" si="98"/>
        <v>0</v>
      </c>
      <c r="L104" s="174">
        <v>0</v>
      </c>
      <c r="M104" s="174">
        <v>0</v>
      </c>
      <c r="N104" s="173">
        <f t="shared" si="123"/>
        <v>0</v>
      </c>
      <c r="O104" s="174">
        <v>0</v>
      </c>
      <c r="P104" s="174">
        <v>0</v>
      </c>
      <c r="Q104" s="173">
        <f t="shared" si="124"/>
        <v>0</v>
      </c>
      <c r="R104" s="174">
        <v>0</v>
      </c>
      <c r="S104" s="174">
        <v>0</v>
      </c>
      <c r="T104" s="173">
        <f t="shared" si="133"/>
        <v>0</v>
      </c>
      <c r="U104" s="173"/>
      <c r="V104" s="173"/>
      <c r="W104" s="173"/>
      <c r="X104" s="173"/>
      <c r="Y104" s="173"/>
      <c r="Z104" s="176">
        <f t="shared" si="125"/>
        <v>0.1</v>
      </c>
      <c r="AA104" s="177"/>
      <c r="AB104" s="177"/>
      <c r="AC104" s="177"/>
      <c r="AD104" s="174"/>
      <c r="AE104" s="174"/>
      <c r="AF104" s="174"/>
      <c r="AG104" s="174">
        <v>8</v>
      </c>
      <c r="AH104" s="174">
        <v>7</v>
      </c>
      <c r="AI104" s="178">
        <f t="shared" si="111"/>
        <v>15</v>
      </c>
      <c r="AJ104" s="177"/>
      <c r="AK104" s="179"/>
      <c r="AL104" s="179"/>
      <c r="AM104" s="174"/>
      <c r="AN104" s="174"/>
      <c r="AO104" s="174"/>
      <c r="AP104" s="174">
        <v>0</v>
      </c>
      <c r="AQ104" s="174">
        <v>0</v>
      </c>
      <c r="AR104" s="178">
        <f t="shared" si="112"/>
        <v>0</v>
      </c>
      <c r="AS104" s="179">
        <f t="shared" si="113"/>
        <v>8</v>
      </c>
      <c r="AT104" s="179">
        <f t="shared" si="114"/>
        <v>10</v>
      </c>
      <c r="AU104" s="180">
        <f t="shared" si="115"/>
        <v>18</v>
      </c>
      <c r="AV104" s="180">
        <v>8</v>
      </c>
      <c r="AW104" s="180">
        <v>10</v>
      </c>
      <c r="AX104" s="176">
        <f t="shared" si="103"/>
        <v>0.16666666666666666</v>
      </c>
      <c r="AY104" s="176">
        <v>0.17</v>
      </c>
      <c r="AZ104" s="176">
        <f t="shared" si="104"/>
        <v>0.26666666666666666</v>
      </c>
      <c r="BA104" s="176">
        <f t="shared" si="126"/>
        <v>0.2711864406779661</v>
      </c>
      <c r="BB104" s="176">
        <f t="shared" si="127"/>
        <v>0</v>
      </c>
      <c r="BC104" s="181">
        <f t="shared" si="128"/>
        <v>8</v>
      </c>
      <c r="BD104" s="182">
        <f t="shared" si="129"/>
        <v>48</v>
      </c>
      <c r="BE104" s="183"/>
      <c r="BF104" s="184">
        <v>19</v>
      </c>
      <c r="BG104" s="142" t="s">
        <v>91</v>
      </c>
      <c r="BH104" s="146" t="s">
        <v>57</v>
      </c>
      <c r="BI104" s="219"/>
      <c r="BJ104" s="219"/>
      <c r="BK104" s="174">
        <v>0</v>
      </c>
      <c r="BL104" s="174">
        <v>0</v>
      </c>
      <c r="BM104" s="174">
        <v>0</v>
      </c>
      <c r="BN104" s="174">
        <v>0</v>
      </c>
      <c r="BO104" s="174">
        <v>0</v>
      </c>
      <c r="BP104" s="174">
        <v>1</v>
      </c>
      <c r="BQ104" s="174">
        <v>0</v>
      </c>
      <c r="BR104" s="174">
        <v>2</v>
      </c>
      <c r="BS104" s="174">
        <v>0</v>
      </c>
      <c r="BT104" s="174">
        <v>0</v>
      </c>
      <c r="BU104" s="174">
        <v>0</v>
      </c>
      <c r="BV104" s="174">
        <v>0</v>
      </c>
      <c r="BW104" s="174">
        <v>0</v>
      </c>
      <c r="BX104" s="174">
        <v>0</v>
      </c>
      <c r="BY104" s="179">
        <f t="shared" si="130"/>
        <v>0</v>
      </c>
      <c r="BZ104" s="179">
        <f t="shared" si="131"/>
        <v>3</v>
      </c>
      <c r="CA104" s="185">
        <f t="shared" si="132"/>
        <v>3</v>
      </c>
    </row>
    <row r="105" spans="1:79" ht="80.099999999999994" customHeight="1">
      <c r="A105" s="173">
        <v>20</v>
      </c>
      <c r="B105" s="167" t="s">
        <v>92</v>
      </c>
      <c r="C105" s="168" t="s">
        <v>49</v>
      </c>
      <c r="D105" s="170">
        <v>50000</v>
      </c>
      <c r="E105" s="144">
        <f t="shared" si="110"/>
        <v>0</v>
      </c>
      <c r="F105" s="158">
        <v>0</v>
      </c>
      <c r="G105" s="186"/>
      <c r="H105" s="186"/>
      <c r="I105" s="173">
        <f t="shared" si="122"/>
        <v>0</v>
      </c>
      <c r="J105" s="173"/>
      <c r="K105" s="173">
        <f t="shared" si="98"/>
        <v>0</v>
      </c>
      <c r="L105" s="186"/>
      <c r="M105" s="186"/>
      <c r="N105" s="173">
        <f t="shared" si="123"/>
        <v>0</v>
      </c>
      <c r="O105" s="186"/>
      <c r="P105" s="186"/>
      <c r="Q105" s="173">
        <f t="shared" si="124"/>
        <v>0</v>
      </c>
      <c r="R105" s="186"/>
      <c r="S105" s="186"/>
      <c r="T105" s="173">
        <f>SUM(Q105,N105)</f>
        <v>0</v>
      </c>
      <c r="U105" s="173"/>
      <c r="V105" s="173"/>
      <c r="W105" s="173"/>
      <c r="X105" s="173"/>
      <c r="Y105" s="173"/>
      <c r="Z105" s="175">
        <f t="shared" si="125"/>
        <v>0</v>
      </c>
      <c r="AA105" s="178"/>
      <c r="AB105" s="178"/>
      <c r="AC105" s="178"/>
      <c r="AD105" s="186"/>
      <c r="AE105" s="186"/>
      <c r="AF105" s="186"/>
      <c r="AG105" s="174">
        <v>0</v>
      </c>
      <c r="AH105" s="174">
        <v>0</v>
      </c>
      <c r="AI105" s="178">
        <f t="shared" si="111"/>
        <v>0</v>
      </c>
      <c r="AJ105" s="178"/>
      <c r="AK105" s="173"/>
      <c r="AL105" s="173"/>
      <c r="AM105" s="186"/>
      <c r="AN105" s="186"/>
      <c r="AO105" s="186"/>
      <c r="AP105" s="174">
        <v>0</v>
      </c>
      <c r="AQ105" s="174">
        <v>0</v>
      </c>
      <c r="AR105" s="178">
        <f t="shared" si="112"/>
        <v>0</v>
      </c>
      <c r="AS105" s="179">
        <f t="shared" si="113"/>
        <v>0</v>
      </c>
      <c r="AT105" s="179">
        <f t="shared" si="114"/>
        <v>0</v>
      </c>
      <c r="AU105" s="180">
        <f t="shared" si="115"/>
        <v>0</v>
      </c>
      <c r="AV105" s="180"/>
      <c r="AW105" s="180"/>
      <c r="AX105" s="176" t="e">
        <f t="shared" si="103"/>
        <v>#DIV/0!</v>
      </c>
      <c r="AY105" s="176"/>
      <c r="AZ105" s="176" t="e">
        <f t="shared" si="104"/>
        <v>#DIV/0!</v>
      </c>
      <c r="BA105" s="175">
        <f t="shared" si="126"/>
        <v>0</v>
      </c>
      <c r="BB105" s="175" t="e">
        <f t="shared" si="127"/>
        <v>#DIV/0!</v>
      </c>
      <c r="BC105" s="187">
        <f t="shared" si="128"/>
        <v>0</v>
      </c>
      <c r="BD105" s="188">
        <f t="shared" si="129"/>
        <v>0</v>
      </c>
      <c r="BE105" s="189"/>
      <c r="BF105" s="184">
        <v>20</v>
      </c>
      <c r="BG105" s="167" t="s">
        <v>92</v>
      </c>
      <c r="BH105" s="168" t="s">
        <v>49</v>
      </c>
      <c r="BI105" s="219"/>
      <c r="BJ105" s="219"/>
      <c r="BK105" s="174">
        <v>0</v>
      </c>
      <c r="BL105" s="174">
        <v>0</v>
      </c>
      <c r="BM105" s="174">
        <v>0</v>
      </c>
      <c r="BN105" s="174">
        <v>0</v>
      </c>
      <c r="BO105" s="174">
        <v>0</v>
      </c>
      <c r="BP105" s="174">
        <v>0</v>
      </c>
      <c r="BQ105" s="174">
        <v>0</v>
      </c>
      <c r="BR105" s="174">
        <v>0</v>
      </c>
      <c r="BS105" s="174">
        <v>0</v>
      </c>
      <c r="BT105" s="174">
        <v>0</v>
      </c>
      <c r="BU105" s="174">
        <v>0</v>
      </c>
      <c r="BV105" s="174">
        <v>0</v>
      </c>
      <c r="BW105" s="174">
        <v>0</v>
      </c>
      <c r="BX105" s="174">
        <v>0</v>
      </c>
      <c r="BY105" s="173">
        <f t="shared" si="130"/>
        <v>0</v>
      </c>
      <c r="BZ105" s="173">
        <f t="shared" si="131"/>
        <v>0</v>
      </c>
      <c r="CA105" s="180">
        <f t="shared" si="132"/>
        <v>0</v>
      </c>
    </row>
    <row r="106" spans="1:79" ht="80.099999999999994" customHeight="1">
      <c r="A106" s="173">
        <v>21</v>
      </c>
      <c r="B106" s="142" t="s">
        <v>93</v>
      </c>
      <c r="C106" s="143" t="s">
        <v>80</v>
      </c>
      <c r="D106" s="145">
        <v>100000</v>
      </c>
      <c r="E106" s="144">
        <f t="shared" si="110"/>
        <v>56.25</v>
      </c>
      <c r="F106" s="145">
        <v>25</v>
      </c>
      <c r="G106" s="174">
        <v>3</v>
      </c>
      <c r="H106" s="174">
        <v>1</v>
      </c>
      <c r="I106" s="173">
        <f t="shared" si="122"/>
        <v>4</v>
      </c>
      <c r="J106" s="173">
        <v>4</v>
      </c>
      <c r="K106" s="173">
        <f t="shared" si="98"/>
        <v>0</v>
      </c>
      <c r="L106" s="174">
        <v>0</v>
      </c>
      <c r="M106" s="174">
        <v>0</v>
      </c>
      <c r="N106" s="173">
        <f t="shared" si="123"/>
        <v>0</v>
      </c>
      <c r="O106" s="174">
        <v>0</v>
      </c>
      <c r="P106" s="174">
        <v>0</v>
      </c>
      <c r="Q106" s="173">
        <f t="shared" si="124"/>
        <v>0</v>
      </c>
      <c r="R106" s="174">
        <v>0</v>
      </c>
      <c r="S106" s="174">
        <v>0</v>
      </c>
      <c r="T106" s="173">
        <f t="shared" si="133"/>
        <v>0</v>
      </c>
      <c r="U106" s="173"/>
      <c r="V106" s="173"/>
      <c r="W106" s="173"/>
      <c r="X106" s="173"/>
      <c r="Y106" s="173"/>
      <c r="Z106" s="176">
        <f t="shared" si="125"/>
        <v>0.2</v>
      </c>
      <c r="AA106" s="177"/>
      <c r="AB106" s="177"/>
      <c r="AC106" s="177"/>
      <c r="AD106" s="174"/>
      <c r="AE106" s="174"/>
      <c r="AF106" s="174"/>
      <c r="AG106" s="174">
        <v>0</v>
      </c>
      <c r="AH106" s="174">
        <v>1</v>
      </c>
      <c r="AI106" s="178">
        <f t="shared" si="111"/>
        <v>1</v>
      </c>
      <c r="AJ106" s="177"/>
      <c r="AK106" s="179"/>
      <c r="AL106" s="179"/>
      <c r="AM106" s="174"/>
      <c r="AN106" s="174"/>
      <c r="AO106" s="174"/>
      <c r="AP106" s="174">
        <v>0</v>
      </c>
      <c r="AQ106" s="174">
        <v>0</v>
      </c>
      <c r="AR106" s="178">
        <f t="shared" si="112"/>
        <v>0</v>
      </c>
      <c r="AS106" s="179">
        <f t="shared" si="113"/>
        <v>3</v>
      </c>
      <c r="AT106" s="179">
        <f t="shared" si="114"/>
        <v>2</v>
      </c>
      <c r="AU106" s="180">
        <f t="shared" si="115"/>
        <v>5</v>
      </c>
      <c r="AV106" s="180">
        <v>3</v>
      </c>
      <c r="AW106" s="180">
        <v>2</v>
      </c>
      <c r="AX106" s="176">
        <f t="shared" si="103"/>
        <v>0.8</v>
      </c>
      <c r="AY106" s="176">
        <v>0.8</v>
      </c>
      <c r="AZ106" s="176">
        <f t="shared" si="104"/>
        <v>8.8888888888888892E-2</v>
      </c>
      <c r="BA106" s="176">
        <f t="shared" si="126"/>
        <v>0.11299435028248588</v>
      </c>
      <c r="BB106" s="176">
        <f t="shared" si="127"/>
        <v>0</v>
      </c>
      <c r="BC106" s="181">
        <f t="shared" si="128"/>
        <v>16</v>
      </c>
      <c r="BD106" s="182">
        <f t="shared" si="129"/>
        <v>20</v>
      </c>
      <c r="BE106" s="183"/>
      <c r="BF106" s="184">
        <v>21</v>
      </c>
      <c r="BG106" s="142" t="s">
        <v>93</v>
      </c>
      <c r="BH106" s="143" t="s">
        <v>80</v>
      </c>
      <c r="BI106" s="219"/>
      <c r="BJ106" s="219"/>
      <c r="BK106" s="174">
        <v>0</v>
      </c>
      <c r="BL106" s="174">
        <v>0</v>
      </c>
      <c r="BM106" s="174">
        <v>1</v>
      </c>
      <c r="BN106" s="174">
        <v>0</v>
      </c>
      <c r="BO106" s="174">
        <v>0</v>
      </c>
      <c r="BP106" s="174">
        <v>1</v>
      </c>
      <c r="BQ106" s="174">
        <v>0</v>
      </c>
      <c r="BR106" s="174">
        <v>0</v>
      </c>
      <c r="BS106" s="174">
        <v>1</v>
      </c>
      <c r="BT106" s="174">
        <v>0</v>
      </c>
      <c r="BU106" s="174">
        <v>1</v>
      </c>
      <c r="BV106" s="174">
        <v>0</v>
      </c>
      <c r="BW106" s="174">
        <v>0</v>
      </c>
      <c r="BX106" s="174">
        <v>0</v>
      </c>
      <c r="BY106" s="179">
        <f t="shared" si="130"/>
        <v>3</v>
      </c>
      <c r="BZ106" s="179">
        <f t="shared" si="131"/>
        <v>1</v>
      </c>
      <c r="CA106" s="185">
        <f t="shared" si="132"/>
        <v>4</v>
      </c>
    </row>
    <row r="107" spans="1:79" ht="80.099999999999994" customHeight="1">
      <c r="A107" s="173">
        <v>22</v>
      </c>
      <c r="B107" s="142" t="s">
        <v>94</v>
      </c>
      <c r="C107" s="143" t="s">
        <v>95</v>
      </c>
      <c r="D107" s="145">
        <v>200000</v>
      </c>
      <c r="E107" s="144">
        <f t="shared" si="110"/>
        <v>67.5</v>
      </c>
      <c r="F107" s="145">
        <v>30</v>
      </c>
      <c r="G107" s="186">
        <v>4</v>
      </c>
      <c r="H107" s="186">
        <v>6</v>
      </c>
      <c r="I107" s="173">
        <f t="shared" si="122"/>
        <v>10</v>
      </c>
      <c r="J107" s="173">
        <v>10</v>
      </c>
      <c r="K107" s="173">
        <f t="shared" si="98"/>
        <v>2</v>
      </c>
      <c r="L107" s="186">
        <v>1</v>
      </c>
      <c r="M107" s="186">
        <v>0</v>
      </c>
      <c r="N107" s="173">
        <f t="shared" si="123"/>
        <v>1</v>
      </c>
      <c r="O107" s="186">
        <v>0</v>
      </c>
      <c r="P107" s="186">
        <v>0</v>
      </c>
      <c r="Q107" s="173">
        <f t="shared" si="124"/>
        <v>0</v>
      </c>
      <c r="R107" s="186">
        <v>0</v>
      </c>
      <c r="S107" s="186">
        <v>1</v>
      </c>
      <c r="T107" s="173">
        <f t="shared" si="133"/>
        <v>1</v>
      </c>
      <c r="U107" s="173"/>
      <c r="V107" s="173"/>
      <c r="W107" s="173"/>
      <c r="X107" s="173"/>
      <c r="Y107" s="173"/>
      <c r="Z107" s="175">
        <f t="shared" si="125"/>
        <v>0.25</v>
      </c>
      <c r="AA107" s="178"/>
      <c r="AB107" s="178"/>
      <c r="AC107" s="178"/>
      <c r="AD107" s="186"/>
      <c r="AE107" s="186"/>
      <c r="AF107" s="186"/>
      <c r="AG107" s="186">
        <v>9</v>
      </c>
      <c r="AH107" s="186">
        <v>12</v>
      </c>
      <c r="AI107" s="178">
        <f t="shared" si="111"/>
        <v>21</v>
      </c>
      <c r="AJ107" s="178"/>
      <c r="AK107" s="173"/>
      <c r="AL107" s="173"/>
      <c r="AM107" s="186"/>
      <c r="AN107" s="186"/>
      <c r="AO107" s="186"/>
      <c r="AP107" s="186">
        <v>6</v>
      </c>
      <c r="AQ107" s="186">
        <v>9</v>
      </c>
      <c r="AR107" s="178">
        <f t="shared" si="112"/>
        <v>15</v>
      </c>
      <c r="AS107" s="179">
        <f t="shared" si="113"/>
        <v>20</v>
      </c>
      <c r="AT107" s="179">
        <f t="shared" si="114"/>
        <v>28</v>
      </c>
      <c r="AU107" s="180">
        <f t="shared" si="115"/>
        <v>48</v>
      </c>
      <c r="AV107" s="180">
        <v>20</v>
      </c>
      <c r="AW107" s="180">
        <v>28</v>
      </c>
      <c r="AX107" s="176">
        <f t="shared" si="103"/>
        <v>0.32258064516129031</v>
      </c>
      <c r="AY107" s="176">
        <v>0.32</v>
      </c>
      <c r="AZ107" s="176">
        <f t="shared" si="104"/>
        <v>0.71111111111111114</v>
      </c>
      <c r="BA107" s="175">
        <f t="shared" si="126"/>
        <v>0.5423728813559322</v>
      </c>
      <c r="BB107" s="175">
        <f t="shared" si="127"/>
        <v>4.1666666666666664E-2</v>
      </c>
      <c r="BC107" s="187">
        <f t="shared" si="128"/>
        <v>20</v>
      </c>
      <c r="BD107" s="188">
        <f t="shared" si="129"/>
        <v>96</v>
      </c>
      <c r="BE107" s="189"/>
      <c r="BF107" s="184">
        <v>22</v>
      </c>
      <c r="BG107" s="142" t="s">
        <v>94</v>
      </c>
      <c r="BH107" s="143" t="s">
        <v>95</v>
      </c>
      <c r="BI107" s="219"/>
      <c r="BJ107" s="219"/>
      <c r="BK107" s="186">
        <v>0</v>
      </c>
      <c r="BL107" s="186">
        <v>0</v>
      </c>
      <c r="BM107" s="186">
        <v>1</v>
      </c>
      <c r="BN107" s="186">
        <v>2</v>
      </c>
      <c r="BO107" s="186">
        <v>3</v>
      </c>
      <c r="BP107" s="186">
        <v>0</v>
      </c>
      <c r="BQ107" s="186">
        <v>0</v>
      </c>
      <c r="BR107" s="186">
        <v>1</v>
      </c>
      <c r="BS107" s="186">
        <v>0</v>
      </c>
      <c r="BT107" s="186">
        <v>1</v>
      </c>
      <c r="BU107" s="186">
        <v>0</v>
      </c>
      <c r="BV107" s="186">
        <v>2</v>
      </c>
      <c r="BW107" s="186">
        <v>0</v>
      </c>
      <c r="BX107" s="186">
        <v>0</v>
      </c>
      <c r="BY107" s="173">
        <f t="shared" si="130"/>
        <v>4</v>
      </c>
      <c r="BZ107" s="173">
        <f t="shared" si="131"/>
        <v>6</v>
      </c>
      <c r="CA107" s="180">
        <f t="shared" si="132"/>
        <v>10</v>
      </c>
    </row>
    <row r="108" spans="1:79" ht="118.5" customHeight="1">
      <c r="A108" s="173">
        <v>23</v>
      </c>
      <c r="B108" s="151" t="s">
        <v>96</v>
      </c>
      <c r="C108" s="146" t="s">
        <v>49</v>
      </c>
      <c r="D108" s="147">
        <v>150000</v>
      </c>
      <c r="E108" s="144">
        <f t="shared" si="110"/>
        <v>56.25</v>
      </c>
      <c r="F108" s="147">
        <v>25</v>
      </c>
      <c r="G108" s="186">
        <v>4</v>
      </c>
      <c r="H108" s="186">
        <v>4</v>
      </c>
      <c r="I108" s="173">
        <f t="shared" si="122"/>
        <v>8</v>
      </c>
      <c r="J108" s="173">
        <v>8</v>
      </c>
      <c r="K108" s="173">
        <f t="shared" si="98"/>
        <v>3</v>
      </c>
      <c r="L108" s="186">
        <v>1</v>
      </c>
      <c r="M108" s="186">
        <v>1</v>
      </c>
      <c r="N108" s="173">
        <f t="shared" si="123"/>
        <v>2</v>
      </c>
      <c r="O108" s="186">
        <v>0</v>
      </c>
      <c r="P108" s="186">
        <v>0</v>
      </c>
      <c r="Q108" s="173">
        <f t="shared" si="124"/>
        <v>0</v>
      </c>
      <c r="R108" s="186">
        <v>0</v>
      </c>
      <c r="S108" s="186">
        <v>0</v>
      </c>
      <c r="T108" s="173">
        <f>SUM(T106:T107)</f>
        <v>1</v>
      </c>
      <c r="U108" s="173"/>
      <c r="V108" s="173"/>
      <c r="W108" s="173"/>
      <c r="X108" s="173"/>
      <c r="Y108" s="173"/>
      <c r="Z108" s="175">
        <f t="shared" si="125"/>
        <v>0.26666666666666666</v>
      </c>
      <c r="AA108" s="178"/>
      <c r="AB108" s="178"/>
      <c r="AC108" s="178"/>
      <c r="AD108" s="186"/>
      <c r="AE108" s="186"/>
      <c r="AF108" s="186"/>
      <c r="AG108" s="186">
        <v>2</v>
      </c>
      <c r="AH108" s="186">
        <v>4</v>
      </c>
      <c r="AI108" s="178">
        <f t="shared" si="111"/>
        <v>6</v>
      </c>
      <c r="AJ108" s="178"/>
      <c r="AK108" s="173"/>
      <c r="AL108" s="173"/>
      <c r="AM108" s="186"/>
      <c r="AN108" s="186"/>
      <c r="AO108" s="186"/>
      <c r="AP108" s="186">
        <v>1</v>
      </c>
      <c r="AQ108" s="186">
        <v>4</v>
      </c>
      <c r="AR108" s="178">
        <f t="shared" si="112"/>
        <v>5</v>
      </c>
      <c r="AS108" s="179">
        <f t="shared" si="113"/>
        <v>8</v>
      </c>
      <c r="AT108" s="179">
        <f t="shared" si="114"/>
        <v>13</v>
      </c>
      <c r="AU108" s="180">
        <f t="shared" si="115"/>
        <v>21</v>
      </c>
      <c r="AV108" s="180">
        <v>8</v>
      </c>
      <c r="AW108" s="180">
        <v>13</v>
      </c>
      <c r="AX108" s="176">
        <f t="shared" si="103"/>
        <v>0.5714285714285714</v>
      </c>
      <c r="AY108" s="176">
        <v>0.56999999999999995</v>
      </c>
      <c r="AZ108" s="176">
        <f t="shared" si="104"/>
        <v>0.37333333333333335</v>
      </c>
      <c r="BA108" s="175">
        <f t="shared" si="126"/>
        <v>0.31638418079096048</v>
      </c>
      <c r="BB108" s="175">
        <f t="shared" si="127"/>
        <v>0.14285714285714285</v>
      </c>
      <c r="BC108" s="187">
        <f t="shared" si="128"/>
        <v>21.333333333333332</v>
      </c>
      <c r="BD108" s="188">
        <f t="shared" si="129"/>
        <v>55.999999999999993</v>
      </c>
      <c r="BE108" s="189"/>
      <c r="BF108" s="184">
        <v>23</v>
      </c>
      <c r="BG108" s="151" t="s">
        <v>96</v>
      </c>
      <c r="BH108" s="146" t="s">
        <v>49</v>
      </c>
      <c r="BI108" s="219"/>
      <c r="BJ108" s="219"/>
      <c r="BK108" s="186">
        <v>0</v>
      </c>
      <c r="BL108" s="186">
        <v>0</v>
      </c>
      <c r="BM108" s="186">
        <v>2</v>
      </c>
      <c r="BN108" s="186">
        <v>3</v>
      </c>
      <c r="BO108" s="186">
        <v>0</v>
      </c>
      <c r="BP108" s="186">
        <v>0</v>
      </c>
      <c r="BQ108" s="186">
        <v>0</v>
      </c>
      <c r="BR108" s="186">
        <v>0</v>
      </c>
      <c r="BS108" s="186">
        <v>1</v>
      </c>
      <c r="BT108" s="186">
        <v>0</v>
      </c>
      <c r="BU108" s="186">
        <v>0</v>
      </c>
      <c r="BV108" s="186">
        <v>1</v>
      </c>
      <c r="BW108" s="186">
        <v>1</v>
      </c>
      <c r="BX108" s="186">
        <v>0</v>
      </c>
      <c r="BY108" s="173">
        <f t="shared" si="130"/>
        <v>4</v>
      </c>
      <c r="BZ108" s="173">
        <f t="shared" si="131"/>
        <v>4</v>
      </c>
      <c r="CA108" s="180">
        <f t="shared" si="132"/>
        <v>8</v>
      </c>
    </row>
    <row r="109" spans="1:79" ht="80.099999999999994" customHeight="1">
      <c r="A109" s="173">
        <v>24</v>
      </c>
      <c r="B109" s="142" t="s">
        <v>97</v>
      </c>
      <c r="C109" s="143" t="s">
        <v>68</v>
      </c>
      <c r="D109" s="145">
        <v>100000</v>
      </c>
      <c r="E109" s="144">
        <f t="shared" si="110"/>
        <v>56.25</v>
      </c>
      <c r="F109" s="145">
        <v>25</v>
      </c>
      <c r="G109" s="174">
        <v>2</v>
      </c>
      <c r="H109" s="174">
        <v>0</v>
      </c>
      <c r="I109" s="173">
        <f t="shared" si="122"/>
        <v>2</v>
      </c>
      <c r="J109" s="173">
        <v>2</v>
      </c>
      <c r="K109" s="173">
        <f t="shared" si="98"/>
        <v>0</v>
      </c>
      <c r="L109" s="186">
        <v>0</v>
      </c>
      <c r="M109" s="186">
        <v>0</v>
      </c>
      <c r="N109" s="173">
        <f t="shared" si="123"/>
        <v>0</v>
      </c>
      <c r="O109" s="174">
        <v>0</v>
      </c>
      <c r="P109" s="174">
        <v>0</v>
      </c>
      <c r="Q109" s="173">
        <f t="shared" si="124"/>
        <v>0</v>
      </c>
      <c r="R109" s="174">
        <v>0</v>
      </c>
      <c r="S109" s="174">
        <v>0</v>
      </c>
      <c r="T109" s="173">
        <f t="shared" si="133"/>
        <v>0</v>
      </c>
      <c r="U109" s="173"/>
      <c r="V109" s="173"/>
      <c r="W109" s="173"/>
      <c r="X109" s="173"/>
      <c r="Y109" s="173"/>
      <c r="Z109" s="175">
        <f t="shared" si="125"/>
        <v>0.1</v>
      </c>
      <c r="AA109" s="178"/>
      <c r="AB109" s="178"/>
      <c r="AC109" s="178"/>
      <c r="AD109" s="186"/>
      <c r="AE109" s="186"/>
      <c r="AF109" s="186"/>
      <c r="AG109" s="174">
        <v>0</v>
      </c>
      <c r="AH109" s="174">
        <v>3</v>
      </c>
      <c r="AI109" s="178">
        <f t="shared" si="111"/>
        <v>3</v>
      </c>
      <c r="AJ109" s="178"/>
      <c r="AK109" s="173"/>
      <c r="AL109" s="173"/>
      <c r="AM109" s="186"/>
      <c r="AN109" s="186"/>
      <c r="AO109" s="186"/>
      <c r="AP109" s="174">
        <v>0</v>
      </c>
      <c r="AQ109" s="174">
        <v>2</v>
      </c>
      <c r="AR109" s="178">
        <f t="shared" si="112"/>
        <v>2</v>
      </c>
      <c r="AS109" s="179">
        <f t="shared" si="113"/>
        <v>2</v>
      </c>
      <c r="AT109" s="179">
        <f t="shared" si="114"/>
        <v>5</v>
      </c>
      <c r="AU109" s="180">
        <f t="shared" si="115"/>
        <v>7</v>
      </c>
      <c r="AV109" s="180">
        <v>2</v>
      </c>
      <c r="AW109" s="180">
        <v>5</v>
      </c>
      <c r="AX109" s="176">
        <f t="shared" si="103"/>
        <v>0.4</v>
      </c>
      <c r="AY109" s="176">
        <v>0.4</v>
      </c>
      <c r="AZ109" s="176">
        <f t="shared" si="104"/>
        <v>0.12444444444444444</v>
      </c>
      <c r="BA109" s="175">
        <f t="shared" si="126"/>
        <v>0.15819209039548024</v>
      </c>
      <c r="BB109" s="175">
        <f t="shared" si="127"/>
        <v>0</v>
      </c>
      <c r="BC109" s="187">
        <f t="shared" si="128"/>
        <v>8</v>
      </c>
      <c r="BD109" s="188">
        <f t="shared" si="129"/>
        <v>27.999999999999996</v>
      </c>
      <c r="BE109" s="189"/>
      <c r="BF109" s="184">
        <v>24</v>
      </c>
      <c r="BG109" s="142" t="s">
        <v>97</v>
      </c>
      <c r="BH109" s="143" t="s">
        <v>68</v>
      </c>
      <c r="BI109" s="219"/>
      <c r="BJ109" s="219"/>
      <c r="BK109" s="174">
        <v>0</v>
      </c>
      <c r="BL109" s="174">
        <v>0</v>
      </c>
      <c r="BM109" s="174">
        <v>1</v>
      </c>
      <c r="BN109" s="174">
        <v>0</v>
      </c>
      <c r="BO109" s="174">
        <v>1</v>
      </c>
      <c r="BP109" s="174">
        <v>0</v>
      </c>
      <c r="BQ109" s="174">
        <v>0</v>
      </c>
      <c r="BR109" s="174">
        <v>0</v>
      </c>
      <c r="BS109" s="174">
        <v>0</v>
      </c>
      <c r="BT109" s="174">
        <v>0</v>
      </c>
      <c r="BU109" s="174">
        <v>0</v>
      </c>
      <c r="BV109" s="174">
        <v>0</v>
      </c>
      <c r="BW109" s="174">
        <v>0</v>
      </c>
      <c r="BX109" s="174">
        <v>0</v>
      </c>
      <c r="BY109" s="173">
        <f t="shared" si="130"/>
        <v>2</v>
      </c>
      <c r="BZ109" s="173">
        <f t="shared" si="131"/>
        <v>0</v>
      </c>
      <c r="CA109" s="180">
        <f t="shared" si="132"/>
        <v>2</v>
      </c>
    </row>
    <row r="110" spans="1:79" ht="80.099999999999994" customHeight="1">
      <c r="A110" s="173">
        <v>25</v>
      </c>
      <c r="B110" s="142" t="s">
        <v>98</v>
      </c>
      <c r="C110" s="143" t="s">
        <v>49</v>
      </c>
      <c r="D110" s="145">
        <v>100000</v>
      </c>
      <c r="E110" s="144">
        <f t="shared" si="110"/>
        <v>101.25</v>
      </c>
      <c r="F110" s="145">
        <v>45</v>
      </c>
      <c r="G110" s="186">
        <v>8</v>
      </c>
      <c r="H110" s="186">
        <v>12</v>
      </c>
      <c r="I110" s="173">
        <f t="shared" si="122"/>
        <v>20</v>
      </c>
      <c r="J110" s="173">
        <v>20</v>
      </c>
      <c r="K110" s="173">
        <f t="shared" si="98"/>
        <v>10</v>
      </c>
      <c r="L110" s="186">
        <v>2</v>
      </c>
      <c r="M110" s="186">
        <v>2</v>
      </c>
      <c r="N110" s="173">
        <f t="shared" si="123"/>
        <v>4</v>
      </c>
      <c r="O110" s="186">
        <v>1</v>
      </c>
      <c r="P110" s="186">
        <v>0</v>
      </c>
      <c r="Q110" s="173">
        <f t="shared" si="124"/>
        <v>1</v>
      </c>
      <c r="R110" s="186">
        <v>2</v>
      </c>
      <c r="S110" s="186">
        <v>3</v>
      </c>
      <c r="T110" s="173">
        <f t="shared" si="133"/>
        <v>5</v>
      </c>
      <c r="U110" s="173"/>
      <c r="V110" s="173"/>
      <c r="W110" s="173"/>
      <c r="X110" s="173"/>
      <c r="Y110" s="173"/>
      <c r="Z110" s="175">
        <f t="shared" si="125"/>
        <v>1</v>
      </c>
      <c r="AA110" s="178"/>
      <c r="AB110" s="178"/>
      <c r="AC110" s="178"/>
      <c r="AD110" s="186"/>
      <c r="AE110" s="186"/>
      <c r="AF110" s="186"/>
      <c r="AG110" s="186">
        <v>4</v>
      </c>
      <c r="AH110" s="186">
        <v>6</v>
      </c>
      <c r="AI110" s="178">
        <f t="shared" si="111"/>
        <v>10</v>
      </c>
      <c r="AJ110" s="178"/>
      <c r="AK110" s="173"/>
      <c r="AL110" s="173"/>
      <c r="AM110" s="186"/>
      <c r="AN110" s="186"/>
      <c r="AO110" s="186"/>
      <c r="AP110" s="186">
        <v>9</v>
      </c>
      <c r="AQ110" s="186">
        <v>20</v>
      </c>
      <c r="AR110" s="178">
        <f t="shared" si="112"/>
        <v>29</v>
      </c>
      <c r="AS110" s="179">
        <f t="shared" si="113"/>
        <v>26</v>
      </c>
      <c r="AT110" s="179">
        <f t="shared" si="114"/>
        <v>43</v>
      </c>
      <c r="AU110" s="180">
        <f t="shared" si="115"/>
        <v>69</v>
      </c>
      <c r="AV110" s="180">
        <v>26</v>
      </c>
      <c r="AW110" s="180">
        <v>43</v>
      </c>
      <c r="AX110" s="176">
        <f t="shared" si="103"/>
        <v>0.66666666666666663</v>
      </c>
      <c r="AY110" s="176">
        <v>0.67</v>
      </c>
      <c r="AZ110" s="176">
        <f t="shared" si="104"/>
        <v>0.68148148148148147</v>
      </c>
      <c r="BA110" s="175">
        <f t="shared" si="126"/>
        <v>1.5593220338983051</v>
      </c>
      <c r="BB110" s="175">
        <f t="shared" si="127"/>
        <v>0.14492753623188406</v>
      </c>
      <c r="BC110" s="187">
        <f t="shared" si="128"/>
        <v>80</v>
      </c>
      <c r="BD110" s="188">
        <f t="shared" si="129"/>
        <v>276</v>
      </c>
      <c r="BE110" s="189"/>
      <c r="BF110" s="184">
        <v>25</v>
      </c>
      <c r="BG110" s="142" t="s">
        <v>98</v>
      </c>
      <c r="BH110" s="143" t="s">
        <v>49</v>
      </c>
      <c r="BI110" s="219"/>
      <c r="BJ110" s="219"/>
      <c r="BK110" s="186">
        <v>0</v>
      </c>
      <c r="BL110" s="186">
        <v>2</v>
      </c>
      <c r="BM110" s="186">
        <v>3</v>
      </c>
      <c r="BN110" s="186">
        <v>6</v>
      </c>
      <c r="BO110" s="186">
        <v>1</v>
      </c>
      <c r="BP110" s="186">
        <v>0</v>
      </c>
      <c r="BQ110" s="186">
        <v>1</v>
      </c>
      <c r="BR110" s="186">
        <v>2</v>
      </c>
      <c r="BS110" s="186">
        <v>2</v>
      </c>
      <c r="BT110" s="186">
        <v>0</v>
      </c>
      <c r="BU110" s="186">
        <v>1</v>
      </c>
      <c r="BV110" s="186">
        <v>1</v>
      </c>
      <c r="BW110" s="186">
        <v>0</v>
      </c>
      <c r="BX110" s="186">
        <v>1</v>
      </c>
      <c r="BY110" s="173">
        <f t="shared" si="130"/>
        <v>8</v>
      </c>
      <c r="BZ110" s="173">
        <f t="shared" si="131"/>
        <v>12</v>
      </c>
      <c r="CA110" s="180">
        <f t="shared" si="132"/>
        <v>20</v>
      </c>
    </row>
    <row r="111" spans="1:79" ht="80.099999999999994" customHeight="1">
      <c r="A111" s="179">
        <v>26</v>
      </c>
      <c r="B111" s="143" t="s">
        <v>125</v>
      </c>
      <c r="C111" s="143" t="s">
        <v>85</v>
      </c>
      <c r="D111" s="147">
        <v>150000</v>
      </c>
      <c r="E111" s="144">
        <f t="shared" si="110"/>
        <v>56.25</v>
      </c>
      <c r="F111" s="147">
        <v>25</v>
      </c>
      <c r="G111" s="174">
        <v>0</v>
      </c>
      <c r="H111" s="174">
        <v>2</v>
      </c>
      <c r="I111" s="173">
        <f t="shared" si="122"/>
        <v>2</v>
      </c>
      <c r="J111" s="173">
        <v>2</v>
      </c>
      <c r="K111" s="173">
        <f t="shared" si="98"/>
        <v>0</v>
      </c>
      <c r="L111" s="186"/>
      <c r="M111" s="186"/>
      <c r="N111" s="173">
        <f t="shared" si="123"/>
        <v>0</v>
      </c>
      <c r="O111" s="186"/>
      <c r="P111" s="186"/>
      <c r="Q111" s="173">
        <f t="shared" si="124"/>
        <v>0</v>
      </c>
      <c r="R111" s="186"/>
      <c r="S111" s="186"/>
      <c r="T111" s="173">
        <f>SUM(Q111,N111)</f>
        <v>0</v>
      </c>
      <c r="U111" s="173"/>
      <c r="V111" s="173"/>
      <c r="W111" s="173"/>
      <c r="X111" s="173"/>
      <c r="Y111" s="173"/>
      <c r="Z111" s="175">
        <f t="shared" si="125"/>
        <v>6.6666666666666666E-2</v>
      </c>
      <c r="AA111" s="178"/>
      <c r="AB111" s="178"/>
      <c r="AC111" s="178"/>
      <c r="AD111" s="186"/>
      <c r="AE111" s="186"/>
      <c r="AF111" s="186"/>
      <c r="AG111" s="174">
        <v>0</v>
      </c>
      <c r="AH111" s="174">
        <v>0</v>
      </c>
      <c r="AI111" s="178">
        <f t="shared" si="111"/>
        <v>0</v>
      </c>
      <c r="AJ111" s="178"/>
      <c r="AK111" s="173"/>
      <c r="AL111" s="173"/>
      <c r="AM111" s="186"/>
      <c r="AN111" s="186"/>
      <c r="AO111" s="186"/>
      <c r="AP111" s="174">
        <v>0</v>
      </c>
      <c r="AQ111" s="174">
        <v>0</v>
      </c>
      <c r="AR111" s="178">
        <f t="shared" si="112"/>
        <v>0</v>
      </c>
      <c r="AS111" s="179">
        <f t="shared" si="113"/>
        <v>0</v>
      </c>
      <c r="AT111" s="179">
        <f t="shared" si="114"/>
        <v>2</v>
      </c>
      <c r="AU111" s="180">
        <f t="shared" si="115"/>
        <v>2</v>
      </c>
      <c r="AV111" s="180">
        <v>0</v>
      </c>
      <c r="AW111" s="180">
        <v>2</v>
      </c>
      <c r="AX111" s="176">
        <f t="shared" si="103"/>
        <v>1</v>
      </c>
      <c r="AY111" s="176">
        <v>1</v>
      </c>
      <c r="AZ111" s="176">
        <f t="shared" si="104"/>
        <v>3.5555555555555556E-2</v>
      </c>
      <c r="BA111" s="175">
        <f t="shared" si="126"/>
        <v>3.0131826741996232E-2</v>
      </c>
      <c r="BB111" s="175">
        <f t="shared" si="127"/>
        <v>0</v>
      </c>
      <c r="BC111" s="187">
        <f t="shared" si="128"/>
        <v>5.333333333333333</v>
      </c>
      <c r="BD111" s="188">
        <f t="shared" si="129"/>
        <v>5.333333333333333</v>
      </c>
      <c r="BE111" s="189"/>
      <c r="BF111" s="184">
        <v>26</v>
      </c>
      <c r="BG111" s="143" t="s">
        <v>99</v>
      </c>
      <c r="BH111" s="143" t="s">
        <v>85</v>
      </c>
      <c r="BI111" s="219"/>
      <c r="BJ111" s="219"/>
      <c r="BK111" s="174">
        <v>0</v>
      </c>
      <c r="BL111" s="174">
        <v>1</v>
      </c>
      <c r="BM111" s="174">
        <v>0</v>
      </c>
      <c r="BN111" s="174">
        <v>0</v>
      </c>
      <c r="BO111" s="174">
        <v>0</v>
      </c>
      <c r="BP111" s="174">
        <v>1</v>
      </c>
      <c r="BQ111" s="174">
        <v>0</v>
      </c>
      <c r="BR111" s="174">
        <v>0</v>
      </c>
      <c r="BS111" s="174">
        <v>0</v>
      </c>
      <c r="BT111" s="174">
        <v>0</v>
      </c>
      <c r="BU111" s="174">
        <v>0</v>
      </c>
      <c r="BV111" s="174">
        <v>0</v>
      </c>
      <c r="BW111" s="174">
        <v>0</v>
      </c>
      <c r="BX111" s="174">
        <v>0</v>
      </c>
      <c r="BY111" s="173">
        <f t="shared" si="130"/>
        <v>0</v>
      </c>
      <c r="BZ111" s="173">
        <f t="shared" si="131"/>
        <v>2</v>
      </c>
      <c r="CA111" s="180">
        <f t="shared" si="132"/>
        <v>2</v>
      </c>
    </row>
    <row r="112" spans="1:79" ht="80.099999999999994" customHeight="1">
      <c r="A112" s="179">
        <v>27</v>
      </c>
      <c r="B112" s="143" t="s">
        <v>143</v>
      </c>
      <c r="C112" s="143" t="s">
        <v>85</v>
      </c>
      <c r="D112" s="147">
        <v>150000</v>
      </c>
      <c r="E112" s="144">
        <f>(F112*2)+F112*0.25</f>
        <v>56.25</v>
      </c>
      <c r="F112" s="147">
        <v>25</v>
      </c>
      <c r="G112" s="186">
        <v>2</v>
      </c>
      <c r="H112" s="186">
        <v>1</v>
      </c>
      <c r="I112" s="173">
        <f t="shared" si="122"/>
        <v>3</v>
      </c>
      <c r="J112" s="173">
        <v>3</v>
      </c>
      <c r="K112" s="173">
        <f t="shared" si="98"/>
        <v>0</v>
      </c>
      <c r="L112" s="186">
        <v>0</v>
      </c>
      <c r="M112" s="186">
        <v>0</v>
      </c>
      <c r="N112" s="173">
        <f t="shared" si="123"/>
        <v>0</v>
      </c>
      <c r="O112" s="186">
        <v>0</v>
      </c>
      <c r="P112" s="186">
        <v>0</v>
      </c>
      <c r="Q112" s="173">
        <f t="shared" si="124"/>
        <v>0</v>
      </c>
      <c r="R112" s="186">
        <v>0</v>
      </c>
      <c r="S112" s="186">
        <v>0</v>
      </c>
      <c r="T112" s="173">
        <f>SUM(R112:S112)</f>
        <v>0</v>
      </c>
      <c r="U112" s="173"/>
      <c r="V112" s="173"/>
      <c r="W112" s="173"/>
      <c r="X112" s="175"/>
      <c r="Y112" s="175"/>
      <c r="Z112" s="175">
        <f>I112*4/(D112*0.0008)</f>
        <v>0.1</v>
      </c>
      <c r="AA112" s="178"/>
      <c r="AB112" s="178"/>
      <c r="AC112" s="178"/>
      <c r="AD112" s="186"/>
      <c r="AE112" s="186"/>
      <c r="AF112" s="186"/>
      <c r="AG112" s="174">
        <v>2</v>
      </c>
      <c r="AH112" s="174">
        <v>2</v>
      </c>
      <c r="AI112" s="178">
        <f t="shared" si="111"/>
        <v>4</v>
      </c>
      <c r="AJ112" s="178"/>
      <c r="AK112" s="173"/>
      <c r="AL112" s="173"/>
      <c r="AM112" s="186"/>
      <c r="AN112" s="186"/>
      <c r="AO112" s="186"/>
      <c r="AP112" s="174">
        <v>1</v>
      </c>
      <c r="AQ112" s="174">
        <v>4</v>
      </c>
      <c r="AR112" s="178">
        <f t="shared" si="112"/>
        <v>5</v>
      </c>
      <c r="AS112" s="179">
        <f t="shared" si="113"/>
        <v>5</v>
      </c>
      <c r="AT112" s="179">
        <f t="shared" si="114"/>
        <v>7</v>
      </c>
      <c r="AU112" s="180">
        <f t="shared" si="115"/>
        <v>12</v>
      </c>
      <c r="AV112" s="180">
        <v>5</v>
      </c>
      <c r="AW112" s="180">
        <v>7</v>
      </c>
      <c r="AX112" s="176">
        <f t="shared" si="103"/>
        <v>0.42857142857142855</v>
      </c>
      <c r="AY112" s="176">
        <v>0.43</v>
      </c>
      <c r="AZ112" s="176">
        <f t="shared" si="104"/>
        <v>0.21333333333333335</v>
      </c>
      <c r="BA112" s="175">
        <f t="shared" si="126"/>
        <v>0.1807909604519774</v>
      </c>
      <c r="BB112" s="175">
        <f>(N112+Q112+T112)/AU112</f>
        <v>0</v>
      </c>
      <c r="BC112" s="187">
        <f>I112*4/D112*100000</f>
        <v>8</v>
      </c>
      <c r="BD112" s="188">
        <f t="shared" si="129"/>
        <v>32</v>
      </c>
      <c r="BE112" s="189"/>
      <c r="BF112" s="184">
        <v>27</v>
      </c>
      <c r="BG112" s="143" t="s">
        <v>143</v>
      </c>
      <c r="BH112" s="143" t="s">
        <v>85</v>
      </c>
      <c r="BI112" s="219"/>
      <c r="BJ112" s="219"/>
      <c r="BK112" s="186">
        <v>0</v>
      </c>
      <c r="BL112" s="186">
        <v>0</v>
      </c>
      <c r="BM112" s="186">
        <v>0</v>
      </c>
      <c r="BN112" s="186">
        <v>1</v>
      </c>
      <c r="BO112" s="186">
        <v>1</v>
      </c>
      <c r="BP112" s="186">
        <v>0</v>
      </c>
      <c r="BQ112" s="186">
        <v>0</v>
      </c>
      <c r="BR112" s="186">
        <v>0</v>
      </c>
      <c r="BS112" s="186">
        <v>0</v>
      </c>
      <c r="BT112" s="186">
        <v>0</v>
      </c>
      <c r="BU112" s="186">
        <v>1</v>
      </c>
      <c r="BV112" s="186">
        <v>0</v>
      </c>
      <c r="BW112" s="186">
        <v>0</v>
      </c>
      <c r="BX112" s="186">
        <v>0</v>
      </c>
      <c r="BY112" s="179">
        <f>BK112+BM112+BO112+BQ112+BS112+BU112+BW112</f>
        <v>2</v>
      </c>
      <c r="BZ112" s="179">
        <f>BL112+BN112+BP112+BR112+BT112+BV112+BX112</f>
        <v>1</v>
      </c>
      <c r="CA112" s="185">
        <f t="shared" si="132"/>
        <v>3</v>
      </c>
    </row>
    <row r="113" spans="1:79" ht="124.5" customHeight="1">
      <c r="A113" s="510">
        <v>28</v>
      </c>
      <c r="B113" s="143" t="s">
        <v>157</v>
      </c>
      <c r="C113" s="143" t="s">
        <v>158</v>
      </c>
      <c r="D113" s="147"/>
      <c r="E113" s="144">
        <f>(F113*2)+F113*0.25</f>
        <v>56.25</v>
      </c>
      <c r="F113" s="147">
        <v>25</v>
      </c>
      <c r="G113" s="174">
        <v>0</v>
      </c>
      <c r="H113" s="174">
        <v>1</v>
      </c>
      <c r="I113" s="173">
        <f t="shared" si="122"/>
        <v>1</v>
      </c>
      <c r="J113" s="173">
        <v>1</v>
      </c>
      <c r="K113" s="173">
        <f t="shared" si="98"/>
        <v>0</v>
      </c>
      <c r="L113" s="186">
        <v>0</v>
      </c>
      <c r="M113" s="186">
        <v>0</v>
      </c>
      <c r="N113" s="173">
        <f t="shared" si="123"/>
        <v>0</v>
      </c>
      <c r="O113" s="186">
        <v>0</v>
      </c>
      <c r="P113" s="186">
        <v>0</v>
      </c>
      <c r="Q113" s="173">
        <f t="shared" si="124"/>
        <v>0</v>
      </c>
      <c r="R113" s="186">
        <v>0</v>
      </c>
      <c r="S113" s="186">
        <v>0</v>
      </c>
      <c r="T113" s="173">
        <f t="shared" si="133"/>
        <v>0</v>
      </c>
      <c r="U113" s="173"/>
      <c r="V113" s="173"/>
      <c r="W113" s="173"/>
      <c r="X113" s="173"/>
      <c r="Y113" s="173"/>
      <c r="Z113" s="175" t="e">
        <f t="shared" si="125"/>
        <v>#DIV/0!</v>
      </c>
      <c r="AA113" s="178"/>
      <c r="AB113" s="178"/>
      <c r="AC113" s="178"/>
      <c r="AD113" s="186"/>
      <c r="AE113" s="186"/>
      <c r="AF113" s="186"/>
      <c r="AG113" s="174">
        <v>0</v>
      </c>
      <c r="AH113" s="174">
        <v>0</v>
      </c>
      <c r="AI113" s="178">
        <f t="shared" si="111"/>
        <v>0</v>
      </c>
      <c r="AJ113" s="178"/>
      <c r="AK113" s="173"/>
      <c r="AL113" s="173"/>
      <c r="AM113" s="186"/>
      <c r="AN113" s="186"/>
      <c r="AO113" s="186"/>
      <c r="AP113" s="174">
        <v>0</v>
      </c>
      <c r="AQ113" s="174">
        <v>0</v>
      </c>
      <c r="AR113" s="178">
        <f t="shared" si="112"/>
        <v>0</v>
      </c>
      <c r="AS113" s="179">
        <f t="shared" si="113"/>
        <v>0</v>
      </c>
      <c r="AT113" s="179">
        <f t="shared" si="114"/>
        <v>1</v>
      </c>
      <c r="AU113" s="180">
        <f t="shared" si="115"/>
        <v>1</v>
      </c>
      <c r="AV113" s="180">
        <v>0</v>
      </c>
      <c r="AW113" s="180">
        <v>1</v>
      </c>
      <c r="AX113" s="176">
        <f t="shared" si="103"/>
        <v>1</v>
      </c>
      <c r="AY113" s="176">
        <v>1</v>
      </c>
      <c r="AZ113" s="176">
        <f t="shared" si="104"/>
        <v>1.7777777777777778E-2</v>
      </c>
      <c r="BA113" s="175" t="e">
        <f t="shared" si="126"/>
        <v>#DIV/0!</v>
      </c>
      <c r="BB113" s="175">
        <f t="shared" si="127"/>
        <v>0</v>
      </c>
      <c r="BC113" s="187" t="e">
        <f t="shared" si="128"/>
        <v>#DIV/0!</v>
      </c>
      <c r="BD113" s="188" t="e">
        <f t="shared" si="129"/>
        <v>#DIV/0!</v>
      </c>
      <c r="BE113" s="189"/>
      <c r="BF113" s="184">
        <v>28</v>
      </c>
      <c r="BG113" s="143" t="s">
        <v>100</v>
      </c>
      <c r="BH113" s="143"/>
      <c r="BI113" s="219"/>
      <c r="BJ113" s="219"/>
      <c r="BK113" s="174">
        <v>0</v>
      </c>
      <c r="BL113" s="174">
        <v>0</v>
      </c>
      <c r="BM113" s="174">
        <v>0</v>
      </c>
      <c r="BN113" s="174">
        <v>0</v>
      </c>
      <c r="BO113" s="174">
        <v>0</v>
      </c>
      <c r="BP113" s="174">
        <v>1</v>
      </c>
      <c r="BQ113" s="174">
        <v>0</v>
      </c>
      <c r="BR113" s="174">
        <v>0</v>
      </c>
      <c r="BS113" s="174">
        <v>0</v>
      </c>
      <c r="BT113" s="174">
        <v>0</v>
      </c>
      <c r="BU113" s="174">
        <v>0</v>
      </c>
      <c r="BV113" s="174">
        <v>0</v>
      </c>
      <c r="BW113" s="174">
        <v>0</v>
      </c>
      <c r="BX113" s="174">
        <v>0</v>
      </c>
      <c r="BY113" s="173">
        <f t="shared" si="130"/>
        <v>0</v>
      </c>
      <c r="BZ113" s="173">
        <f t="shared" si="131"/>
        <v>1</v>
      </c>
      <c r="CA113" s="180">
        <f t="shared" si="132"/>
        <v>1</v>
      </c>
    </row>
    <row r="114" spans="1:79" ht="124.5" customHeight="1">
      <c r="A114" s="179">
        <v>29</v>
      </c>
      <c r="B114" s="143" t="s">
        <v>166</v>
      </c>
      <c r="C114" s="143" t="s">
        <v>168</v>
      </c>
      <c r="D114" s="147"/>
      <c r="E114" s="144"/>
      <c r="F114" s="147"/>
      <c r="G114" s="174">
        <v>7</v>
      </c>
      <c r="H114" s="174">
        <v>8</v>
      </c>
      <c r="I114" s="173">
        <f t="shared" si="122"/>
        <v>15</v>
      </c>
      <c r="J114" s="173">
        <v>15</v>
      </c>
      <c r="K114" s="173">
        <f t="shared" si="98"/>
        <v>2</v>
      </c>
      <c r="L114" s="186">
        <v>0</v>
      </c>
      <c r="M114" s="186">
        <v>0</v>
      </c>
      <c r="N114" s="173">
        <f t="shared" si="123"/>
        <v>0</v>
      </c>
      <c r="O114" s="186">
        <v>1</v>
      </c>
      <c r="P114" s="186">
        <v>1</v>
      </c>
      <c r="Q114" s="173">
        <f t="shared" si="124"/>
        <v>2</v>
      </c>
      <c r="R114" s="186">
        <v>0</v>
      </c>
      <c r="S114" s="186">
        <v>0</v>
      </c>
      <c r="T114" s="173">
        <f>SUM(T112:T113)</f>
        <v>0</v>
      </c>
      <c r="U114" s="173"/>
      <c r="V114" s="173"/>
      <c r="W114" s="173"/>
      <c r="X114" s="173"/>
      <c r="Y114" s="173"/>
      <c r="Z114" s="175" t="e">
        <f t="shared" si="125"/>
        <v>#DIV/0!</v>
      </c>
      <c r="AA114" s="178"/>
      <c r="AB114" s="178"/>
      <c r="AC114" s="178"/>
      <c r="AD114" s="186"/>
      <c r="AE114" s="186"/>
      <c r="AF114" s="186"/>
      <c r="AG114" s="174">
        <v>9</v>
      </c>
      <c r="AH114" s="174">
        <v>7</v>
      </c>
      <c r="AI114" s="173">
        <f>SUM(AG114:AH114)</f>
        <v>16</v>
      </c>
      <c r="AJ114" s="178"/>
      <c r="AK114" s="173"/>
      <c r="AL114" s="173"/>
      <c r="AM114" s="186"/>
      <c r="AN114" s="186"/>
      <c r="AO114" s="186"/>
      <c r="AP114" s="174">
        <v>1</v>
      </c>
      <c r="AQ114" s="174">
        <v>2</v>
      </c>
      <c r="AR114" s="173">
        <f>SUM(AP114:AQ114)</f>
        <v>3</v>
      </c>
      <c r="AS114" s="179">
        <f t="shared" si="113"/>
        <v>18</v>
      </c>
      <c r="AT114" s="179">
        <f t="shared" si="114"/>
        <v>18</v>
      </c>
      <c r="AU114" s="180">
        <f t="shared" si="115"/>
        <v>36</v>
      </c>
      <c r="AV114" s="180">
        <v>18</v>
      </c>
      <c r="AW114" s="180">
        <v>18</v>
      </c>
      <c r="AX114" s="176">
        <f t="shared" si="103"/>
        <v>0.4838709677419355</v>
      </c>
      <c r="AY114" s="176">
        <v>0.48</v>
      </c>
      <c r="AZ114" s="176"/>
      <c r="BA114" s="175" t="e">
        <f t="shared" si="126"/>
        <v>#DIV/0!</v>
      </c>
      <c r="BB114" s="175">
        <f t="shared" si="127"/>
        <v>5.5555555555555552E-2</v>
      </c>
      <c r="BC114" s="187" t="e">
        <f t="shared" si="128"/>
        <v>#DIV/0!</v>
      </c>
      <c r="BD114" s="188" t="e">
        <f t="shared" si="129"/>
        <v>#DIV/0!</v>
      </c>
      <c r="BE114" s="189"/>
      <c r="BF114" s="184"/>
      <c r="BG114" s="510">
        <v>29</v>
      </c>
      <c r="BH114" s="143" t="s">
        <v>166</v>
      </c>
      <c r="BI114" s="219"/>
      <c r="BJ114" s="219"/>
      <c r="BK114" s="174">
        <v>0</v>
      </c>
      <c r="BL114" s="174">
        <v>1</v>
      </c>
      <c r="BM114" s="174">
        <v>2</v>
      </c>
      <c r="BN114" s="174">
        <v>4</v>
      </c>
      <c r="BO114" s="174">
        <v>1</v>
      </c>
      <c r="BP114" s="174">
        <v>1</v>
      </c>
      <c r="BQ114" s="174">
        <v>1</v>
      </c>
      <c r="BR114" s="174">
        <v>2</v>
      </c>
      <c r="BS114" s="174">
        <v>3</v>
      </c>
      <c r="BT114" s="174">
        <v>0</v>
      </c>
      <c r="BU114" s="174">
        <v>0</v>
      </c>
      <c r="BV114" s="174">
        <v>0</v>
      </c>
      <c r="BW114" s="174">
        <v>0</v>
      </c>
      <c r="BX114" s="174">
        <v>0</v>
      </c>
      <c r="BY114" s="173">
        <f t="shared" si="130"/>
        <v>7</v>
      </c>
      <c r="BZ114" s="173">
        <f t="shared" si="131"/>
        <v>8</v>
      </c>
      <c r="CA114" s="180">
        <f t="shared" si="132"/>
        <v>15</v>
      </c>
    </row>
    <row r="115" spans="1:79" ht="124.5" customHeight="1">
      <c r="A115" s="179">
        <v>30</v>
      </c>
      <c r="B115" s="143" t="s">
        <v>167</v>
      </c>
      <c r="C115" s="143" t="s">
        <v>168</v>
      </c>
      <c r="D115" s="147"/>
      <c r="E115" s="144"/>
      <c r="F115" s="147"/>
      <c r="G115" s="174">
        <v>19</v>
      </c>
      <c r="H115" s="174">
        <v>12</v>
      </c>
      <c r="I115" s="173">
        <f t="shared" si="122"/>
        <v>31</v>
      </c>
      <c r="J115" s="173">
        <v>31</v>
      </c>
      <c r="K115" s="173">
        <f t="shared" si="98"/>
        <v>0</v>
      </c>
      <c r="L115" s="186">
        <v>0</v>
      </c>
      <c r="M115" s="186">
        <v>0</v>
      </c>
      <c r="N115" s="173">
        <f t="shared" si="123"/>
        <v>0</v>
      </c>
      <c r="O115" s="186">
        <v>0</v>
      </c>
      <c r="P115" s="186">
        <v>0</v>
      </c>
      <c r="Q115" s="173">
        <f t="shared" si="124"/>
        <v>0</v>
      </c>
      <c r="R115" s="186">
        <v>0</v>
      </c>
      <c r="S115" s="186">
        <v>0</v>
      </c>
      <c r="T115" s="173">
        <f t="shared" si="133"/>
        <v>0</v>
      </c>
      <c r="U115" s="173"/>
      <c r="V115" s="173"/>
      <c r="W115" s="173"/>
      <c r="X115" s="173"/>
      <c r="Y115" s="173"/>
      <c r="Z115" s="175" t="e">
        <f t="shared" si="125"/>
        <v>#DIV/0!</v>
      </c>
      <c r="AA115" s="178"/>
      <c r="AB115" s="178"/>
      <c r="AC115" s="178"/>
      <c r="AD115" s="186"/>
      <c r="AE115" s="186"/>
      <c r="AF115" s="186"/>
      <c r="AG115" s="174">
        <v>0</v>
      </c>
      <c r="AH115" s="174">
        <v>0</v>
      </c>
      <c r="AI115" s="178">
        <f>SUM(AG115:AH115)</f>
        <v>0</v>
      </c>
      <c r="AJ115" s="178"/>
      <c r="AK115" s="173"/>
      <c r="AL115" s="173"/>
      <c r="AM115" s="186"/>
      <c r="AN115" s="186"/>
      <c r="AO115" s="186"/>
      <c r="AP115" s="174">
        <v>1</v>
      </c>
      <c r="AQ115" s="174">
        <v>0</v>
      </c>
      <c r="AR115" s="178">
        <f>SUM(AP115:AQ115)</f>
        <v>1</v>
      </c>
      <c r="AS115" s="179">
        <f t="shared" si="113"/>
        <v>20</v>
      </c>
      <c r="AT115" s="179">
        <f t="shared" si="114"/>
        <v>12</v>
      </c>
      <c r="AU115" s="180">
        <f t="shared" si="115"/>
        <v>32</v>
      </c>
      <c r="AV115" s="180">
        <v>20</v>
      </c>
      <c r="AW115" s="180">
        <v>12</v>
      </c>
      <c r="AX115" s="176">
        <f t="shared" si="103"/>
        <v>1</v>
      </c>
      <c r="AY115" s="176">
        <v>1</v>
      </c>
      <c r="AZ115" s="176"/>
      <c r="BA115" s="175" t="e">
        <f t="shared" si="126"/>
        <v>#DIV/0!</v>
      </c>
      <c r="BB115" s="175">
        <f t="shared" si="127"/>
        <v>0</v>
      </c>
      <c r="BC115" s="187" t="e">
        <f t="shared" si="128"/>
        <v>#DIV/0!</v>
      </c>
      <c r="BD115" s="188" t="e">
        <f t="shared" si="129"/>
        <v>#DIV/0!</v>
      </c>
      <c r="BE115" s="189"/>
      <c r="BF115" s="184"/>
      <c r="BG115" s="510">
        <v>30</v>
      </c>
      <c r="BH115" s="143" t="s">
        <v>167</v>
      </c>
      <c r="BI115" s="219"/>
      <c r="BJ115" s="219"/>
      <c r="BK115" s="174">
        <v>0</v>
      </c>
      <c r="BL115" s="174">
        <v>0</v>
      </c>
      <c r="BM115" s="174">
        <v>0</v>
      </c>
      <c r="BN115" s="174">
        <v>2</v>
      </c>
      <c r="BO115" s="174">
        <v>7</v>
      </c>
      <c r="BP115" s="174">
        <v>3</v>
      </c>
      <c r="BQ115" s="174">
        <v>4</v>
      </c>
      <c r="BR115" s="174">
        <v>3</v>
      </c>
      <c r="BS115" s="174">
        <v>4</v>
      </c>
      <c r="BT115" s="174">
        <v>4</v>
      </c>
      <c r="BU115" s="174">
        <v>3</v>
      </c>
      <c r="BV115" s="174">
        <v>0</v>
      </c>
      <c r="BW115" s="174">
        <v>1</v>
      </c>
      <c r="BX115" s="174">
        <v>0</v>
      </c>
      <c r="BY115" s="173">
        <f t="shared" si="130"/>
        <v>19</v>
      </c>
      <c r="BZ115" s="173">
        <f t="shared" si="131"/>
        <v>12</v>
      </c>
      <c r="CA115" s="180">
        <f t="shared" si="132"/>
        <v>31</v>
      </c>
    </row>
    <row r="116" spans="1:79" ht="115.5" customHeight="1">
      <c r="A116" s="207"/>
      <c r="B116" s="160" t="s">
        <v>156</v>
      </c>
      <c r="C116" s="161" t="s">
        <v>101</v>
      </c>
      <c r="D116" s="162">
        <f>SUM(D97:D113)</f>
        <v>2000000</v>
      </c>
      <c r="E116" s="162">
        <f>SUM(E97:E113)</f>
        <v>956.25</v>
      </c>
      <c r="F116" s="162">
        <f>SUM(F97:F113)</f>
        <v>425</v>
      </c>
      <c r="G116" s="208">
        <f>SUM(G97:G115)</f>
        <v>71</v>
      </c>
      <c r="H116" s="208">
        <f>SUM(H97:H115)</f>
        <v>78</v>
      </c>
      <c r="I116" s="208">
        <f>G116+H116</f>
        <v>149</v>
      </c>
      <c r="J116" s="208">
        <v>149</v>
      </c>
      <c r="K116" s="173">
        <f t="shared" si="98"/>
        <v>21</v>
      </c>
      <c r="L116" s="208">
        <f t="shared" ref="L116:S116" si="134">SUM(L97:L115)</f>
        <v>5</v>
      </c>
      <c r="M116" s="208">
        <f t="shared" si="134"/>
        <v>6</v>
      </c>
      <c r="N116" s="208">
        <f t="shared" si="134"/>
        <v>11</v>
      </c>
      <c r="O116" s="208">
        <f t="shared" si="134"/>
        <v>2</v>
      </c>
      <c r="P116" s="208">
        <f t="shared" si="134"/>
        <v>1</v>
      </c>
      <c r="Q116" s="208">
        <f t="shared" si="134"/>
        <v>3</v>
      </c>
      <c r="R116" s="208">
        <f t="shared" si="134"/>
        <v>3</v>
      </c>
      <c r="S116" s="208">
        <f t="shared" si="134"/>
        <v>4</v>
      </c>
      <c r="T116" s="208">
        <f>SUM(R116:S116)</f>
        <v>7</v>
      </c>
      <c r="U116" s="208">
        <f>U113+U112+U111+U110+U109+U108+U107+U106+U105+U104+U103+U102+U101+U100+U99+U98+U97</f>
        <v>0</v>
      </c>
      <c r="V116" s="208">
        <f>V113+V112+V111+V110+V109+V108+V107+V106+V105+V104+V103+V102+V101+V100+V99+V98+V97</f>
        <v>0</v>
      </c>
      <c r="W116" s="208">
        <f>W113+W112+W111+W110+W109+W108+W107+W106+W105+W104+W103+W102+W101+W100+W99+W98+W97</f>
        <v>0</v>
      </c>
      <c r="X116" s="208"/>
      <c r="Y116" s="208"/>
      <c r="Z116" s="209">
        <f t="shared" si="125"/>
        <v>0.3725</v>
      </c>
      <c r="AA116" s="208">
        <f t="shared" ref="AA116:AF116" si="135">AA113+AA112+AA111+AA110+AA109+AA108+AA107+AA106+AA105+AA104+AA103+AA102+AA101+AA100+AA99+AA98+AA97</f>
        <v>0</v>
      </c>
      <c r="AB116" s="208">
        <f t="shared" si="135"/>
        <v>0</v>
      </c>
      <c r="AC116" s="208">
        <f t="shared" si="135"/>
        <v>0</v>
      </c>
      <c r="AD116" s="208">
        <f t="shared" si="135"/>
        <v>0</v>
      </c>
      <c r="AE116" s="208">
        <f t="shared" si="135"/>
        <v>0</v>
      </c>
      <c r="AF116" s="208">
        <f t="shared" si="135"/>
        <v>0</v>
      </c>
      <c r="AG116" s="208">
        <f>SUM(AG97:AG115)</f>
        <v>71</v>
      </c>
      <c r="AH116" s="208">
        <f>SUM(AH97:AH115)</f>
        <v>91</v>
      </c>
      <c r="AI116" s="178">
        <f t="shared" si="111"/>
        <v>162</v>
      </c>
      <c r="AJ116" s="208">
        <f t="shared" ref="AJ116:AO116" si="136">AJ113+AJ112+AJ111+AJ110+AJ109+AJ108+AJ107+AJ106+AJ105+AJ104+AJ103+AJ102+AJ101+AJ100+AJ99+AJ98+AJ97</f>
        <v>0</v>
      </c>
      <c r="AK116" s="208">
        <f t="shared" si="136"/>
        <v>0</v>
      </c>
      <c r="AL116" s="208">
        <f t="shared" si="136"/>
        <v>0</v>
      </c>
      <c r="AM116" s="208">
        <f t="shared" si="136"/>
        <v>0</v>
      </c>
      <c r="AN116" s="208">
        <f t="shared" si="136"/>
        <v>0</v>
      </c>
      <c r="AO116" s="208">
        <f t="shared" si="136"/>
        <v>0</v>
      </c>
      <c r="AP116" s="208">
        <f>SUM(AP97:AP115)</f>
        <v>33</v>
      </c>
      <c r="AQ116" s="208">
        <f>SUM(AQ97:AQ115)</f>
        <v>61</v>
      </c>
      <c r="AR116" s="178">
        <f t="shared" si="112"/>
        <v>94</v>
      </c>
      <c r="AS116" s="179">
        <f>SUM(AS97:AS115)</f>
        <v>185</v>
      </c>
      <c r="AT116" s="179">
        <f>SUM(AT97:AT115)</f>
        <v>241</v>
      </c>
      <c r="AU116" s="180">
        <f t="shared" si="115"/>
        <v>426</v>
      </c>
      <c r="AV116" s="180">
        <v>185</v>
      </c>
      <c r="AW116" s="180">
        <v>241</v>
      </c>
      <c r="AX116" s="176">
        <f t="shared" si="103"/>
        <v>0.47909967845659163</v>
      </c>
      <c r="AY116" s="176">
        <v>0.48</v>
      </c>
      <c r="AZ116" s="176">
        <f t="shared" si="104"/>
        <v>0.44549019607843138</v>
      </c>
      <c r="BA116" s="175">
        <f t="shared" si="126"/>
        <v>0.48135593220338985</v>
      </c>
      <c r="BB116" s="175">
        <f t="shared" si="127"/>
        <v>4.9295774647887321E-2</v>
      </c>
      <c r="BC116" s="187">
        <f t="shared" si="128"/>
        <v>29.799999999999997</v>
      </c>
      <c r="BD116" s="188">
        <f t="shared" si="129"/>
        <v>85.2</v>
      </c>
      <c r="BE116" s="189"/>
      <c r="BF116" s="210" t="s">
        <v>162</v>
      </c>
      <c r="BG116" s="160" t="s">
        <v>156</v>
      </c>
      <c r="BH116" s="161" t="s">
        <v>101</v>
      </c>
      <c r="BI116" s="219">
        <f>BI113+BI111+BI110+BI109+BI108+BI107+BI106+BI105+BI104+BI103+BI102+BI101+BI100+BI99+BI98+BI97</f>
        <v>0</v>
      </c>
      <c r="BJ116" s="219">
        <f>BJ113+BJ111+BJ110+BJ109+BJ108+BJ107+BJ106+BJ105+BJ104+BJ103+BJ102+BJ101+BJ100+BJ99+BJ98+BJ97</f>
        <v>0</v>
      </c>
      <c r="BK116" s="208">
        <f t="shared" ref="BK116:BZ116" si="137">SUM(BK97:BK115)</f>
        <v>0</v>
      </c>
      <c r="BL116" s="208">
        <f t="shared" si="137"/>
        <v>6</v>
      </c>
      <c r="BM116" s="208">
        <f t="shared" si="137"/>
        <v>14</v>
      </c>
      <c r="BN116" s="208">
        <f t="shared" si="137"/>
        <v>28</v>
      </c>
      <c r="BO116" s="208">
        <f t="shared" si="137"/>
        <v>23</v>
      </c>
      <c r="BP116" s="208">
        <f t="shared" si="137"/>
        <v>15</v>
      </c>
      <c r="BQ116" s="208">
        <f t="shared" si="137"/>
        <v>10</v>
      </c>
      <c r="BR116" s="208">
        <f t="shared" si="137"/>
        <v>13</v>
      </c>
      <c r="BS116" s="208">
        <f t="shared" si="137"/>
        <v>12</v>
      </c>
      <c r="BT116" s="208">
        <f t="shared" si="137"/>
        <v>8</v>
      </c>
      <c r="BU116" s="208">
        <f t="shared" si="137"/>
        <v>9</v>
      </c>
      <c r="BV116" s="208">
        <f t="shared" si="137"/>
        <v>6</v>
      </c>
      <c r="BW116" s="208">
        <f t="shared" si="137"/>
        <v>3</v>
      </c>
      <c r="BX116" s="208">
        <f t="shared" si="137"/>
        <v>2</v>
      </c>
      <c r="BY116" s="208">
        <f t="shared" si="137"/>
        <v>71</v>
      </c>
      <c r="BZ116" s="208">
        <f t="shared" si="137"/>
        <v>78</v>
      </c>
      <c r="CA116" s="191">
        <f>BY116+BZ116</f>
        <v>149</v>
      </c>
    </row>
    <row r="117" spans="1:79" ht="80.099999999999994" customHeight="1">
      <c r="A117" s="163" t="s">
        <v>111</v>
      </c>
      <c r="B117" s="164" t="s">
        <v>159</v>
      </c>
      <c r="C117" s="165" t="s">
        <v>113</v>
      </c>
      <c r="D117" s="166">
        <f>D116+D96+D92</f>
        <v>3470000</v>
      </c>
      <c r="E117" s="166">
        <f>E116+E96+E92</f>
        <v>1687.5</v>
      </c>
      <c r="F117" s="166">
        <f>F116+F96+F92</f>
        <v>750</v>
      </c>
      <c r="G117" s="211">
        <f>G116+G96+G92</f>
        <v>135</v>
      </c>
      <c r="H117" s="211">
        <f>H116+H96+H92</f>
        <v>150</v>
      </c>
      <c r="I117" s="211">
        <f t="shared" ref="I117:AO117" si="138">I116+I96+I92</f>
        <v>285</v>
      </c>
      <c r="J117" s="211">
        <v>285</v>
      </c>
      <c r="K117" s="173">
        <f t="shared" si="98"/>
        <v>26</v>
      </c>
      <c r="L117" s="211">
        <f t="shared" si="138"/>
        <v>7</v>
      </c>
      <c r="M117" s="211">
        <f t="shared" si="138"/>
        <v>9</v>
      </c>
      <c r="N117" s="211">
        <f t="shared" si="138"/>
        <v>16</v>
      </c>
      <c r="O117" s="211">
        <f t="shared" si="138"/>
        <v>2</v>
      </c>
      <c r="P117" s="211">
        <f t="shared" si="138"/>
        <v>1</v>
      </c>
      <c r="Q117" s="211">
        <f t="shared" si="138"/>
        <v>3</v>
      </c>
      <c r="R117" s="211">
        <f t="shared" si="138"/>
        <v>3</v>
      </c>
      <c r="S117" s="211">
        <f t="shared" si="138"/>
        <v>4</v>
      </c>
      <c r="T117" s="211">
        <f t="shared" si="138"/>
        <v>7</v>
      </c>
      <c r="U117" s="211">
        <f t="shared" si="138"/>
        <v>0</v>
      </c>
      <c r="V117" s="211">
        <f t="shared" si="138"/>
        <v>0</v>
      </c>
      <c r="W117" s="211">
        <f t="shared" si="138"/>
        <v>0</v>
      </c>
      <c r="X117" s="211"/>
      <c r="Y117" s="211"/>
      <c r="Z117" s="538">
        <f t="shared" si="138"/>
        <v>5.9050771324863884</v>
      </c>
      <c r="AA117" s="211">
        <f t="shared" si="138"/>
        <v>0</v>
      </c>
      <c r="AB117" s="211">
        <f t="shared" si="138"/>
        <v>0</v>
      </c>
      <c r="AC117" s="211">
        <f t="shared" si="138"/>
        <v>0</v>
      </c>
      <c r="AD117" s="211">
        <f t="shared" si="138"/>
        <v>0</v>
      </c>
      <c r="AE117" s="211">
        <f t="shared" si="138"/>
        <v>0</v>
      </c>
      <c r="AF117" s="211">
        <f t="shared" si="138"/>
        <v>0</v>
      </c>
      <c r="AG117" s="211">
        <f>AG116+AG96+AG92</f>
        <v>98</v>
      </c>
      <c r="AH117" s="211">
        <f>AH116+AH96+AH92</f>
        <v>130</v>
      </c>
      <c r="AI117" s="178">
        <f t="shared" si="111"/>
        <v>228</v>
      </c>
      <c r="AJ117" s="211">
        <f t="shared" si="138"/>
        <v>0</v>
      </c>
      <c r="AK117" s="211">
        <f t="shared" si="138"/>
        <v>0</v>
      </c>
      <c r="AL117" s="211">
        <f t="shared" si="138"/>
        <v>0</v>
      </c>
      <c r="AM117" s="211">
        <f t="shared" si="138"/>
        <v>0</v>
      </c>
      <c r="AN117" s="211">
        <f t="shared" si="138"/>
        <v>0</v>
      </c>
      <c r="AO117" s="211">
        <f t="shared" si="138"/>
        <v>0</v>
      </c>
      <c r="AP117" s="211">
        <f>AP116+AP96+AP92</f>
        <v>50</v>
      </c>
      <c r="AQ117" s="211">
        <f>AQ116+AQ96+AQ92</f>
        <v>77</v>
      </c>
      <c r="AR117" s="178">
        <f t="shared" si="112"/>
        <v>127</v>
      </c>
      <c r="AS117" s="211">
        <f>AS116+AS96+AS92</f>
        <v>295</v>
      </c>
      <c r="AT117" s="211">
        <f>AT116+AT96+AT92</f>
        <v>371</v>
      </c>
      <c r="AU117" s="180">
        <f t="shared" si="115"/>
        <v>666</v>
      </c>
      <c r="AV117" s="180"/>
      <c r="AW117" s="180"/>
      <c r="AX117" s="176">
        <f t="shared" si="103"/>
        <v>0.55555555555555558</v>
      </c>
      <c r="AY117" s="176">
        <v>0.56000000000000005</v>
      </c>
      <c r="AZ117" s="176">
        <f t="shared" si="104"/>
        <v>0.39466666666666667</v>
      </c>
      <c r="BA117" s="212">
        <f t="shared" si="126"/>
        <v>0.43374200166072385</v>
      </c>
      <c r="BB117" s="212">
        <f t="shared" si="127"/>
        <v>3.903903903903904E-2</v>
      </c>
      <c r="BC117" s="213">
        <f t="shared" si="128"/>
        <v>32.853025936599423</v>
      </c>
      <c r="BD117" s="214">
        <f t="shared" si="129"/>
        <v>76.772334293948134</v>
      </c>
      <c r="BE117" s="215"/>
      <c r="BF117" s="216" t="s">
        <v>111</v>
      </c>
      <c r="BG117" s="164" t="s">
        <v>159</v>
      </c>
      <c r="BH117" s="211"/>
      <c r="BI117" s="220">
        <f t="shared" ref="BI117:BZ117" si="139">BI116+BI96+BI92</f>
        <v>0</v>
      </c>
      <c r="BJ117" s="220">
        <f t="shared" si="139"/>
        <v>0</v>
      </c>
      <c r="BK117" s="211">
        <f t="shared" si="139"/>
        <v>0</v>
      </c>
      <c r="BL117" s="211">
        <f t="shared" si="139"/>
        <v>10</v>
      </c>
      <c r="BM117" s="211">
        <f t="shared" si="139"/>
        <v>37</v>
      </c>
      <c r="BN117" s="211">
        <f t="shared" si="139"/>
        <v>52</v>
      </c>
      <c r="BO117" s="211">
        <f t="shared" si="139"/>
        <v>36</v>
      </c>
      <c r="BP117" s="211">
        <f t="shared" si="139"/>
        <v>32</v>
      </c>
      <c r="BQ117" s="211">
        <f t="shared" si="139"/>
        <v>18</v>
      </c>
      <c r="BR117" s="211">
        <f t="shared" si="139"/>
        <v>21</v>
      </c>
      <c r="BS117" s="211">
        <f t="shared" si="139"/>
        <v>20</v>
      </c>
      <c r="BT117" s="211">
        <f t="shared" si="139"/>
        <v>15</v>
      </c>
      <c r="BU117" s="211">
        <f t="shared" si="139"/>
        <v>15</v>
      </c>
      <c r="BV117" s="211">
        <f t="shared" si="139"/>
        <v>12</v>
      </c>
      <c r="BW117" s="211">
        <f t="shared" si="139"/>
        <v>9</v>
      </c>
      <c r="BX117" s="211">
        <f t="shared" si="139"/>
        <v>8</v>
      </c>
      <c r="BY117" s="211">
        <f t="shared" si="139"/>
        <v>135</v>
      </c>
      <c r="BZ117" s="211">
        <f t="shared" si="139"/>
        <v>150</v>
      </c>
      <c r="CA117" s="191">
        <f>BY117+BZ117</f>
        <v>285</v>
      </c>
    </row>
    <row r="118" spans="1:79" ht="80.099999999999994" customHeight="1">
      <c r="A118" s="217"/>
      <c r="B118" s="217"/>
      <c r="C118" s="217"/>
      <c r="D118" s="217"/>
      <c r="E118" s="217"/>
      <c r="F118" s="217"/>
      <c r="G118" s="217"/>
      <c r="H118" s="217"/>
      <c r="I118" s="217">
        <f>I114+I115</f>
        <v>46</v>
      </c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  <c r="AT118" s="217"/>
      <c r="AU118" s="217"/>
      <c r="AV118" s="217"/>
      <c r="AW118" s="217"/>
      <c r="AX118" s="217"/>
      <c r="AY118" s="217"/>
      <c r="AZ118" s="217"/>
      <c r="BA118" s="217"/>
      <c r="BB118" s="217"/>
      <c r="BC118" s="217"/>
      <c r="BD118" s="217"/>
      <c r="BE118" s="217"/>
      <c r="BF118" s="217"/>
      <c r="BG118" s="217"/>
      <c r="BH118" s="217"/>
      <c r="BI118" s="221"/>
      <c r="BJ118" s="221"/>
      <c r="BK118" s="217"/>
      <c r="BL118" s="217"/>
      <c r="BM118" s="217"/>
      <c r="BN118" s="217"/>
      <c r="BO118" s="217"/>
      <c r="BP118" s="217"/>
      <c r="BQ118" s="217"/>
      <c r="BR118" s="217"/>
      <c r="BS118" s="217"/>
      <c r="BT118" s="217"/>
      <c r="BU118" s="217"/>
      <c r="BV118" s="217"/>
      <c r="BW118" s="217"/>
      <c r="BX118" s="217"/>
      <c r="BY118" s="217"/>
      <c r="BZ118" s="217"/>
      <c r="CA118" s="217"/>
    </row>
    <row r="119" spans="1:79" ht="80.099999999999994" customHeight="1">
      <c r="A119" s="869" t="s">
        <v>40</v>
      </c>
      <c r="B119" s="870"/>
      <c r="C119" s="171"/>
      <c r="D119" s="172"/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872" t="s">
        <v>40</v>
      </c>
      <c r="BG119" s="873"/>
      <c r="BH119" s="171"/>
      <c r="BI119" s="222"/>
      <c r="BJ119" s="22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2"/>
    </row>
    <row r="120" spans="1:79" ht="80.099999999999994" customHeight="1">
      <c r="A120" s="871" t="s">
        <v>104</v>
      </c>
      <c r="B120" s="871"/>
      <c r="C120" s="125"/>
      <c r="D120" s="126"/>
      <c r="E120" s="126"/>
      <c r="F120" s="126"/>
      <c r="G120" s="864" t="s">
        <v>34</v>
      </c>
      <c r="H120" s="864"/>
      <c r="I120" s="864"/>
      <c r="J120" s="864"/>
      <c r="K120" s="864"/>
      <c r="L120" s="864"/>
      <c r="M120" s="864"/>
      <c r="N120" s="864"/>
      <c r="O120" s="864"/>
      <c r="P120" s="864"/>
      <c r="Q120" s="864"/>
      <c r="R120" s="864"/>
      <c r="S120" s="864"/>
      <c r="T120" s="864"/>
      <c r="U120" s="127"/>
      <c r="V120" s="127"/>
      <c r="W120" s="127"/>
      <c r="X120" s="127"/>
      <c r="Y120" s="127"/>
      <c r="Z120" s="128"/>
      <c r="AA120" s="864" t="s">
        <v>28</v>
      </c>
      <c r="AB120" s="864"/>
      <c r="AC120" s="864"/>
      <c r="AD120" s="864"/>
      <c r="AE120" s="864"/>
      <c r="AF120" s="864"/>
      <c r="AG120" s="864"/>
      <c r="AH120" s="864"/>
      <c r="AI120" s="864"/>
      <c r="AJ120" s="864" t="s">
        <v>35</v>
      </c>
      <c r="AK120" s="864"/>
      <c r="AL120" s="864"/>
      <c r="AM120" s="864"/>
      <c r="AN120" s="864"/>
      <c r="AO120" s="864"/>
      <c r="AP120" s="864"/>
      <c r="AQ120" s="864"/>
      <c r="AR120" s="864"/>
      <c r="AS120" s="129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1"/>
      <c r="BE120" s="130"/>
      <c r="BF120" s="874" t="s">
        <v>104</v>
      </c>
      <c r="BG120" s="875"/>
      <c r="BH120" s="132"/>
      <c r="BI120" s="223"/>
      <c r="BJ120" s="223"/>
      <c r="BK120" s="133"/>
      <c r="BL120" s="133"/>
      <c r="BM120" s="133"/>
      <c r="BN120" s="133"/>
      <c r="BO120" s="133"/>
      <c r="BP120" s="133"/>
      <c r="BQ120" s="133"/>
      <c r="BR120" s="133"/>
      <c r="BS120" s="133"/>
      <c r="BT120" s="133"/>
      <c r="BU120" s="133"/>
      <c r="BV120" s="133"/>
      <c r="BW120" s="133"/>
      <c r="BX120" s="133"/>
      <c r="BY120" s="133"/>
      <c r="BZ120" s="133"/>
      <c r="CA120" s="133"/>
    </row>
    <row r="121" spans="1:79" ht="80.099999999999994" customHeight="1">
      <c r="A121" s="868" t="s">
        <v>2</v>
      </c>
      <c r="B121" s="868"/>
      <c r="C121" s="134"/>
      <c r="D121" s="135"/>
      <c r="E121" s="135"/>
      <c r="F121" s="135"/>
      <c r="G121" s="864" t="s">
        <v>10</v>
      </c>
      <c r="H121" s="864"/>
      <c r="I121" s="864"/>
      <c r="J121" s="121"/>
      <c r="K121" s="121"/>
      <c r="L121" s="864" t="s">
        <v>29</v>
      </c>
      <c r="M121" s="864"/>
      <c r="N121" s="864"/>
      <c r="O121" s="864"/>
      <c r="P121" s="864"/>
      <c r="Q121" s="864"/>
      <c r="R121" s="864"/>
      <c r="S121" s="864"/>
      <c r="T121" s="864"/>
      <c r="U121" s="136"/>
      <c r="V121" s="136"/>
      <c r="W121" s="136"/>
      <c r="X121" s="136"/>
      <c r="Y121" s="136"/>
      <c r="Z121" s="137"/>
      <c r="AA121" s="864" t="s">
        <v>12</v>
      </c>
      <c r="AB121" s="864"/>
      <c r="AC121" s="864"/>
      <c r="AD121" s="864"/>
      <c r="AE121" s="864"/>
      <c r="AF121" s="864"/>
      <c r="AG121" s="864"/>
      <c r="AH121" s="864"/>
      <c r="AI121" s="864"/>
      <c r="AJ121" s="864"/>
      <c r="AK121" s="864"/>
      <c r="AL121" s="864"/>
      <c r="AM121" s="864"/>
      <c r="AN121" s="864"/>
      <c r="AO121" s="864"/>
      <c r="AP121" s="864"/>
      <c r="AQ121" s="864"/>
      <c r="AR121" s="864"/>
      <c r="AS121" s="134"/>
      <c r="AT121" s="138"/>
      <c r="AU121" s="138"/>
      <c r="AV121" s="138"/>
      <c r="AW121" s="138"/>
      <c r="AX121" s="139"/>
      <c r="AY121" s="139"/>
      <c r="AZ121" s="139"/>
      <c r="BA121" s="139"/>
      <c r="BB121" s="139"/>
      <c r="BC121" s="139"/>
      <c r="BD121" s="140"/>
      <c r="BE121" s="139"/>
      <c r="BF121" s="876" t="s">
        <v>3</v>
      </c>
      <c r="BG121" s="877"/>
      <c r="BH121" s="141"/>
      <c r="BI121" s="223"/>
      <c r="BJ121" s="223"/>
      <c r="BK121" s="133"/>
      <c r="BL121" s="133"/>
      <c r="BM121" s="133"/>
      <c r="BN121" s="133"/>
      <c r="BO121" s="133"/>
      <c r="BP121" s="133"/>
      <c r="BQ121" s="133"/>
      <c r="BR121" s="133"/>
      <c r="BS121" s="133"/>
      <c r="BT121" s="133"/>
      <c r="BU121" s="133"/>
      <c r="BV121" s="133"/>
      <c r="BW121" s="133"/>
      <c r="BX121" s="133"/>
      <c r="BY121" s="133"/>
      <c r="BZ121" s="133"/>
      <c r="CA121" s="133"/>
    </row>
    <row r="122" spans="1:79" ht="80.099999999999994" customHeight="1">
      <c r="A122" s="868" t="s">
        <v>0</v>
      </c>
      <c r="B122" s="878" t="s">
        <v>42</v>
      </c>
      <c r="C122" s="878" t="s">
        <v>43</v>
      </c>
      <c r="D122" s="868" t="s">
        <v>44</v>
      </c>
      <c r="E122" s="123"/>
      <c r="F122" s="880" t="s">
        <v>107</v>
      </c>
      <c r="G122" s="864"/>
      <c r="H122" s="864"/>
      <c r="I122" s="864"/>
      <c r="J122" s="121"/>
      <c r="K122" s="121"/>
      <c r="L122" s="864" t="s">
        <v>11</v>
      </c>
      <c r="M122" s="864"/>
      <c r="N122" s="864"/>
      <c r="O122" s="864" t="s">
        <v>38</v>
      </c>
      <c r="P122" s="864"/>
      <c r="Q122" s="864"/>
      <c r="R122" s="864" t="s">
        <v>39</v>
      </c>
      <c r="S122" s="864"/>
      <c r="T122" s="864"/>
      <c r="U122" s="865" t="s">
        <v>47</v>
      </c>
      <c r="V122" s="866"/>
      <c r="W122" s="867"/>
      <c r="X122" s="119"/>
      <c r="Y122" s="119"/>
      <c r="Z122" s="864" t="s">
        <v>13</v>
      </c>
      <c r="AA122" s="868" t="s">
        <v>30</v>
      </c>
      <c r="AB122" s="868"/>
      <c r="AC122" s="868" t="s">
        <v>23</v>
      </c>
      <c r="AD122" s="868"/>
      <c r="AE122" s="868" t="s">
        <v>31</v>
      </c>
      <c r="AF122" s="868"/>
      <c r="AG122" s="876" t="s">
        <v>12</v>
      </c>
      <c r="AH122" s="877"/>
      <c r="AI122" s="868" t="s">
        <v>32</v>
      </c>
      <c r="AJ122" s="868" t="s">
        <v>30</v>
      </c>
      <c r="AK122" s="868"/>
      <c r="AL122" s="868" t="s">
        <v>23</v>
      </c>
      <c r="AM122" s="868"/>
      <c r="AN122" s="868" t="s">
        <v>31</v>
      </c>
      <c r="AO122" s="868"/>
      <c r="AP122" s="876" t="s">
        <v>169</v>
      </c>
      <c r="AQ122" s="877"/>
      <c r="AR122" s="880" t="s">
        <v>32</v>
      </c>
      <c r="AS122" s="865" t="s">
        <v>33</v>
      </c>
      <c r="AT122" s="866"/>
      <c r="AU122" s="867"/>
      <c r="AV122" s="121"/>
      <c r="AW122" s="121"/>
      <c r="AX122" s="883" t="s">
        <v>22</v>
      </c>
      <c r="AY122" s="122"/>
      <c r="AZ122" s="122"/>
      <c r="BA122" s="864" t="s">
        <v>14</v>
      </c>
      <c r="BB122" s="864" t="s">
        <v>18</v>
      </c>
      <c r="BC122" s="864" t="s">
        <v>19</v>
      </c>
      <c r="BD122" s="864" t="s">
        <v>20</v>
      </c>
      <c r="BE122" s="119"/>
      <c r="BF122" s="877" t="s">
        <v>0</v>
      </c>
      <c r="BG122" s="878" t="s">
        <v>42</v>
      </c>
      <c r="BH122" s="878" t="s">
        <v>43</v>
      </c>
      <c r="BI122" s="886" t="s">
        <v>36</v>
      </c>
      <c r="BJ122" s="886"/>
      <c r="BK122" s="885" t="s">
        <v>141</v>
      </c>
      <c r="BL122" s="885"/>
      <c r="BM122" s="868" t="s">
        <v>4</v>
      </c>
      <c r="BN122" s="868"/>
      <c r="BO122" s="868" t="s">
        <v>5</v>
      </c>
      <c r="BP122" s="868"/>
      <c r="BQ122" s="868" t="s">
        <v>6</v>
      </c>
      <c r="BR122" s="868"/>
      <c r="BS122" s="868" t="s">
        <v>7</v>
      </c>
      <c r="BT122" s="868"/>
      <c r="BU122" s="868" t="s">
        <v>8</v>
      </c>
      <c r="BV122" s="868"/>
      <c r="BW122" s="868" t="s">
        <v>9</v>
      </c>
      <c r="BX122" s="868"/>
      <c r="BY122" s="868" t="s">
        <v>21</v>
      </c>
      <c r="BZ122" s="868"/>
      <c r="CA122" s="868"/>
    </row>
    <row r="123" spans="1:79" ht="80.099999999999994" customHeight="1">
      <c r="A123" s="868"/>
      <c r="B123" s="879"/>
      <c r="C123" s="879"/>
      <c r="D123" s="868"/>
      <c r="E123" s="124"/>
      <c r="F123" s="881"/>
      <c r="G123" s="121" t="s">
        <v>16</v>
      </c>
      <c r="H123" s="121" t="s">
        <v>17</v>
      </c>
      <c r="I123" s="121" t="s">
        <v>32</v>
      </c>
      <c r="J123" s="121"/>
      <c r="K123" s="121"/>
      <c r="L123" s="121" t="s">
        <v>16</v>
      </c>
      <c r="M123" s="121" t="s">
        <v>17</v>
      </c>
      <c r="N123" s="121" t="s">
        <v>32</v>
      </c>
      <c r="O123" s="121" t="s">
        <v>16</v>
      </c>
      <c r="P123" s="121" t="s">
        <v>17</v>
      </c>
      <c r="Q123" s="121" t="s">
        <v>32</v>
      </c>
      <c r="R123" s="121" t="s">
        <v>16</v>
      </c>
      <c r="S123" s="121" t="s">
        <v>17</v>
      </c>
      <c r="T123" s="121" t="s">
        <v>32</v>
      </c>
      <c r="U123" s="121" t="s">
        <v>16</v>
      </c>
      <c r="V123" s="121" t="s">
        <v>17</v>
      </c>
      <c r="W123" s="121" t="s">
        <v>32</v>
      </c>
      <c r="X123" s="121"/>
      <c r="Y123" s="121"/>
      <c r="Z123" s="864"/>
      <c r="AA123" s="121" t="s">
        <v>16</v>
      </c>
      <c r="AB123" s="121" t="s">
        <v>17</v>
      </c>
      <c r="AC123" s="121" t="s">
        <v>16</v>
      </c>
      <c r="AD123" s="121" t="s">
        <v>17</v>
      </c>
      <c r="AE123" s="121" t="s">
        <v>16</v>
      </c>
      <c r="AF123" s="121" t="s">
        <v>17</v>
      </c>
      <c r="AG123" s="121" t="s">
        <v>16</v>
      </c>
      <c r="AH123" s="121" t="s">
        <v>17</v>
      </c>
      <c r="AI123" s="868"/>
      <c r="AJ123" s="121" t="s">
        <v>16</v>
      </c>
      <c r="AK123" s="121" t="s">
        <v>17</v>
      </c>
      <c r="AL123" s="121" t="s">
        <v>16</v>
      </c>
      <c r="AM123" s="121" t="s">
        <v>17</v>
      </c>
      <c r="AN123" s="121" t="s">
        <v>16</v>
      </c>
      <c r="AO123" s="121" t="s">
        <v>17</v>
      </c>
      <c r="AP123" s="121" t="s">
        <v>16</v>
      </c>
      <c r="AQ123" s="121" t="s">
        <v>17</v>
      </c>
      <c r="AR123" s="881"/>
      <c r="AS123" s="121" t="s">
        <v>16</v>
      </c>
      <c r="AT123" s="121" t="s">
        <v>17</v>
      </c>
      <c r="AU123" s="121" t="s">
        <v>32</v>
      </c>
      <c r="AV123" s="121"/>
      <c r="AW123" s="121"/>
      <c r="AX123" s="884"/>
      <c r="AY123" s="122"/>
      <c r="AZ123" s="122"/>
      <c r="BA123" s="864"/>
      <c r="BB123" s="864"/>
      <c r="BC123" s="864"/>
      <c r="BD123" s="864"/>
      <c r="BE123" s="119"/>
      <c r="BF123" s="877"/>
      <c r="BG123" s="879"/>
      <c r="BH123" s="879"/>
      <c r="BI123" s="218" t="s">
        <v>16</v>
      </c>
      <c r="BJ123" s="218" t="s">
        <v>17</v>
      </c>
      <c r="BK123" s="121" t="s">
        <v>16</v>
      </c>
      <c r="BL123" s="121" t="s">
        <v>17</v>
      </c>
      <c r="BM123" s="121" t="s">
        <v>16</v>
      </c>
      <c r="BN123" s="121" t="s">
        <v>17</v>
      </c>
      <c r="BO123" s="121" t="s">
        <v>16</v>
      </c>
      <c r="BP123" s="121" t="s">
        <v>17</v>
      </c>
      <c r="BQ123" s="121" t="s">
        <v>16</v>
      </c>
      <c r="BR123" s="121" t="s">
        <v>17</v>
      </c>
      <c r="BS123" s="121" t="s">
        <v>16</v>
      </c>
      <c r="BT123" s="121" t="s">
        <v>17</v>
      </c>
      <c r="BU123" s="121" t="s">
        <v>16</v>
      </c>
      <c r="BV123" s="121" t="s">
        <v>17</v>
      </c>
      <c r="BW123" s="121" t="s">
        <v>16</v>
      </c>
      <c r="BX123" s="121" t="s">
        <v>17</v>
      </c>
      <c r="BY123" s="121" t="s">
        <v>16</v>
      </c>
      <c r="BZ123" s="121" t="s">
        <v>17</v>
      </c>
      <c r="CA123" s="120" t="s">
        <v>32</v>
      </c>
    </row>
    <row r="124" spans="1:79" ht="80.099999999999994" customHeight="1">
      <c r="A124" s="173">
        <v>1</v>
      </c>
      <c r="B124" s="142" t="s">
        <v>61</v>
      </c>
      <c r="C124" s="143" t="s">
        <v>62</v>
      </c>
      <c r="D124" s="144">
        <v>100000</v>
      </c>
      <c r="E124" s="144">
        <f>(F124*2)+F124*0.25</f>
        <v>56.25</v>
      </c>
      <c r="F124" s="144">
        <v>25</v>
      </c>
      <c r="G124" s="174">
        <v>5</v>
      </c>
      <c r="H124" s="174">
        <v>5</v>
      </c>
      <c r="I124" s="173">
        <f t="shared" ref="I124:I131" si="140">SUM(G124:H124)</f>
        <v>10</v>
      </c>
      <c r="J124" s="173"/>
      <c r="K124" s="173"/>
      <c r="L124" s="174">
        <v>0</v>
      </c>
      <c r="M124" s="174">
        <v>0</v>
      </c>
      <c r="N124" s="173">
        <f t="shared" ref="N124:N131" si="141">SUM(L124:M124)</f>
        <v>0</v>
      </c>
      <c r="O124" s="174">
        <v>0</v>
      </c>
      <c r="P124" s="174">
        <v>0</v>
      </c>
      <c r="Q124" s="173">
        <f t="shared" ref="Q124:Q131" si="142">SUM(O124:P124)</f>
        <v>0</v>
      </c>
      <c r="R124" s="174">
        <v>0</v>
      </c>
      <c r="S124" s="174">
        <v>0</v>
      </c>
      <c r="T124" s="173">
        <f t="shared" ref="T124:T131" si="143">SUM(R124:S124)</f>
        <v>0</v>
      </c>
      <c r="U124" s="173"/>
      <c r="V124" s="173"/>
      <c r="W124" s="173"/>
      <c r="X124" s="173"/>
      <c r="Y124" s="173"/>
      <c r="Z124" s="176">
        <f t="shared" ref="Z124:Z131" si="144">I124*4/(D124*0.0008)</f>
        <v>0.5</v>
      </c>
      <c r="AA124" s="177"/>
      <c r="AB124" s="177"/>
      <c r="AC124" s="177"/>
      <c r="AD124" s="174"/>
      <c r="AE124" s="174"/>
      <c r="AF124" s="174"/>
      <c r="AG124" s="174">
        <v>2</v>
      </c>
      <c r="AH124" s="174">
        <v>9</v>
      </c>
      <c r="AI124" s="178">
        <f>AG124+AH124</f>
        <v>11</v>
      </c>
      <c r="AJ124" s="177"/>
      <c r="AK124" s="179"/>
      <c r="AL124" s="179"/>
      <c r="AM124" s="174"/>
      <c r="AN124" s="174"/>
      <c r="AO124" s="174"/>
      <c r="AP124" s="174">
        <v>0</v>
      </c>
      <c r="AQ124" s="174">
        <v>2</v>
      </c>
      <c r="AR124" s="178">
        <f t="shared" ref="AR124:AR135" si="145">AP124+AQ124</f>
        <v>2</v>
      </c>
      <c r="AS124" s="179">
        <f t="shared" ref="AS124:AS155" si="146">G124+L124+O124+R124+U124+AG124+AP124</f>
        <v>7</v>
      </c>
      <c r="AT124" s="179">
        <f t="shared" ref="AT124:AT155" si="147">H124+M124+P124+S124+V124+AH124+AQ124</f>
        <v>16</v>
      </c>
      <c r="AU124" s="180">
        <f t="shared" ref="AU124:AU155" si="148">AS124+AT124</f>
        <v>23</v>
      </c>
      <c r="AV124" s="180"/>
      <c r="AW124" s="180"/>
      <c r="AX124" s="176">
        <f t="shared" ref="AX124:AX157" si="149">(I124)/(I124+AI124)</f>
        <v>0.47619047619047616</v>
      </c>
      <c r="AY124" s="176"/>
      <c r="AZ124" s="176">
        <f t="shared" ref="AZ124:AZ157" si="150">AU124/E124</f>
        <v>0.40888888888888891</v>
      </c>
      <c r="BA124" s="176">
        <f t="shared" ref="BA124:BA131" si="151">AU124*4/(D124*0.00177)</f>
        <v>0.51977401129943501</v>
      </c>
      <c r="BB124" s="176">
        <f t="shared" ref="BB124:BB131" si="152">(N124+Q124+T124)/AU124</f>
        <v>0</v>
      </c>
      <c r="BC124" s="181">
        <f t="shared" ref="BC124:BC131" si="153">I124*4/D124*100000</f>
        <v>40</v>
      </c>
      <c r="BD124" s="182">
        <f t="shared" ref="BD124:BD131" si="154">AU124*4/D124*100000</f>
        <v>92</v>
      </c>
      <c r="BE124" s="183"/>
      <c r="BF124" s="184">
        <v>1</v>
      </c>
      <c r="BG124" s="142" t="s">
        <v>61</v>
      </c>
      <c r="BH124" s="143" t="s">
        <v>62</v>
      </c>
      <c r="BI124" s="219"/>
      <c r="BJ124" s="219"/>
      <c r="BK124" s="174">
        <v>0</v>
      </c>
      <c r="BL124" s="174">
        <v>0</v>
      </c>
      <c r="BM124" s="174">
        <v>1</v>
      </c>
      <c r="BN124" s="174">
        <v>4</v>
      </c>
      <c r="BO124" s="174">
        <v>1</v>
      </c>
      <c r="BP124" s="174">
        <v>0</v>
      </c>
      <c r="BQ124" s="174">
        <v>2</v>
      </c>
      <c r="BR124" s="174">
        <v>0</v>
      </c>
      <c r="BS124" s="174">
        <v>0</v>
      </c>
      <c r="BT124" s="174">
        <v>0</v>
      </c>
      <c r="BU124" s="174">
        <v>1</v>
      </c>
      <c r="BV124" s="174">
        <v>0</v>
      </c>
      <c r="BW124" s="174">
        <v>0</v>
      </c>
      <c r="BX124" s="174">
        <v>1</v>
      </c>
      <c r="BY124" s="179">
        <f t="shared" ref="BY124:BZ131" si="155">BW124+BU124+BS124+BQ124+BO124+BM124+BK124+BI124</f>
        <v>5</v>
      </c>
      <c r="BZ124" s="179">
        <f t="shared" si="155"/>
        <v>5</v>
      </c>
      <c r="CA124" s="185">
        <f>BZ124+BY124</f>
        <v>10</v>
      </c>
    </row>
    <row r="125" spans="1:79" ht="80.099999999999994" customHeight="1">
      <c r="A125" s="173">
        <v>2</v>
      </c>
      <c r="B125" s="142" t="s">
        <v>63</v>
      </c>
      <c r="C125" s="143" t="s">
        <v>51</v>
      </c>
      <c r="D125" s="145">
        <v>100000</v>
      </c>
      <c r="E125" s="144">
        <f t="shared" ref="E125:E151" si="156">(F125*2)+F125*0.25</f>
        <v>56.25</v>
      </c>
      <c r="F125" s="145">
        <v>25</v>
      </c>
      <c r="G125" s="174">
        <v>3</v>
      </c>
      <c r="H125" s="174">
        <v>2</v>
      </c>
      <c r="I125" s="173">
        <f t="shared" si="140"/>
        <v>5</v>
      </c>
      <c r="J125" s="173"/>
      <c r="K125" s="173"/>
      <c r="L125" s="174">
        <v>0</v>
      </c>
      <c r="M125" s="174">
        <v>0</v>
      </c>
      <c r="N125" s="173">
        <f t="shared" si="141"/>
        <v>0</v>
      </c>
      <c r="O125" s="174">
        <v>0</v>
      </c>
      <c r="P125" s="174">
        <v>0</v>
      </c>
      <c r="Q125" s="173">
        <f t="shared" si="142"/>
        <v>0</v>
      </c>
      <c r="R125" s="174">
        <v>0</v>
      </c>
      <c r="S125" s="174">
        <v>0</v>
      </c>
      <c r="T125" s="173">
        <f t="shared" si="143"/>
        <v>0</v>
      </c>
      <c r="U125" s="173"/>
      <c r="V125" s="173"/>
      <c r="W125" s="173"/>
      <c r="X125" s="173"/>
      <c r="Y125" s="173"/>
      <c r="Z125" s="175">
        <f t="shared" si="144"/>
        <v>0.25</v>
      </c>
      <c r="AA125" s="178"/>
      <c r="AB125" s="178"/>
      <c r="AC125" s="178"/>
      <c r="AD125" s="186"/>
      <c r="AE125" s="186"/>
      <c r="AF125" s="186"/>
      <c r="AG125" s="174">
        <v>0</v>
      </c>
      <c r="AH125" s="174">
        <v>2</v>
      </c>
      <c r="AI125" s="178">
        <f t="shared" ref="AI125:AI153" si="157">AG125+AH125</f>
        <v>2</v>
      </c>
      <c r="AJ125" s="178"/>
      <c r="AK125" s="173"/>
      <c r="AL125" s="173"/>
      <c r="AM125" s="186"/>
      <c r="AN125" s="186"/>
      <c r="AO125" s="186"/>
      <c r="AP125" s="174">
        <v>0</v>
      </c>
      <c r="AQ125" s="174">
        <v>2</v>
      </c>
      <c r="AR125" s="178">
        <f t="shared" si="145"/>
        <v>2</v>
      </c>
      <c r="AS125" s="179">
        <f t="shared" si="146"/>
        <v>3</v>
      </c>
      <c r="AT125" s="179">
        <f t="shared" si="147"/>
        <v>6</v>
      </c>
      <c r="AU125" s="180">
        <f t="shared" si="148"/>
        <v>9</v>
      </c>
      <c r="AV125" s="180"/>
      <c r="AW125" s="180"/>
      <c r="AX125" s="176">
        <f t="shared" si="149"/>
        <v>0.7142857142857143</v>
      </c>
      <c r="AY125" s="176"/>
      <c r="AZ125" s="176">
        <f t="shared" si="150"/>
        <v>0.16</v>
      </c>
      <c r="BA125" s="175">
        <f t="shared" si="151"/>
        <v>0.20338983050847459</v>
      </c>
      <c r="BB125" s="175">
        <f t="shared" si="152"/>
        <v>0</v>
      </c>
      <c r="BC125" s="187">
        <f t="shared" si="153"/>
        <v>20</v>
      </c>
      <c r="BD125" s="188">
        <f t="shared" si="154"/>
        <v>36</v>
      </c>
      <c r="BE125" s="189"/>
      <c r="BF125" s="184">
        <v>2</v>
      </c>
      <c r="BG125" s="142" t="s">
        <v>63</v>
      </c>
      <c r="BH125" s="143" t="s">
        <v>51</v>
      </c>
      <c r="BI125" s="219"/>
      <c r="BJ125" s="219"/>
      <c r="BK125" s="174">
        <v>0</v>
      </c>
      <c r="BL125" s="174">
        <v>0</v>
      </c>
      <c r="BM125" s="174">
        <v>1</v>
      </c>
      <c r="BN125" s="174">
        <v>1</v>
      </c>
      <c r="BO125" s="174">
        <v>0</v>
      </c>
      <c r="BP125" s="174">
        <v>0</v>
      </c>
      <c r="BQ125" s="174">
        <v>0</v>
      </c>
      <c r="BR125" s="174">
        <v>1</v>
      </c>
      <c r="BS125" s="174">
        <v>0</v>
      </c>
      <c r="BT125" s="174">
        <v>0</v>
      </c>
      <c r="BU125" s="174">
        <v>2</v>
      </c>
      <c r="BV125" s="174">
        <v>0</v>
      </c>
      <c r="BW125" s="174">
        <v>0</v>
      </c>
      <c r="BX125" s="174">
        <v>0</v>
      </c>
      <c r="BY125" s="173">
        <f t="shared" si="155"/>
        <v>3</v>
      </c>
      <c r="BZ125" s="173">
        <f t="shared" si="155"/>
        <v>2</v>
      </c>
      <c r="CA125" s="180">
        <f t="shared" ref="CA125:CA131" si="158">BZ125+BY125</f>
        <v>5</v>
      </c>
    </row>
    <row r="126" spans="1:79" ht="80.099999999999994" customHeight="1">
      <c r="A126" s="173">
        <v>3</v>
      </c>
      <c r="B126" s="142" t="s">
        <v>64</v>
      </c>
      <c r="C126" s="143" t="s">
        <v>65</v>
      </c>
      <c r="D126" s="145">
        <v>200000</v>
      </c>
      <c r="E126" s="144">
        <f t="shared" si="156"/>
        <v>67.5</v>
      </c>
      <c r="F126" s="145">
        <v>30</v>
      </c>
      <c r="G126" s="174">
        <v>9</v>
      </c>
      <c r="H126" s="174">
        <v>5</v>
      </c>
      <c r="I126" s="173">
        <f t="shared" si="140"/>
        <v>14</v>
      </c>
      <c r="J126" s="173"/>
      <c r="K126" s="173"/>
      <c r="L126" s="174">
        <v>0</v>
      </c>
      <c r="M126" s="174">
        <v>0</v>
      </c>
      <c r="N126" s="173">
        <f t="shared" si="141"/>
        <v>0</v>
      </c>
      <c r="O126" s="174">
        <v>0</v>
      </c>
      <c r="P126" s="174">
        <v>0</v>
      </c>
      <c r="Q126" s="173">
        <f t="shared" si="142"/>
        <v>0</v>
      </c>
      <c r="R126" s="174">
        <v>0</v>
      </c>
      <c r="S126" s="174">
        <v>0</v>
      </c>
      <c r="T126" s="173">
        <f t="shared" si="143"/>
        <v>0</v>
      </c>
      <c r="U126" s="173"/>
      <c r="V126" s="173"/>
      <c r="W126" s="173"/>
      <c r="X126" s="173"/>
      <c r="Y126" s="173"/>
      <c r="Z126" s="176">
        <f t="shared" si="144"/>
        <v>0.35</v>
      </c>
      <c r="AA126" s="177"/>
      <c r="AB126" s="177"/>
      <c r="AC126" s="177"/>
      <c r="AD126" s="174"/>
      <c r="AE126" s="174"/>
      <c r="AF126" s="174"/>
      <c r="AG126" s="174">
        <v>3</v>
      </c>
      <c r="AH126" s="174">
        <v>4</v>
      </c>
      <c r="AI126" s="178">
        <f t="shared" si="157"/>
        <v>7</v>
      </c>
      <c r="AJ126" s="177"/>
      <c r="AK126" s="179"/>
      <c r="AL126" s="179"/>
      <c r="AM126" s="174"/>
      <c r="AN126" s="174"/>
      <c r="AO126" s="174"/>
      <c r="AP126" s="174">
        <v>1</v>
      </c>
      <c r="AQ126" s="174">
        <v>1</v>
      </c>
      <c r="AR126" s="178">
        <f t="shared" si="145"/>
        <v>2</v>
      </c>
      <c r="AS126" s="179">
        <f t="shared" si="146"/>
        <v>13</v>
      </c>
      <c r="AT126" s="179">
        <f t="shared" si="147"/>
        <v>10</v>
      </c>
      <c r="AU126" s="180">
        <f t="shared" si="148"/>
        <v>23</v>
      </c>
      <c r="AV126" s="180"/>
      <c r="AW126" s="180"/>
      <c r="AX126" s="176">
        <f t="shared" si="149"/>
        <v>0.66666666666666663</v>
      </c>
      <c r="AY126" s="176"/>
      <c r="AZ126" s="176">
        <f t="shared" si="150"/>
        <v>0.34074074074074073</v>
      </c>
      <c r="BA126" s="176">
        <f t="shared" si="151"/>
        <v>0.25988700564971751</v>
      </c>
      <c r="BB126" s="176">
        <f t="shared" si="152"/>
        <v>0</v>
      </c>
      <c r="BC126" s="181">
        <f t="shared" si="153"/>
        <v>27.999999999999996</v>
      </c>
      <c r="BD126" s="182">
        <f t="shared" si="154"/>
        <v>46</v>
      </c>
      <c r="BE126" s="183"/>
      <c r="BF126" s="184">
        <v>3</v>
      </c>
      <c r="BG126" s="142" t="s">
        <v>64</v>
      </c>
      <c r="BH126" s="143" t="s">
        <v>65</v>
      </c>
      <c r="BI126" s="219"/>
      <c r="BJ126" s="219"/>
      <c r="BK126" s="174">
        <v>0</v>
      </c>
      <c r="BL126" s="174">
        <v>0</v>
      </c>
      <c r="BM126" s="174">
        <v>2</v>
      </c>
      <c r="BN126" s="174">
        <v>3</v>
      </c>
      <c r="BO126" s="174">
        <v>3</v>
      </c>
      <c r="BP126" s="174">
        <v>1</v>
      </c>
      <c r="BQ126" s="174">
        <v>3</v>
      </c>
      <c r="BR126" s="174">
        <v>0</v>
      </c>
      <c r="BS126" s="174">
        <v>0</v>
      </c>
      <c r="BT126" s="174">
        <v>1</v>
      </c>
      <c r="BU126" s="174">
        <v>0</v>
      </c>
      <c r="BV126" s="174">
        <v>0</v>
      </c>
      <c r="BW126" s="174">
        <v>1</v>
      </c>
      <c r="BX126" s="174">
        <v>0</v>
      </c>
      <c r="BY126" s="179">
        <f t="shared" si="155"/>
        <v>9</v>
      </c>
      <c r="BZ126" s="179">
        <f t="shared" si="155"/>
        <v>5</v>
      </c>
      <c r="CA126" s="185">
        <f t="shared" si="158"/>
        <v>14</v>
      </c>
    </row>
    <row r="127" spans="1:79" ht="80.099999999999994" customHeight="1">
      <c r="A127" s="173">
        <v>4</v>
      </c>
      <c r="B127" s="142" t="s">
        <v>66</v>
      </c>
      <c r="C127" s="143" t="s">
        <v>55</v>
      </c>
      <c r="D127" s="145">
        <v>150000</v>
      </c>
      <c r="E127" s="144">
        <f t="shared" si="156"/>
        <v>112.5</v>
      </c>
      <c r="F127" s="145">
        <v>50</v>
      </c>
      <c r="G127" s="174">
        <v>12</v>
      </c>
      <c r="H127" s="174">
        <v>19</v>
      </c>
      <c r="I127" s="173">
        <f t="shared" si="140"/>
        <v>31</v>
      </c>
      <c r="J127" s="173"/>
      <c r="K127" s="173"/>
      <c r="L127" s="174">
        <v>0</v>
      </c>
      <c r="M127" s="174">
        <v>1</v>
      </c>
      <c r="N127" s="173">
        <f t="shared" si="141"/>
        <v>1</v>
      </c>
      <c r="O127" s="174">
        <v>0</v>
      </c>
      <c r="P127" s="174">
        <v>0</v>
      </c>
      <c r="Q127" s="173">
        <f t="shared" si="142"/>
        <v>0</v>
      </c>
      <c r="R127" s="174">
        <v>0</v>
      </c>
      <c r="S127" s="174">
        <v>0</v>
      </c>
      <c r="T127" s="173">
        <f t="shared" si="143"/>
        <v>0</v>
      </c>
      <c r="U127" s="173"/>
      <c r="V127" s="173"/>
      <c r="W127" s="173"/>
      <c r="X127" s="173"/>
      <c r="Y127" s="173"/>
      <c r="Z127" s="175">
        <f t="shared" si="144"/>
        <v>1.0333333333333334</v>
      </c>
      <c r="AA127" s="178"/>
      <c r="AB127" s="178"/>
      <c r="AC127" s="178"/>
      <c r="AD127" s="186"/>
      <c r="AE127" s="186"/>
      <c r="AF127" s="186"/>
      <c r="AG127" s="174">
        <v>4</v>
      </c>
      <c r="AH127" s="174">
        <v>10</v>
      </c>
      <c r="AI127" s="178">
        <f t="shared" si="157"/>
        <v>14</v>
      </c>
      <c r="AJ127" s="178"/>
      <c r="AK127" s="173"/>
      <c r="AL127" s="173"/>
      <c r="AM127" s="186"/>
      <c r="AN127" s="186"/>
      <c r="AO127" s="186"/>
      <c r="AP127" s="174">
        <v>2</v>
      </c>
      <c r="AQ127" s="174">
        <v>6</v>
      </c>
      <c r="AR127" s="178">
        <f t="shared" si="145"/>
        <v>8</v>
      </c>
      <c r="AS127" s="179">
        <f t="shared" si="146"/>
        <v>18</v>
      </c>
      <c r="AT127" s="179">
        <f t="shared" si="147"/>
        <v>36</v>
      </c>
      <c r="AU127" s="180">
        <f t="shared" si="148"/>
        <v>54</v>
      </c>
      <c r="AV127" s="180"/>
      <c r="AW127" s="180"/>
      <c r="AX127" s="176">
        <f t="shared" si="149"/>
        <v>0.68888888888888888</v>
      </c>
      <c r="AY127" s="176"/>
      <c r="AZ127" s="176">
        <f t="shared" si="150"/>
        <v>0.48</v>
      </c>
      <c r="BA127" s="175">
        <f t="shared" si="151"/>
        <v>0.81355932203389836</v>
      </c>
      <c r="BB127" s="175">
        <f t="shared" si="152"/>
        <v>1.8518518518518517E-2</v>
      </c>
      <c r="BC127" s="187">
        <f t="shared" si="153"/>
        <v>82.666666666666657</v>
      </c>
      <c r="BD127" s="188">
        <f t="shared" si="154"/>
        <v>144</v>
      </c>
      <c r="BE127" s="189"/>
      <c r="BF127" s="184">
        <v>4</v>
      </c>
      <c r="BG127" s="142" t="s">
        <v>66</v>
      </c>
      <c r="BH127" s="143" t="s">
        <v>55</v>
      </c>
      <c r="BI127" s="219"/>
      <c r="BJ127" s="219"/>
      <c r="BK127" s="174">
        <v>0</v>
      </c>
      <c r="BL127" s="174">
        <v>0</v>
      </c>
      <c r="BM127" s="174">
        <v>2</v>
      </c>
      <c r="BN127" s="174">
        <v>9</v>
      </c>
      <c r="BO127" s="174">
        <v>6</v>
      </c>
      <c r="BP127" s="174">
        <v>2</v>
      </c>
      <c r="BQ127" s="174">
        <v>1</v>
      </c>
      <c r="BR127" s="174">
        <v>5</v>
      </c>
      <c r="BS127" s="174">
        <v>2</v>
      </c>
      <c r="BT127" s="174">
        <v>2</v>
      </c>
      <c r="BU127" s="174">
        <v>1</v>
      </c>
      <c r="BV127" s="174">
        <v>1</v>
      </c>
      <c r="BW127" s="174">
        <v>0</v>
      </c>
      <c r="BX127" s="174">
        <v>0</v>
      </c>
      <c r="BY127" s="173">
        <f t="shared" si="155"/>
        <v>12</v>
      </c>
      <c r="BZ127" s="173">
        <f t="shared" si="155"/>
        <v>19</v>
      </c>
      <c r="CA127" s="180">
        <f t="shared" si="158"/>
        <v>31</v>
      </c>
    </row>
    <row r="128" spans="1:79" ht="80.099999999999994" customHeight="1">
      <c r="A128" s="173">
        <v>5</v>
      </c>
      <c r="B128" s="142" t="s">
        <v>67</v>
      </c>
      <c r="C128" s="143" t="s">
        <v>68</v>
      </c>
      <c r="D128" s="145">
        <v>100000</v>
      </c>
      <c r="E128" s="144">
        <f t="shared" si="156"/>
        <v>56.25</v>
      </c>
      <c r="F128" s="145">
        <v>25</v>
      </c>
      <c r="G128" s="174">
        <v>0</v>
      </c>
      <c r="H128" s="174">
        <v>4</v>
      </c>
      <c r="I128" s="173">
        <f t="shared" si="140"/>
        <v>4</v>
      </c>
      <c r="J128" s="173"/>
      <c r="K128" s="173"/>
      <c r="L128" s="174">
        <v>1</v>
      </c>
      <c r="M128" s="174">
        <v>0</v>
      </c>
      <c r="N128" s="173">
        <f t="shared" si="141"/>
        <v>1</v>
      </c>
      <c r="O128" s="174">
        <v>0</v>
      </c>
      <c r="P128" s="174">
        <v>0</v>
      </c>
      <c r="Q128" s="173">
        <f t="shared" si="142"/>
        <v>0</v>
      </c>
      <c r="R128" s="174">
        <v>0</v>
      </c>
      <c r="S128" s="174">
        <v>0</v>
      </c>
      <c r="T128" s="173">
        <f t="shared" si="143"/>
        <v>0</v>
      </c>
      <c r="U128" s="173"/>
      <c r="V128" s="173"/>
      <c r="W128" s="173"/>
      <c r="X128" s="173"/>
      <c r="Y128" s="173"/>
      <c r="Z128" s="176">
        <f t="shared" si="144"/>
        <v>0.2</v>
      </c>
      <c r="AA128" s="177"/>
      <c r="AB128" s="177"/>
      <c r="AC128" s="177"/>
      <c r="AD128" s="174"/>
      <c r="AE128" s="174"/>
      <c r="AF128" s="174"/>
      <c r="AG128" s="174">
        <v>0</v>
      </c>
      <c r="AH128" s="174">
        <v>3</v>
      </c>
      <c r="AI128" s="178">
        <f t="shared" si="157"/>
        <v>3</v>
      </c>
      <c r="AJ128" s="177"/>
      <c r="AK128" s="179"/>
      <c r="AL128" s="179"/>
      <c r="AM128" s="174"/>
      <c r="AN128" s="174"/>
      <c r="AO128" s="174"/>
      <c r="AP128" s="174">
        <v>0</v>
      </c>
      <c r="AQ128" s="174">
        <v>0</v>
      </c>
      <c r="AR128" s="178">
        <f t="shared" si="145"/>
        <v>0</v>
      </c>
      <c r="AS128" s="179">
        <f t="shared" si="146"/>
        <v>1</v>
      </c>
      <c r="AT128" s="179">
        <f t="shared" si="147"/>
        <v>7</v>
      </c>
      <c r="AU128" s="180">
        <f t="shared" si="148"/>
        <v>8</v>
      </c>
      <c r="AV128" s="180"/>
      <c r="AW128" s="180"/>
      <c r="AX128" s="176">
        <f t="shared" si="149"/>
        <v>0.5714285714285714</v>
      </c>
      <c r="AY128" s="176"/>
      <c r="AZ128" s="176">
        <f t="shared" si="150"/>
        <v>0.14222222222222222</v>
      </c>
      <c r="BA128" s="176">
        <f t="shared" si="151"/>
        <v>0.1807909604519774</v>
      </c>
      <c r="BB128" s="176">
        <f t="shared" si="152"/>
        <v>0.125</v>
      </c>
      <c r="BC128" s="181">
        <f t="shared" si="153"/>
        <v>16</v>
      </c>
      <c r="BD128" s="182">
        <f t="shared" si="154"/>
        <v>32</v>
      </c>
      <c r="BE128" s="183"/>
      <c r="BF128" s="184">
        <v>5</v>
      </c>
      <c r="BG128" s="142" t="s">
        <v>67</v>
      </c>
      <c r="BH128" s="143" t="s">
        <v>68</v>
      </c>
      <c r="BI128" s="219"/>
      <c r="BJ128" s="219"/>
      <c r="BK128" s="174">
        <v>0</v>
      </c>
      <c r="BL128" s="174">
        <v>0</v>
      </c>
      <c r="BM128" s="174">
        <v>0</v>
      </c>
      <c r="BN128" s="174">
        <v>2</v>
      </c>
      <c r="BO128" s="174">
        <v>0</v>
      </c>
      <c r="BP128" s="174">
        <v>1</v>
      </c>
      <c r="BQ128" s="174">
        <v>0</v>
      </c>
      <c r="BR128" s="174">
        <v>0</v>
      </c>
      <c r="BS128" s="174">
        <v>0</v>
      </c>
      <c r="BT128" s="174">
        <v>0</v>
      </c>
      <c r="BU128" s="174">
        <v>0</v>
      </c>
      <c r="BV128" s="174">
        <v>1</v>
      </c>
      <c r="BW128" s="174">
        <v>0</v>
      </c>
      <c r="BX128" s="174">
        <v>0</v>
      </c>
      <c r="BY128" s="179">
        <f t="shared" si="155"/>
        <v>0</v>
      </c>
      <c r="BZ128" s="179">
        <f t="shared" si="155"/>
        <v>4</v>
      </c>
      <c r="CA128" s="185">
        <f t="shared" si="158"/>
        <v>4</v>
      </c>
    </row>
    <row r="129" spans="1:79" ht="80.099999999999994" customHeight="1">
      <c r="A129" s="173">
        <v>6</v>
      </c>
      <c r="B129" s="142" t="s">
        <v>69</v>
      </c>
      <c r="C129" s="146" t="s">
        <v>53</v>
      </c>
      <c r="D129" s="147">
        <v>100000</v>
      </c>
      <c r="E129" s="144">
        <f t="shared" si="156"/>
        <v>67.5</v>
      </c>
      <c r="F129" s="147">
        <v>30</v>
      </c>
      <c r="G129" s="174">
        <v>4</v>
      </c>
      <c r="H129" s="174">
        <v>4</v>
      </c>
      <c r="I129" s="173">
        <f t="shared" si="140"/>
        <v>8</v>
      </c>
      <c r="J129" s="173"/>
      <c r="K129" s="173"/>
      <c r="L129" s="174">
        <v>0</v>
      </c>
      <c r="M129" s="174">
        <v>2</v>
      </c>
      <c r="N129" s="173">
        <f t="shared" si="141"/>
        <v>2</v>
      </c>
      <c r="O129" s="174">
        <v>0</v>
      </c>
      <c r="P129" s="174">
        <v>0</v>
      </c>
      <c r="Q129" s="173">
        <f t="shared" si="142"/>
        <v>0</v>
      </c>
      <c r="R129" s="174">
        <v>1</v>
      </c>
      <c r="S129" s="174">
        <v>0</v>
      </c>
      <c r="T129" s="173">
        <f t="shared" si="143"/>
        <v>1</v>
      </c>
      <c r="U129" s="173"/>
      <c r="V129" s="173"/>
      <c r="W129" s="173"/>
      <c r="X129" s="173"/>
      <c r="Y129" s="173"/>
      <c r="Z129" s="175">
        <f t="shared" si="144"/>
        <v>0.4</v>
      </c>
      <c r="AA129" s="178"/>
      <c r="AB129" s="178"/>
      <c r="AC129" s="178"/>
      <c r="AD129" s="186"/>
      <c r="AE129" s="186"/>
      <c r="AF129" s="186"/>
      <c r="AG129" s="174">
        <v>2</v>
      </c>
      <c r="AH129" s="174">
        <v>8</v>
      </c>
      <c r="AI129" s="178">
        <f t="shared" si="157"/>
        <v>10</v>
      </c>
      <c r="AJ129" s="178"/>
      <c r="AK129" s="173"/>
      <c r="AL129" s="173"/>
      <c r="AM129" s="186"/>
      <c r="AN129" s="186"/>
      <c r="AO129" s="186"/>
      <c r="AP129" s="174">
        <v>0</v>
      </c>
      <c r="AQ129" s="174">
        <v>4</v>
      </c>
      <c r="AR129" s="178">
        <f t="shared" si="145"/>
        <v>4</v>
      </c>
      <c r="AS129" s="179">
        <f t="shared" si="146"/>
        <v>7</v>
      </c>
      <c r="AT129" s="179">
        <f t="shared" si="147"/>
        <v>18</v>
      </c>
      <c r="AU129" s="180">
        <f t="shared" si="148"/>
        <v>25</v>
      </c>
      <c r="AV129" s="180"/>
      <c r="AW129" s="180"/>
      <c r="AX129" s="176">
        <f t="shared" si="149"/>
        <v>0.44444444444444442</v>
      </c>
      <c r="AY129" s="176"/>
      <c r="AZ129" s="176">
        <f t="shared" si="150"/>
        <v>0.37037037037037035</v>
      </c>
      <c r="BA129" s="175">
        <f t="shared" si="151"/>
        <v>0.56497175141242939</v>
      </c>
      <c r="BB129" s="175">
        <f t="shared" si="152"/>
        <v>0.12</v>
      </c>
      <c r="BC129" s="187">
        <f t="shared" si="153"/>
        <v>32</v>
      </c>
      <c r="BD129" s="188">
        <f t="shared" si="154"/>
        <v>100</v>
      </c>
      <c r="BE129" s="189"/>
      <c r="BF129" s="184">
        <v>6</v>
      </c>
      <c r="BG129" s="142" t="s">
        <v>69</v>
      </c>
      <c r="BH129" s="146" t="s">
        <v>53</v>
      </c>
      <c r="BI129" s="219"/>
      <c r="BJ129" s="219"/>
      <c r="BK129" s="174">
        <v>0</v>
      </c>
      <c r="BL129" s="174">
        <v>0</v>
      </c>
      <c r="BM129" s="174">
        <v>1</v>
      </c>
      <c r="BN129" s="174">
        <v>2</v>
      </c>
      <c r="BO129" s="174">
        <v>1</v>
      </c>
      <c r="BP129" s="174">
        <v>2</v>
      </c>
      <c r="BQ129" s="174">
        <v>0</v>
      </c>
      <c r="BR129" s="174">
        <v>0</v>
      </c>
      <c r="BS129" s="174">
        <v>0</v>
      </c>
      <c r="BT129" s="174">
        <v>0</v>
      </c>
      <c r="BU129" s="174">
        <v>2</v>
      </c>
      <c r="BV129" s="174">
        <v>0</v>
      </c>
      <c r="BW129" s="174">
        <v>0</v>
      </c>
      <c r="BX129" s="174">
        <v>0</v>
      </c>
      <c r="BY129" s="173">
        <f t="shared" si="155"/>
        <v>4</v>
      </c>
      <c r="BZ129" s="173">
        <f t="shared" si="155"/>
        <v>4</v>
      </c>
      <c r="CA129" s="180">
        <f t="shared" si="158"/>
        <v>8</v>
      </c>
    </row>
    <row r="130" spans="1:79" ht="80.099999999999994" customHeight="1">
      <c r="A130" s="173">
        <v>7</v>
      </c>
      <c r="B130" s="142" t="s">
        <v>70</v>
      </c>
      <c r="C130" s="143" t="s">
        <v>71</v>
      </c>
      <c r="D130" s="145">
        <v>100000</v>
      </c>
      <c r="E130" s="144">
        <f t="shared" si="156"/>
        <v>56.25</v>
      </c>
      <c r="F130" s="145">
        <v>25</v>
      </c>
      <c r="G130" s="174">
        <v>2</v>
      </c>
      <c r="H130" s="174">
        <v>2</v>
      </c>
      <c r="I130" s="173">
        <f t="shared" si="140"/>
        <v>4</v>
      </c>
      <c r="J130" s="173"/>
      <c r="K130" s="173"/>
      <c r="L130" s="174">
        <v>0</v>
      </c>
      <c r="M130" s="174">
        <v>0</v>
      </c>
      <c r="N130" s="173">
        <f t="shared" si="141"/>
        <v>0</v>
      </c>
      <c r="O130" s="174">
        <v>0</v>
      </c>
      <c r="P130" s="174">
        <v>0</v>
      </c>
      <c r="Q130" s="173">
        <f t="shared" si="142"/>
        <v>0</v>
      </c>
      <c r="R130" s="174">
        <v>0</v>
      </c>
      <c r="S130" s="174">
        <v>0</v>
      </c>
      <c r="T130" s="173">
        <f t="shared" si="143"/>
        <v>0</v>
      </c>
      <c r="U130" s="173"/>
      <c r="V130" s="173"/>
      <c r="W130" s="173"/>
      <c r="X130" s="173"/>
      <c r="Y130" s="173"/>
      <c r="Z130" s="176">
        <f t="shared" si="144"/>
        <v>0.2</v>
      </c>
      <c r="AA130" s="177"/>
      <c r="AB130" s="177"/>
      <c r="AC130" s="177"/>
      <c r="AD130" s="174"/>
      <c r="AE130" s="174"/>
      <c r="AF130" s="174"/>
      <c r="AG130" s="174">
        <v>0</v>
      </c>
      <c r="AH130" s="174">
        <v>1</v>
      </c>
      <c r="AI130" s="178">
        <f t="shared" si="157"/>
        <v>1</v>
      </c>
      <c r="AJ130" s="177"/>
      <c r="AK130" s="179"/>
      <c r="AL130" s="179"/>
      <c r="AM130" s="174"/>
      <c r="AN130" s="174"/>
      <c r="AO130" s="174"/>
      <c r="AP130" s="174">
        <v>3</v>
      </c>
      <c r="AQ130" s="174">
        <v>0</v>
      </c>
      <c r="AR130" s="178">
        <f t="shared" si="145"/>
        <v>3</v>
      </c>
      <c r="AS130" s="179">
        <f t="shared" si="146"/>
        <v>5</v>
      </c>
      <c r="AT130" s="179">
        <f t="shared" si="147"/>
        <v>3</v>
      </c>
      <c r="AU130" s="180">
        <f t="shared" si="148"/>
        <v>8</v>
      </c>
      <c r="AV130" s="180"/>
      <c r="AW130" s="180"/>
      <c r="AX130" s="176">
        <f t="shared" si="149"/>
        <v>0.8</v>
      </c>
      <c r="AY130" s="176"/>
      <c r="AZ130" s="176">
        <f t="shared" si="150"/>
        <v>0.14222222222222222</v>
      </c>
      <c r="BA130" s="176">
        <f t="shared" si="151"/>
        <v>0.1807909604519774</v>
      </c>
      <c r="BB130" s="176">
        <f t="shared" si="152"/>
        <v>0</v>
      </c>
      <c r="BC130" s="181">
        <f t="shared" si="153"/>
        <v>16</v>
      </c>
      <c r="BD130" s="182">
        <f t="shared" si="154"/>
        <v>32</v>
      </c>
      <c r="BE130" s="183"/>
      <c r="BF130" s="184">
        <v>7</v>
      </c>
      <c r="BG130" s="142" t="s">
        <v>70</v>
      </c>
      <c r="BH130" s="143" t="s">
        <v>71</v>
      </c>
      <c r="BI130" s="219"/>
      <c r="BJ130" s="219"/>
      <c r="BK130" s="174">
        <v>0</v>
      </c>
      <c r="BL130" s="174">
        <v>0</v>
      </c>
      <c r="BM130" s="174">
        <v>1</v>
      </c>
      <c r="BN130" s="174">
        <v>0</v>
      </c>
      <c r="BO130" s="174">
        <v>1</v>
      </c>
      <c r="BP130" s="174">
        <v>1</v>
      </c>
      <c r="BQ130" s="174">
        <v>0</v>
      </c>
      <c r="BR130" s="174">
        <v>0</v>
      </c>
      <c r="BS130" s="174">
        <v>0</v>
      </c>
      <c r="BT130" s="174">
        <v>0</v>
      </c>
      <c r="BU130" s="174">
        <v>0</v>
      </c>
      <c r="BV130" s="174">
        <v>0</v>
      </c>
      <c r="BW130" s="174">
        <v>0</v>
      </c>
      <c r="BX130" s="174">
        <v>1</v>
      </c>
      <c r="BY130" s="179">
        <f t="shared" si="155"/>
        <v>2</v>
      </c>
      <c r="BZ130" s="179">
        <f t="shared" si="155"/>
        <v>2</v>
      </c>
      <c r="CA130" s="185">
        <f t="shared" si="158"/>
        <v>4</v>
      </c>
    </row>
    <row r="131" spans="1:79" ht="80.099999999999994" customHeight="1">
      <c r="A131" s="173">
        <v>8</v>
      </c>
      <c r="B131" s="142" t="s">
        <v>72</v>
      </c>
      <c r="C131" s="146" t="s">
        <v>57</v>
      </c>
      <c r="D131" s="147">
        <v>100000</v>
      </c>
      <c r="E131" s="144">
        <f t="shared" si="156"/>
        <v>56.25</v>
      </c>
      <c r="F131" s="147">
        <v>25</v>
      </c>
      <c r="G131" s="174">
        <v>2</v>
      </c>
      <c r="H131" s="174">
        <v>1</v>
      </c>
      <c r="I131" s="173">
        <f t="shared" si="140"/>
        <v>3</v>
      </c>
      <c r="J131" s="173"/>
      <c r="K131" s="173"/>
      <c r="L131" s="174">
        <v>0</v>
      </c>
      <c r="M131" s="174">
        <v>0</v>
      </c>
      <c r="N131" s="173">
        <f t="shared" si="141"/>
        <v>0</v>
      </c>
      <c r="O131" s="174">
        <v>0</v>
      </c>
      <c r="P131" s="174">
        <v>0</v>
      </c>
      <c r="Q131" s="173">
        <f t="shared" si="142"/>
        <v>0</v>
      </c>
      <c r="R131" s="174">
        <v>0</v>
      </c>
      <c r="S131" s="174">
        <v>0</v>
      </c>
      <c r="T131" s="173">
        <f t="shared" si="143"/>
        <v>0</v>
      </c>
      <c r="U131" s="173"/>
      <c r="V131" s="173"/>
      <c r="W131" s="173"/>
      <c r="X131" s="173"/>
      <c r="Y131" s="173"/>
      <c r="Z131" s="175">
        <f t="shared" si="144"/>
        <v>0.15</v>
      </c>
      <c r="AA131" s="178"/>
      <c r="AB131" s="178"/>
      <c r="AC131" s="178"/>
      <c r="AD131" s="186"/>
      <c r="AE131" s="186"/>
      <c r="AF131" s="186"/>
      <c r="AG131" s="174">
        <v>1</v>
      </c>
      <c r="AH131" s="174">
        <v>5</v>
      </c>
      <c r="AI131" s="178">
        <f t="shared" si="157"/>
        <v>6</v>
      </c>
      <c r="AJ131" s="178"/>
      <c r="AK131" s="173"/>
      <c r="AL131" s="173"/>
      <c r="AM131" s="186"/>
      <c r="AN131" s="186"/>
      <c r="AO131" s="186"/>
      <c r="AP131" s="174">
        <v>1</v>
      </c>
      <c r="AQ131" s="174">
        <v>3</v>
      </c>
      <c r="AR131" s="178">
        <f t="shared" si="145"/>
        <v>4</v>
      </c>
      <c r="AS131" s="179">
        <f t="shared" si="146"/>
        <v>4</v>
      </c>
      <c r="AT131" s="179">
        <f t="shared" si="147"/>
        <v>9</v>
      </c>
      <c r="AU131" s="180">
        <f t="shared" si="148"/>
        <v>13</v>
      </c>
      <c r="AV131" s="180"/>
      <c r="AW131" s="180"/>
      <c r="AX131" s="176">
        <f t="shared" si="149"/>
        <v>0.33333333333333331</v>
      </c>
      <c r="AY131" s="176"/>
      <c r="AZ131" s="176">
        <f t="shared" si="150"/>
        <v>0.2311111111111111</v>
      </c>
      <c r="BA131" s="175">
        <f t="shared" si="151"/>
        <v>0.29378531073446329</v>
      </c>
      <c r="BB131" s="175">
        <f t="shared" si="152"/>
        <v>0</v>
      </c>
      <c r="BC131" s="187">
        <f t="shared" si="153"/>
        <v>12</v>
      </c>
      <c r="BD131" s="188">
        <f t="shared" si="154"/>
        <v>51.999999999999993</v>
      </c>
      <c r="BE131" s="189"/>
      <c r="BF131" s="184">
        <v>8</v>
      </c>
      <c r="BG131" s="142" t="s">
        <v>72</v>
      </c>
      <c r="BH131" s="146" t="s">
        <v>57</v>
      </c>
      <c r="BI131" s="219"/>
      <c r="BJ131" s="219"/>
      <c r="BK131" s="174">
        <v>0</v>
      </c>
      <c r="BL131" s="174">
        <v>0</v>
      </c>
      <c r="BM131" s="174">
        <v>0</v>
      </c>
      <c r="BN131" s="174">
        <v>0</v>
      </c>
      <c r="BO131" s="174">
        <v>0</v>
      </c>
      <c r="BP131" s="174">
        <v>0</v>
      </c>
      <c r="BQ131" s="174">
        <v>0</v>
      </c>
      <c r="BR131" s="174">
        <v>0</v>
      </c>
      <c r="BS131" s="174">
        <v>2</v>
      </c>
      <c r="BT131" s="174">
        <v>0</v>
      </c>
      <c r="BU131" s="174">
        <v>0</v>
      </c>
      <c r="BV131" s="174">
        <v>1</v>
      </c>
      <c r="BW131" s="174">
        <v>0</v>
      </c>
      <c r="BX131" s="174">
        <v>0</v>
      </c>
      <c r="BY131" s="173">
        <f t="shared" si="155"/>
        <v>2</v>
      </c>
      <c r="BZ131" s="173">
        <f t="shared" si="155"/>
        <v>1</v>
      </c>
      <c r="CA131" s="180">
        <f t="shared" si="158"/>
        <v>3</v>
      </c>
    </row>
    <row r="132" spans="1:79" ht="80.099999999999994" customHeight="1">
      <c r="A132" s="190" t="s">
        <v>109</v>
      </c>
      <c r="B132" s="148" t="s">
        <v>73</v>
      </c>
      <c r="C132" s="149" t="s">
        <v>74</v>
      </c>
      <c r="D132" s="150">
        <v>950000</v>
      </c>
      <c r="E132" s="144">
        <f t="shared" si="156"/>
        <v>528.75</v>
      </c>
      <c r="F132" s="150">
        <f>SUM(F124:F131)</f>
        <v>235</v>
      </c>
      <c r="G132" s="191">
        <f t="shared" ref="G132:AO132" si="159">G124+G125+G126+G127+G128+G129+G130+G131</f>
        <v>37</v>
      </c>
      <c r="H132" s="191">
        <f t="shared" si="159"/>
        <v>42</v>
      </c>
      <c r="I132" s="191">
        <f t="shared" si="159"/>
        <v>79</v>
      </c>
      <c r="J132" s="191"/>
      <c r="K132" s="191"/>
      <c r="L132" s="191">
        <f t="shared" si="159"/>
        <v>1</v>
      </c>
      <c r="M132" s="191">
        <f t="shared" si="159"/>
        <v>3</v>
      </c>
      <c r="N132" s="191">
        <f t="shared" si="159"/>
        <v>4</v>
      </c>
      <c r="O132" s="191">
        <f t="shared" si="159"/>
        <v>0</v>
      </c>
      <c r="P132" s="191">
        <f t="shared" si="159"/>
        <v>0</v>
      </c>
      <c r="Q132" s="191">
        <f t="shared" si="159"/>
        <v>0</v>
      </c>
      <c r="R132" s="191">
        <f t="shared" si="159"/>
        <v>1</v>
      </c>
      <c r="S132" s="191">
        <f t="shared" si="159"/>
        <v>0</v>
      </c>
      <c r="T132" s="191">
        <f t="shared" si="159"/>
        <v>1</v>
      </c>
      <c r="U132" s="191">
        <f t="shared" si="159"/>
        <v>0</v>
      </c>
      <c r="V132" s="191">
        <f t="shared" si="159"/>
        <v>0</v>
      </c>
      <c r="W132" s="191">
        <f t="shared" si="159"/>
        <v>0</v>
      </c>
      <c r="X132" s="191"/>
      <c r="Y132" s="191"/>
      <c r="Z132" s="191">
        <f t="shared" si="159"/>
        <v>3.0833333333333339</v>
      </c>
      <c r="AA132" s="191">
        <f t="shared" si="159"/>
        <v>0</v>
      </c>
      <c r="AB132" s="191">
        <f t="shared" si="159"/>
        <v>0</v>
      </c>
      <c r="AC132" s="191">
        <f t="shared" si="159"/>
        <v>0</v>
      </c>
      <c r="AD132" s="191">
        <f t="shared" si="159"/>
        <v>0</v>
      </c>
      <c r="AE132" s="191">
        <f t="shared" si="159"/>
        <v>0</v>
      </c>
      <c r="AF132" s="191">
        <f t="shared" si="159"/>
        <v>0</v>
      </c>
      <c r="AG132" s="191">
        <f>AG124+AG125+AG126+AG127+AG128+AG129+AG130+AG131</f>
        <v>12</v>
      </c>
      <c r="AH132" s="191">
        <f>AH124+AH125+AH126+AH127+AH128+AH129+AH130+AH131</f>
        <v>42</v>
      </c>
      <c r="AI132" s="178">
        <f t="shared" si="157"/>
        <v>54</v>
      </c>
      <c r="AJ132" s="191">
        <f t="shared" si="159"/>
        <v>0</v>
      </c>
      <c r="AK132" s="191">
        <f t="shared" si="159"/>
        <v>0</v>
      </c>
      <c r="AL132" s="191">
        <f t="shared" si="159"/>
        <v>0</v>
      </c>
      <c r="AM132" s="191">
        <f t="shared" si="159"/>
        <v>0</v>
      </c>
      <c r="AN132" s="191">
        <f t="shared" si="159"/>
        <v>0</v>
      </c>
      <c r="AO132" s="191">
        <f t="shared" si="159"/>
        <v>0</v>
      </c>
      <c r="AP132" s="191">
        <f>AP124+AP125+AP126+AP127+AP128+AP129+AP130+AP131</f>
        <v>7</v>
      </c>
      <c r="AQ132" s="191">
        <f>AQ124+AQ125+AQ126+AQ127+AQ128+AQ129+AQ130+AQ131</f>
        <v>18</v>
      </c>
      <c r="AR132" s="178">
        <f t="shared" si="145"/>
        <v>25</v>
      </c>
      <c r="AS132" s="179">
        <f t="shared" si="146"/>
        <v>58</v>
      </c>
      <c r="AT132" s="179">
        <f t="shared" si="147"/>
        <v>105</v>
      </c>
      <c r="AU132" s="180">
        <f t="shared" si="148"/>
        <v>163</v>
      </c>
      <c r="AV132" s="191"/>
      <c r="AW132" s="191"/>
      <c r="AX132" s="176">
        <f t="shared" si="149"/>
        <v>0.59398496240601506</v>
      </c>
      <c r="AY132" s="176"/>
      <c r="AZ132" s="176">
        <f t="shared" si="150"/>
        <v>0.308274231678487</v>
      </c>
      <c r="BA132" s="191">
        <f>BA124+BA125+BA126+BA127+BA128+BA129+BA130+BA131</f>
        <v>3.0169491525423733</v>
      </c>
      <c r="BB132" s="191">
        <f>BB124+BB125+BB126+BB127+BB128+BB129+BB130+BB131</f>
        <v>0.26351851851851849</v>
      </c>
      <c r="BC132" s="191">
        <f>BC124+BC125+BC126+BC127+BC128+BC129+BC130+BC131</f>
        <v>246.66666666666666</v>
      </c>
      <c r="BD132" s="191">
        <f>BD124+BD125+BD126+BD127+BD128+BD129+BD130+BD131</f>
        <v>534</v>
      </c>
      <c r="BE132" s="191"/>
      <c r="BF132" s="191">
        <f>BF124+BF125+BF126+BF127+BF128+BF129+BF130+BF131</f>
        <v>36</v>
      </c>
      <c r="BG132" s="148" t="s">
        <v>73</v>
      </c>
      <c r="BH132" s="149" t="s">
        <v>74</v>
      </c>
      <c r="BI132" s="219">
        <f t="shared" ref="BI132:CA132" si="160">BI124+BI125+BI126+BI127+BI128+BI129+BI130+BI131</f>
        <v>0</v>
      </c>
      <c r="BJ132" s="219">
        <f t="shared" si="160"/>
        <v>0</v>
      </c>
      <c r="BK132" s="191">
        <f t="shared" si="160"/>
        <v>0</v>
      </c>
      <c r="BL132" s="191">
        <f t="shared" si="160"/>
        <v>0</v>
      </c>
      <c r="BM132" s="191">
        <f t="shared" si="160"/>
        <v>8</v>
      </c>
      <c r="BN132" s="191">
        <f t="shared" si="160"/>
        <v>21</v>
      </c>
      <c r="BO132" s="191">
        <f t="shared" si="160"/>
        <v>12</v>
      </c>
      <c r="BP132" s="191">
        <f t="shared" si="160"/>
        <v>7</v>
      </c>
      <c r="BQ132" s="191">
        <f t="shared" si="160"/>
        <v>6</v>
      </c>
      <c r="BR132" s="191">
        <f t="shared" si="160"/>
        <v>6</v>
      </c>
      <c r="BS132" s="191">
        <f t="shared" si="160"/>
        <v>4</v>
      </c>
      <c r="BT132" s="191">
        <f t="shared" si="160"/>
        <v>3</v>
      </c>
      <c r="BU132" s="191">
        <f t="shared" si="160"/>
        <v>6</v>
      </c>
      <c r="BV132" s="191">
        <f t="shared" si="160"/>
        <v>3</v>
      </c>
      <c r="BW132" s="191">
        <f t="shared" si="160"/>
        <v>1</v>
      </c>
      <c r="BX132" s="191">
        <f t="shared" si="160"/>
        <v>2</v>
      </c>
      <c r="BY132" s="191">
        <f t="shared" si="160"/>
        <v>37</v>
      </c>
      <c r="BZ132" s="191">
        <f t="shared" si="160"/>
        <v>42</v>
      </c>
      <c r="CA132" s="191">
        <f t="shared" si="160"/>
        <v>79</v>
      </c>
    </row>
    <row r="133" spans="1:79" ht="80.099999999999994" customHeight="1">
      <c r="A133" s="173">
        <v>9</v>
      </c>
      <c r="B133" s="151" t="s">
        <v>75</v>
      </c>
      <c r="C133" s="146" t="s">
        <v>76</v>
      </c>
      <c r="D133" s="147">
        <v>290000</v>
      </c>
      <c r="E133" s="144">
        <f t="shared" si="156"/>
        <v>67.5</v>
      </c>
      <c r="F133" s="147">
        <v>30</v>
      </c>
      <c r="G133" s="174">
        <v>10</v>
      </c>
      <c r="H133" s="174">
        <v>4</v>
      </c>
      <c r="I133" s="173">
        <f>SUM(G133:H133)</f>
        <v>14</v>
      </c>
      <c r="J133" s="173"/>
      <c r="K133" s="173"/>
      <c r="L133" s="174">
        <v>0</v>
      </c>
      <c r="M133" s="174">
        <v>1</v>
      </c>
      <c r="N133" s="173">
        <f>SUM(L133:M133)</f>
        <v>1</v>
      </c>
      <c r="O133" s="174">
        <v>1</v>
      </c>
      <c r="P133" s="174">
        <v>0</v>
      </c>
      <c r="Q133" s="173">
        <f>SUM(O133:P133)</f>
        <v>1</v>
      </c>
      <c r="R133" s="174">
        <v>0</v>
      </c>
      <c r="S133" s="174">
        <v>0</v>
      </c>
      <c r="T133" s="173">
        <f>SUM(R133:S133)</f>
        <v>0</v>
      </c>
      <c r="U133" s="173"/>
      <c r="V133" s="173"/>
      <c r="W133" s="173"/>
      <c r="X133" s="173"/>
      <c r="Y133" s="173"/>
      <c r="Z133" s="175">
        <f>I133*4/(D133*0.0008)</f>
        <v>0.2413793103448276</v>
      </c>
      <c r="AA133" s="178"/>
      <c r="AB133" s="178"/>
      <c r="AC133" s="178"/>
      <c r="AD133" s="186"/>
      <c r="AE133" s="186"/>
      <c r="AF133" s="186"/>
      <c r="AG133" s="174">
        <v>2</v>
      </c>
      <c r="AH133" s="174">
        <v>6</v>
      </c>
      <c r="AI133" s="178">
        <f t="shared" si="157"/>
        <v>8</v>
      </c>
      <c r="AJ133" s="178"/>
      <c r="AK133" s="173"/>
      <c r="AL133" s="173"/>
      <c r="AM133" s="186"/>
      <c r="AN133" s="186"/>
      <c r="AO133" s="186"/>
      <c r="AP133" s="174">
        <v>5</v>
      </c>
      <c r="AQ133" s="174">
        <v>7</v>
      </c>
      <c r="AR133" s="178">
        <f t="shared" si="145"/>
        <v>12</v>
      </c>
      <c r="AS133" s="179">
        <f t="shared" si="146"/>
        <v>18</v>
      </c>
      <c r="AT133" s="179">
        <f t="shared" si="147"/>
        <v>18</v>
      </c>
      <c r="AU133" s="180">
        <f t="shared" si="148"/>
        <v>36</v>
      </c>
      <c r="AV133" s="180"/>
      <c r="AW133" s="180"/>
      <c r="AX133" s="176">
        <f t="shared" si="149"/>
        <v>0.63636363636363635</v>
      </c>
      <c r="AY133" s="176"/>
      <c r="AZ133" s="176">
        <f t="shared" si="150"/>
        <v>0.53333333333333333</v>
      </c>
      <c r="BA133" s="175">
        <f>AU133*4/(D133*0.00177)</f>
        <v>0.28053769725306832</v>
      </c>
      <c r="BB133" s="175">
        <f>(N133+Q133+T133)/AU133</f>
        <v>5.5555555555555552E-2</v>
      </c>
      <c r="BC133" s="187">
        <f>I133*4/D133*100000</f>
        <v>19.310344827586206</v>
      </c>
      <c r="BD133" s="188">
        <f>AU133*4/D133*100000</f>
        <v>49.655172413793103</v>
      </c>
      <c r="BE133" s="189"/>
      <c r="BF133" s="184">
        <v>10</v>
      </c>
      <c r="BG133" s="151" t="s">
        <v>75</v>
      </c>
      <c r="BH133" s="146" t="s">
        <v>76</v>
      </c>
      <c r="BI133" s="219"/>
      <c r="BJ133" s="219"/>
      <c r="BK133" s="174">
        <v>0</v>
      </c>
      <c r="BL133" s="174">
        <v>0</v>
      </c>
      <c r="BM133" s="174">
        <v>3</v>
      </c>
      <c r="BN133" s="174">
        <v>2</v>
      </c>
      <c r="BO133" s="174">
        <v>3</v>
      </c>
      <c r="BP133" s="174">
        <v>1</v>
      </c>
      <c r="BQ133" s="174">
        <v>1</v>
      </c>
      <c r="BR133" s="174">
        <v>1</v>
      </c>
      <c r="BS133" s="174">
        <v>1</v>
      </c>
      <c r="BT133" s="174">
        <v>0</v>
      </c>
      <c r="BU133" s="174">
        <v>1</v>
      </c>
      <c r="BV133" s="174">
        <v>0</v>
      </c>
      <c r="BW133" s="174">
        <v>1</v>
      </c>
      <c r="BX133" s="174">
        <v>0</v>
      </c>
      <c r="BY133" s="173">
        <f t="shared" ref="BY133:BZ135" si="161">BW133+BU133+BS133+BQ133+BO133+BM133+BK133+BI133</f>
        <v>10</v>
      </c>
      <c r="BZ133" s="173">
        <f t="shared" si="161"/>
        <v>4</v>
      </c>
      <c r="CA133" s="180">
        <f>BZ133+BY133</f>
        <v>14</v>
      </c>
    </row>
    <row r="134" spans="1:79" ht="80.099999999999994" customHeight="1">
      <c r="A134" s="173">
        <v>10</v>
      </c>
      <c r="B134" s="151" t="s">
        <v>77</v>
      </c>
      <c r="C134" s="146" t="s">
        <v>78</v>
      </c>
      <c r="D134" s="147">
        <v>190000</v>
      </c>
      <c r="E134" s="144">
        <f t="shared" si="156"/>
        <v>67.5</v>
      </c>
      <c r="F134" s="147">
        <v>30</v>
      </c>
      <c r="G134" s="174">
        <v>17</v>
      </c>
      <c r="H134" s="174">
        <v>12</v>
      </c>
      <c r="I134" s="173">
        <f>SUM(G134:H134)</f>
        <v>29</v>
      </c>
      <c r="J134" s="173"/>
      <c r="K134" s="173"/>
      <c r="L134" s="174">
        <v>0</v>
      </c>
      <c r="M134" s="174">
        <v>3</v>
      </c>
      <c r="N134" s="173">
        <f>SUM(L134:M134)</f>
        <v>3</v>
      </c>
      <c r="O134" s="174">
        <v>0</v>
      </c>
      <c r="P134" s="174">
        <v>0</v>
      </c>
      <c r="Q134" s="173">
        <f>SUM(O134:P134)</f>
        <v>0</v>
      </c>
      <c r="R134" s="174">
        <v>0</v>
      </c>
      <c r="S134" s="174">
        <v>0</v>
      </c>
      <c r="T134" s="173">
        <f>SUM(R134:S134)</f>
        <v>0</v>
      </c>
      <c r="U134" s="173"/>
      <c r="V134" s="173"/>
      <c r="W134" s="173"/>
      <c r="X134" s="173"/>
      <c r="Y134" s="173"/>
      <c r="Z134" s="176">
        <f>I134*4/(D134*0.0008)</f>
        <v>0.76315789473684215</v>
      </c>
      <c r="AA134" s="177"/>
      <c r="AB134" s="177"/>
      <c r="AC134" s="177"/>
      <c r="AD134" s="174"/>
      <c r="AE134" s="174"/>
      <c r="AF134" s="174"/>
      <c r="AG134" s="174">
        <v>2</v>
      </c>
      <c r="AH134" s="174">
        <v>10</v>
      </c>
      <c r="AI134" s="178">
        <f t="shared" si="157"/>
        <v>12</v>
      </c>
      <c r="AJ134" s="177"/>
      <c r="AK134" s="179"/>
      <c r="AL134" s="179"/>
      <c r="AM134" s="174"/>
      <c r="AN134" s="174"/>
      <c r="AO134" s="174"/>
      <c r="AP134" s="174">
        <v>1</v>
      </c>
      <c r="AQ134" s="174">
        <v>4</v>
      </c>
      <c r="AR134" s="178">
        <f t="shared" si="145"/>
        <v>5</v>
      </c>
      <c r="AS134" s="179">
        <f t="shared" si="146"/>
        <v>20</v>
      </c>
      <c r="AT134" s="179">
        <f t="shared" si="147"/>
        <v>29</v>
      </c>
      <c r="AU134" s="180">
        <f t="shared" si="148"/>
        <v>49</v>
      </c>
      <c r="AV134" s="180"/>
      <c r="AW134" s="180"/>
      <c r="AX134" s="176">
        <f t="shared" si="149"/>
        <v>0.70731707317073167</v>
      </c>
      <c r="AY134" s="176"/>
      <c r="AZ134" s="176">
        <f t="shared" si="150"/>
        <v>0.72592592592592597</v>
      </c>
      <c r="BA134" s="176">
        <f>AU134*4/(D134*0.00177)</f>
        <v>0.58281296461492715</v>
      </c>
      <c r="BB134" s="176">
        <f>(N134+Q134+T134)/AU134</f>
        <v>6.1224489795918366E-2</v>
      </c>
      <c r="BC134" s="181">
        <f>I134*4/D134*100000</f>
        <v>61.05263157894737</v>
      </c>
      <c r="BD134" s="182">
        <f>AU134*4/D134*100000</f>
        <v>103.15789473684211</v>
      </c>
      <c r="BE134" s="183"/>
      <c r="BF134" s="184">
        <v>11</v>
      </c>
      <c r="BG134" s="151" t="s">
        <v>77</v>
      </c>
      <c r="BH134" s="146" t="s">
        <v>78</v>
      </c>
      <c r="BI134" s="219"/>
      <c r="BJ134" s="219"/>
      <c r="BK134" s="174">
        <v>0</v>
      </c>
      <c r="BL134" s="174">
        <v>0</v>
      </c>
      <c r="BM134" s="174">
        <v>3</v>
      </c>
      <c r="BN134" s="174">
        <v>6</v>
      </c>
      <c r="BO134" s="174">
        <v>10</v>
      </c>
      <c r="BP134" s="174">
        <v>2</v>
      </c>
      <c r="BQ134" s="174">
        <v>1</v>
      </c>
      <c r="BR134" s="174">
        <v>2</v>
      </c>
      <c r="BS134" s="174">
        <v>1</v>
      </c>
      <c r="BT134" s="174">
        <v>1</v>
      </c>
      <c r="BU134" s="174">
        <v>1</v>
      </c>
      <c r="BV134" s="174">
        <v>0</v>
      </c>
      <c r="BW134" s="174">
        <v>1</v>
      </c>
      <c r="BX134" s="174">
        <v>1</v>
      </c>
      <c r="BY134" s="179">
        <f t="shared" si="161"/>
        <v>17</v>
      </c>
      <c r="BZ134" s="179">
        <f t="shared" si="161"/>
        <v>12</v>
      </c>
      <c r="CA134" s="185">
        <f>BZ134+BY134</f>
        <v>29</v>
      </c>
    </row>
    <row r="135" spans="1:79" ht="80.099999999999994" customHeight="1">
      <c r="A135" s="173">
        <v>11</v>
      </c>
      <c r="B135" s="151" t="s">
        <v>79</v>
      </c>
      <c r="C135" s="146" t="s">
        <v>80</v>
      </c>
      <c r="D135" s="147">
        <v>190000</v>
      </c>
      <c r="E135" s="144">
        <f t="shared" si="156"/>
        <v>67.5</v>
      </c>
      <c r="F135" s="147">
        <v>30</v>
      </c>
      <c r="G135" s="186">
        <v>2</v>
      </c>
      <c r="H135" s="186">
        <v>3</v>
      </c>
      <c r="I135" s="173">
        <f>SUM(G135:H135)</f>
        <v>5</v>
      </c>
      <c r="J135" s="173"/>
      <c r="K135" s="173"/>
      <c r="L135" s="174">
        <v>0</v>
      </c>
      <c r="M135" s="174">
        <v>0</v>
      </c>
      <c r="N135" s="173">
        <f>SUM(L135:M135)</f>
        <v>0</v>
      </c>
      <c r="O135" s="174">
        <v>0</v>
      </c>
      <c r="P135" s="174">
        <v>0</v>
      </c>
      <c r="Q135" s="173">
        <f>SUM(O135:P135)</f>
        <v>0</v>
      </c>
      <c r="R135" s="174">
        <v>0</v>
      </c>
      <c r="S135" s="174">
        <v>0</v>
      </c>
      <c r="T135" s="173">
        <f>SUM(R135:S135)</f>
        <v>0</v>
      </c>
      <c r="U135" s="173"/>
      <c r="V135" s="173"/>
      <c r="W135" s="173"/>
      <c r="X135" s="173"/>
      <c r="Y135" s="173"/>
      <c r="Z135" s="175">
        <f>I135*4/(D135*0.0008)</f>
        <v>0.13157894736842105</v>
      </c>
      <c r="AA135" s="178"/>
      <c r="AB135" s="178"/>
      <c r="AC135" s="178"/>
      <c r="AD135" s="186"/>
      <c r="AE135" s="186"/>
      <c r="AF135" s="186"/>
      <c r="AG135" s="174">
        <v>2</v>
      </c>
      <c r="AH135" s="174">
        <v>7</v>
      </c>
      <c r="AI135" s="178">
        <f t="shared" si="157"/>
        <v>9</v>
      </c>
      <c r="AJ135" s="178"/>
      <c r="AK135" s="173"/>
      <c r="AL135" s="173"/>
      <c r="AM135" s="186"/>
      <c r="AN135" s="186"/>
      <c r="AO135" s="186"/>
      <c r="AP135" s="174">
        <v>2</v>
      </c>
      <c r="AQ135" s="174">
        <v>2</v>
      </c>
      <c r="AR135" s="178">
        <f t="shared" si="145"/>
        <v>4</v>
      </c>
      <c r="AS135" s="179">
        <f t="shared" si="146"/>
        <v>6</v>
      </c>
      <c r="AT135" s="179">
        <f t="shared" si="147"/>
        <v>12</v>
      </c>
      <c r="AU135" s="180">
        <f t="shared" si="148"/>
        <v>18</v>
      </c>
      <c r="AV135" s="180"/>
      <c r="AW135" s="180"/>
      <c r="AX135" s="176">
        <f t="shared" si="149"/>
        <v>0.35714285714285715</v>
      </c>
      <c r="AY135" s="176"/>
      <c r="AZ135" s="176">
        <f t="shared" si="150"/>
        <v>0.26666666666666666</v>
      </c>
      <c r="BA135" s="175">
        <f>AU135*4/(D135*0.00177)</f>
        <v>0.21409455842997324</v>
      </c>
      <c r="BB135" s="175">
        <f>(N135+Q135+T135)/AU135</f>
        <v>0</v>
      </c>
      <c r="BC135" s="187">
        <f>I135*4/D135*100000</f>
        <v>10.526315789473685</v>
      </c>
      <c r="BD135" s="188">
        <f>AU135*4/D135*100000</f>
        <v>37.894736842105267</v>
      </c>
      <c r="BE135" s="189" t="s">
        <v>176</v>
      </c>
      <c r="BF135" s="184">
        <v>12</v>
      </c>
      <c r="BG135" s="151" t="s">
        <v>79</v>
      </c>
      <c r="BH135" s="146" t="s">
        <v>80</v>
      </c>
      <c r="BI135" s="219"/>
      <c r="BJ135" s="219"/>
      <c r="BK135" s="174">
        <v>0</v>
      </c>
      <c r="BL135" s="174">
        <v>1</v>
      </c>
      <c r="BM135" s="174">
        <v>2</v>
      </c>
      <c r="BN135" s="174">
        <v>2</v>
      </c>
      <c r="BO135" s="174">
        <v>0</v>
      </c>
      <c r="BP135" s="174">
        <v>0</v>
      </c>
      <c r="BQ135" s="174">
        <v>0</v>
      </c>
      <c r="BR135" s="174">
        <v>0</v>
      </c>
      <c r="BS135" s="174">
        <v>0</v>
      </c>
      <c r="BT135" s="174">
        <v>0</v>
      </c>
      <c r="BU135" s="174">
        <v>0</v>
      </c>
      <c r="BV135" s="174">
        <v>0</v>
      </c>
      <c r="BW135" s="174">
        <v>0</v>
      </c>
      <c r="BX135" s="174">
        <v>0</v>
      </c>
      <c r="BY135" s="173">
        <f t="shared" si="161"/>
        <v>2</v>
      </c>
      <c r="BZ135" s="173">
        <f t="shared" si="161"/>
        <v>3</v>
      </c>
      <c r="CA135" s="180">
        <f>BZ135+BY135</f>
        <v>5</v>
      </c>
    </row>
    <row r="136" spans="1:79" ht="80.099999999999994" customHeight="1">
      <c r="A136" s="173" t="s">
        <v>110</v>
      </c>
      <c r="B136" s="152" t="s">
        <v>81</v>
      </c>
      <c r="C136" s="149" t="s">
        <v>82</v>
      </c>
      <c r="D136" s="150">
        <v>670000</v>
      </c>
      <c r="E136" s="227">
        <f t="shared" si="156"/>
        <v>202.5</v>
      </c>
      <c r="F136" s="228">
        <f>SUM(F133:F135)</f>
        <v>90</v>
      </c>
      <c r="G136" s="229">
        <f t="shared" ref="G136:AO136" si="162">G133+G134+G135</f>
        <v>29</v>
      </c>
      <c r="H136" s="229">
        <f t="shared" si="162"/>
        <v>19</v>
      </c>
      <c r="I136" s="229">
        <f t="shared" si="162"/>
        <v>48</v>
      </c>
      <c r="J136" s="229"/>
      <c r="K136" s="229"/>
      <c r="L136" s="229">
        <f t="shared" si="162"/>
        <v>0</v>
      </c>
      <c r="M136" s="229">
        <f t="shared" si="162"/>
        <v>4</v>
      </c>
      <c r="N136" s="229">
        <f t="shared" si="162"/>
        <v>4</v>
      </c>
      <c r="O136" s="229">
        <f t="shared" si="162"/>
        <v>1</v>
      </c>
      <c r="P136" s="229">
        <f t="shared" si="162"/>
        <v>0</v>
      </c>
      <c r="Q136" s="229">
        <f t="shared" si="162"/>
        <v>1</v>
      </c>
      <c r="R136" s="229">
        <f t="shared" si="162"/>
        <v>0</v>
      </c>
      <c r="S136" s="229">
        <f t="shared" si="162"/>
        <v>0</v>
      </c>
      <c r="T136" s="229">
        <f t="shared" si="162"/>
        <v>0</v>
      </c>
      <c r="U136" s="229">
        <f t="shared" si="162"/>
        <v>0</v>
      </c>
      <c r="V136" s="229">
        <f t="shared" si="162"/>
        <v>0</v>
      </c>
      <c r="W136" s="229">
        <f t="shared" si="162"/>
        <v>0</v>
      </c>
      <c r="X136" s="229"/>
      <c r="Y136" s="229"/>
      <c r="Z136" s="229">
        <f t="shared" si="162"/>
        <v>1.1361161524500907</v>
      </c>
      <c r="AA136" s="229">
        <f t="shared" si="162"/>
        <v>0</v>
      </c>
      <c r="AB136" s="229">
        <f t="shared" si="162"/>
        <v>0</v>
      </c>
      <c r="AC136" s="229">
        <f t="shared" si="162"/>
        <v>0</v>
      </c>
      <c r="AD136" s="229">
        <f t="shared" si="162"/>
        <v>0</v>
      </c>
      <c r="AE136" s="229">
        <f t="shared" si="162"/>
        <v>0</v>
      </c>
      <c r="AF136" s="229">
        <f t="shared" si="162"/>
        <v>0</v>
      </c>
      <c r="AG136" s="229">
        <f>AG133+AG134+AG135</f>
        <v>6</v>
      </c>
      <c r="AH136" s="229">
        <f>AH133+AH134+AH135</f>
        <v>23</v>
      </c>
      <c r="AI136" s="231">
        <f t="shared" si="157"/>
        <v>29</v>
      </c>
      <c r="AJ136" s="229">
        <f t="shared" si="162"/>
        <v>0</v>
      </c>
      <c r="AK136" s="229">
        <f t="shared" si="162"/>
        <v>0</v>
      </c>
      <c r="AL136" s="229">
        <f t="shared" si="162"/>
        <v>0</v>
      </c>
      <c r="AM136" s="229">
        <f t="shared" si="162"/>
        <v>0</v>
      </c>
      <c r="AN136" s="229">
        <f t="shared" si="162"/>
        <v>0</v>
      </c>
      <c r="AO136" s="229">
        <f t="shared" si="162"/>
        <v>0</v>
      </c>
      <c r="AP136" s="229">
        <f>AP133+AP134+AP135</f>
        <v>8</v>
      </c>
      <c r="AQ136" s="229">
        <f>AQ133+AQ134+AQ135</f>
        <v>13</v>
      </c>
      <c r="AR136" s="231">
        <f t="shared" ref="AR136:AR143" si="163">AP136+AQ136</f>
        <v>21</v>
      </c>
      <c r="AS136" s="232">
        <f t="shared" si="146"/>
        <v>44</v>
      </c>
      <c r="AT136" s="232">
        <f t="shared" si="147"/>
        <v>59</v>
      </c>
      <c r="AU136" s="597">
        <f t="shared" si="148"/>
        <v>103</v>
      </c>
      <c r="AV136" s="229"/>
      <c r="AW136" s="229"/>
      <c r="AX136" s="230">
        <f t="shared" si="149"/>
        <v>0.62337662337662336</v>
      </c>
      <c r="AY136" s="230"/>
      <c r="AZ136" s="230">
        <f t="shared" si="150"/>
        <v>0.50864197530864197</v>
      </c>
      <c r="BA136" s="229">
        <f>BA133+BA134+BA135</f>
        <v>1.0774452202979687</v>
      </c>
      <c r="BB136" s="229">
        <f>BB133+BB134+BB135</f>
        <v>0.11678004535147392</v>
      </c>
      <c r="BC136" s="229">
        <f>BC133+BC134+BC135</f>
        <v>90.889292196007261</v>
      </c>
      <c r="BD136" s="229">
        <f>BD133+BD134+BD135</f>
        <v>190.70780399274048</v>
      </c>
      <c r="BE136" s="229"/>
      <c r="BF136" s="229">
        <f>BF133+BF134+BF135</f>
        <v>33</v>
      </c>
      <c r="BG136" s="233" t="s">
        <v>81</v>
      </c>
      <c r="BH136" s="234" t="s">
        <v>82</v>
      </c>
      <c r="BI136" s="229">
        <f t="shared" ref="BI136:CA136" si="164">BI133+BI134+BI135</f>
        <v>0</v>
      </c>
      <c r="BJ136" s="229">
        <f t="shared" si="164"/>
        <v>0</v>
      </c>
      <c r="BK136" s="229">
        <f t="shared" si="164"/>
        <v>0</v>
      </c>
      <c r="BL136" s="229">
        <f t="shared" si="164"/>
        <v>1</v>
      </c>
      <c r="BM136" s="229">
        <f t="shared" si="164"/>
        <v>8</v>
      </c>
      <c r="BN136" s="229">
        <f t="shared" si="164"/>
        <v>10</v>
      </c>
      <c r="BO136" s="229">
        <f t="shared" si="164"/>
        <v>13</v>
      </c>
      <c r="BP136" s="229">
        <f t="shared" si="164"/>
        <v>3</v>
      </c>
      <c r="BQ136" s="229">
        <f t="shared" si="164"/>
        <v>2</v>
      </c>
      <c r="BR136" s="229">
        <f t="shared" si="164"/>
        <v>3</v>
      </c>
      <c r="BS136" s="229">
        <f t="shared" si="164"/>
        <v>2</v>
      </c>
      <c r="BT136" s="229">
        <f t="shared" si="164"/>
        <v>1</v>
      </c>
      <c r="BU136" s="229">
        <f t="shared" si="164"/>
        <v>2</v>
      </c>
      <c r="BV136" s="229">
        <f t="shared" si="164"/>
        <v>0</v>
      </c>
      <c r="BW136" s="229">
        <f t="shared" si="164"/>
        <v>2</v>
      </c>
      <c r="BX136" s="229">
        <f t="shared" si="164"/>
        <v>1</v>
      </c>
      <c r="BY136" s="229">
        <f t="shared" si="164"/>
        <v>29</v>
      </c>
      <c r="BZ136" s="229">
        <f t="shared" si="164"/>
        <v>19</v>
      </c>
      <c r="CA136" s="229">
        <f t="shared" si="164"/>
        <v>48</v>
      </c>
    </row>
    <row r="137" spans="1:79" ht="80.099999999999994" customHeight="1">
      <c r="A137" s="173">
        <v>12</v>
      </c>
      <c r="B137" s="142" t="s">
        <v>83</v>
      </c>
      <c r="C137" s="143" t="s">
        <v>62</v>
      </c>
      <c r="D137" s="144">
        <v>200000</v>
      </c>
      <c r="E137" s="144">
        <f t="shared" si="156"/>
        <v>67.5</v>
      </c>
      <c r="F137" s="144">
        <v>30</v>
      </c>
      <c r="G137" s="174">
        <v>2</v>
      </c>
      <c r="H137" s="174">
        <v>4</v>
      </c>
      <c r="I137" s="173">
        <f t="shared" ref="I137:I155" si="165">SUM(G137:H137)</f>
        <v>6</v>
      </c>
      <c r="J137" s="173"/>
      <c r="K137" s="173"/>
      <c r="L137" s="174">
        <v>0</v>
      </c>
      <c r="M137" s="174">
        <v>0</v>
      </c>
      <c r="N137" s="173">
        <f t="shared" ref="N137:N155" si="166">SUM(L137:M137)</f>
        <v>0</v>
      </c>
      <c r="O137" s="174">
        <v>0</v>
      </c>
      <c r="P137" s="174">
        <v>0</v>
      </c>
      <c r="Q137" s="173">
        <f t="shared" ref="Q137:Q155" si="167">SUM(O137:P137)</f>
        <v>0</v>
      </c>
      <c r="R137" s="174">
        <v>0</v>
      </c>
      <c r="S137" s="174">
        <v>0</v>
      </c>
      <c r="T137" s="173">
        <f t="shared" ref="T137:T153" si="168">SUM(R137:S137)</f>
        <v>0</v>
      </c>
      <c r="U137" s="173"/>
      <c r="V137" s="173"/>
      <c r="W137" s="173"/>
      <c r="X137" s="173"/>
      <c r="Y137" s="173"/>
      <c r="Z137" s="175">
        <f t="shared" ref="Z137:Z156" si="169">I137*4/(D137*0.0008)</f>
        <v>0.15</v>
      </c>
      <c r="AA137" s="178"/>
      <c r="AB137" s="178"/>
      <c r="AC137" s="178"/>
      <c r="AD137" s="186"/>
      <c r="AE137" s="186"/>
      <c r="AF137" s="186"/>
      <c r="AG137" s="174">
        <v>1</v>
      </c>
      <c r="AH137" s="174">
        <v>2</v>
      </c>
      <c r="AI137" s="178">
        <f t="shared" si="157"/>
        <v>3</v>
      </c>
      <c r="AJ137" s="178"/>
      <c r="AK137" s="173"/>
      <c r="AL137" s="173"/>
      <c r="AM137" s="186"/>
      <c r="AN137" s="186"/>
      <c r="AO137" s="186"/>
      <c r="AP137" s="174">
        <v>1</v>
      </c>
      <c r="AQ137" s="174">
        <v>2</v>
      </c>
      <c r="AR137" s="231">
        <f t="shared" si="163"/>
        <v>3</v>
      </c>
      <c r="AS137" s="179">
        <f t="shared" si="146"/>
        <v>4</v>
      </c>
      <c r="AT137" s="179">
        <f t="shared" si="147"/>
        <v>8</v>
      </c>
      <c r="AU137" s="180">
        <f t="shared" si="148"/>
        <v>12</v>
      </c>
      <c r="AV137" s="180"/>
      <c r="AW137" s="180"/>
      <c r="AX137" s="176">
        <f t="shared" si="149"/>
        <v>0.66666666666666663</v>
      </c>
      <c r="AY137" s="176"/>
      <c r="AZ137" s="176">
        <f t="shared" si="150"/>
        <v>0.17777777777777778</v>
      </c>
      <c r="BA137" s="175">
        <f t="shared" ref="BA137:BA157" si="170">AU137*4/(D137*0.00177)</f>
        <v>0.13559322033898305</v>
      </c>
      <c r="BB137" s="175">
        <f t="shared" ref="BB137:BB157" si="171">(N137+Q137+T137)/AU137</f>
        <v>0</v>
      </c>
      <c r="BC137" s="187">
        <f t="shared" ref="BC137:BC157" si="172">I137*4/D137*100000</f>
        <v>12</v>
      </c>
      <c r="BD137" s="188">
        <f t="shared" ref="BD137:BD157" si="173">AU137*4/D137*100000</f>
        <v>24</v>
      </c>
      <c r="BE137" s="189"/>
      <c r="BF137" s="184">
        <v>14</v>
      </c>
      <c r="BG137" s="142" t="s">
        <v>83</v>
      </c>
      <c r="BH137" s="143" t="s">
        <v>62</v>
      </c>
      <c r="BI137" s="219"/>
      <c r="BJ137" s="219"/>
      <c r="BK137" s="174">
        <v>0</v>
      </c>
      <c r="BL137" s="174">
        <v>0</v>
      </c>
      <c r="BM137" s="174">
        <v>1</v>
      </c>
      <c r="BN137" s="174">
        <v>2</v>
      </c>
      <c r="BO137" s="174">
        <v>0</v>
      </c>
      <c r="BP137" s="174">
        <v>1</v>
      </c>
      <c r="BQ137" s="174">
        <v>0</v>
      </c>
      <c r="BR137" s="174">
        <v>0</v>
      </c>
      <c r="BS137" s="174">
        <v>0</v>
      </c>
      <c r="BT137" s="174">
        <v>1</v>
      </c>
      <c r="BU137" s="174">
        <v>0</v>
      </c>
      <c r="BV137" s="174">
        <v>0</v>
      </c>
      <c r="BW137" s="174">
        <v>1</v>
      </c>
      <c r="BX137" s="174">
        <v>0</v>
      </c>
      <c r="BY137" s="173">
        <f t="shared" ref="BY137:BY155" si="174">BW137+BU137+BS137+BQ137+BO137+BM137+BK137+BI137</f>
        <v>2</v>
      </c>
      <c r="BZ137" s="173">
        <f t="shared" ref="BZ137:BZ155" si="175">BX137+BV137+BT137+BR137+BP137+BN137+BL137+BJ137</f>
        <v>4</v>
      </c>
      <c r="CA137" s="180">
        <f t="shared" ref="CA137:CA155" si="176">BZ137+BY137</f>
        <v>6</v>
      </c>
    </row>
    <row r="138" spans="1:79" ht="80.099999999999994" customHeight="1">
      <c r="A138" s="173">
        <v>13</v>
      </c>
      <c r="B138" s="167" t="s">
        <v>84</v>
      </c>
      <c r="C138" s="168" t="s">
        <v>85</v>
      </c>
      <c r="D138" s="169">
        <v>50000</v>
      </c>
      <c r="E138" s="156">
        <f t="shared" si="156"/>
        <v>0</v>
      </c>
      <c r="F138" s="155"/>
      <c r="G138" s="174">
        <v>0</v>
      </c>
      <c r="H138" s="174">
        <v>0</v>
      </c>
      <c r="I138" s="173">
        <f t="shared" si="165"/>
        <v>0</v>
      </c>
      <c r="J138" s="173"/>
      <c r="K138" s="173"/>
      <c r="L138" s="174">
        <v>0</v>
      </c>
      <c r="M138" s="174">
        <v>0</v>
      </c>
      <c r="N138" s="173">
        <f t="shared" si="166"/>
        <v>0</v>
      </c>
      <c r="O138" s="174">
        <v>0</v>
      </c>
      <c r="P138" s="174">
        <v>0</v>
      </c>
      <c r="Q138" s="173">
        <f t="shared" si="167"/>
        <v>0</v>
      </c>
      <c r="R138" s="174">
        <v>0</v>
      </c>
      <c r="S138" s="174">
        <v>0</v>
      </c>
      <c r="T138" s="173">
        <f t="shared" si="168"/>
        <v>0</v>
      </c>
      <c r="U138" s="173"/>
      <c r="V138" s="173"/>
      <c r="W138" s="173"/>
      <c r="X138" s="173"/>
      <c r="Y138" s="173"/>
      <c r="Z138" s="176">
        <f t="shared" si="169"/>
        <v>0</v>
      </c>
      <c r="AA138" s="177"/>
      <c r="AB138" s="177"/>
      <c r="AC138" s="177"/>
      <c r="AD138" s="174"/>
      <c r="AE138" s="174"/>
      <c r="AF138" s="174"/>
      <c r="AG138" s="174">
        <v>0</v>
      </c>
      <c r="AH138" s="174">
        <v>0</v>
      </c>
      <c r="AI138" s="178">
        <f t="shared" si="157"/>
        <v>0</v>
      </c>
      <c r="AJ138" s="177"/>
      <c r="AK138" s="179"/>
      <c r="AL138" s="179"/>
      <c r="AM138" s="174"/>
      <c r="AN138" s="174"/>
      <c r="AO138" s="174"/>
      <c r="AP138" s="174">
        <v>0</v>
      </c>
      <c r="AQ138" s="174">
        <v>0</v>
      </c>
      <c r="AR138" s="178">
        <f t="shared" si="163"/>
        <v>0</v>
      </c>
      <c r="AS138" s="179">
        <f t="shared" si="146"/>
        <v>0</v>
      </c>
      <c r="AT138" s="179">
        <f t="shared" si="147"/>
        <v>0</v>
      </c>
      <c r="AU138" s="180">
        <f t="shared" si="148"/>
        <v>0</v>
      </c>
      <c r="AV138" s="180"/>
      <c r="AW138" s="180"/>
      <c r="AX138" s="176" t="e">
        <f t="shared" si="149"/>
        <v>#DIV/0!</v>
      </c>
      <c r="AY138" s="176"/>
      <c r="AZ138" s="176" t="e">
        <f t="shared" si="150"/>
        <v>#DIV/0!</v>
      </c>
      <c r="BA138" s="176">
        <f t="shared" si="170"/>
        <v>0</v>
      </c>
      <c r="BB138" s="176" t="e">
        <f t="shared" si="171"/>
        <v>#DIV/0!</v>
      </c>
      <c r="BC138" s="181">
        <f t="shared" si="172"/>
        <v>0</v>
      </c>
      <c r="BD138" s="182">
        <f t="shared" si="173"/>
        <v>0</v>
      </c>
      <c r="BE138" s="183"/>
      <c r="BF138" s="184">
        <v>15</v>
      </c>
      <c r="BG138" s="167" t="s">
        <v>84</v>
      </c>
      <c r="BH138" s="168" t="s">
        <v>85</v>
      </c>
      <c r="BI138" s="219"/>
      <c r="BJ138" s="219"/>
      <c r="BK138" s="174">
        <v>0</v>
      </c>
      <c r="BL138" s="174">
        <v>0</v>
      </c>
      <c r="BM138" s="174">
        <v>0</v>
      </c>
      <c r="BN138" s="174">
        <v>0</v>
      </c>
      <c r="BO138" s="174">
        <v>0</v>
      </c>
      <c r="BP138" s="174">
        <v>0</v>
      </c>
      <c r="BQ138" s="174">
        <v>0</v>
      </c>
      <c r="BR138" s="174">
        <v>0</v>
      </c>
      <c r="BS138" s="174">
        <v>0</v>
      </c>
      <c r="BT138" s="174">
        <v>0</v>
      </c>
      <c r="BU138" s="174">
        <v>0</v>
      </c>
      <c r="BV138" s="174">
        <v>0</v>
      </c>
      <c r="BW138" s="174">
        <v>0</v>
      </c>
      <c r="BX138" s="174">
        <v>0</v>
      </c>
      <c r="BY138" s="179">
        <f t="shared" si="174"/>
        <v>0</v>
      </c>
      <c r="BZ138" s="179">
        <f t="shared" si="175"/>
        <v>0</v>
      </c>
      <c r="CA138" s="185">
        <f t="shared" si="176"/>
        <v>0</v>
      </c>
    </row>
    <row r="139" spans="1:79" ht="80.099999999999994" customHeight="1">
      <c r="A139" s="173">
        <v>14</v>
      </c>
      <c r="B139" s="151" t="s">
        <v>86</v>
      </c>
      <c r="C139" s="146" t="s">
        <v>53</v>
      </c>
      <c r="D139" s="147">
        <v>100000</v>
      </c>
      <c r="E139" s="144">
        <f t="shared" si="156"/>
        <v>56.25</v>
      </c>
      <c r="F139" s="147">
        <v>25</v>
      </c>
      <c r="G139" s="174">
        <v>3</v>
      </c>
      <c r="H139" s="174">
        <v>1</v>
      </c>
      <c r="I139" s="173">
        <f t="shared" si="165"/>
        <v>4</v>
      </c>
      <c r="J139" s="173"/>
      <c r="K139" s="173"/>
      <c r="L139" s="174">
        <v>0</v>
      </c>
      <c r="M139" s="174">
        <v>0</v>
      </c>
      <c r="N139" s="173">
        <f t="shared" si="166"/>
        <v>0</v>
      </c>
      <c r="O139" s="174">
        <v>0</v>
      </c>
      <c r="P139" s="174">
        <v>0</v>
      </c>
      <c r="Q139" s="173">
        <f t="shared" si="167"/>
        <v>0</v>
      </c>
      <c r="R139" s="174">
        <v>0</v>
      </c>
      <c r="S139" s="174">
        <v>0</v>
      </c>
      <c r="T139" s="173">
        <f t="shared" si="168"/>
        <v>0</v>
      </c>
      <c r="U139" s="173"/>
      <c r="V139" s="173"/>
      <c r="W139" s="173"/>
      <c r="X139" s="173"/>
      <c r="Y139" s="173"/>
      <c r="Z139" s="175">
        <f t="shared" si="169"/>
        <v>0.2</v>
      </c>
      <c r="AA139" s="178"/>
      <c r="AB139" s="178"/>
      <c r="AC139" s="178"/>
      <c r="AD139" s="186"/>
      <c r="AE139" s="186"/>
      <c r="AF139" s="186"/>
      <c r="AG139" s="174">
        <v>1</v>
      </c>
      <c r="AH139" s="174">
        <v>7</v>
      </c>
      <c r="AI139" s="178">
        <f t="shared" si="157"/>
        <v>8</v>
      </c>
      <c r="AJ139" s="178"/>
      <c r="AK139" s="173"/>
      <c r="AL139" s="173"/>
      <c r="AM139" s="186"/>
      <c r="AN139" s="186"/>
      <c r="AO139" s="186"/>
      <c r="AP139" s="174">
        <v>0</v>
      </c>
      <c r="AQ139" s="174">
        <v>0</v>
      </c>
      <c r="AR139" s="178">
        <f t="shared" si="163"/>
        <v>0</v>
      </c>
      <c r="AS139" s="179">
        <f t="shared" si="146"/>
        <v>4</v>
      </c>
      <c r="AT139" s="179">
        <f t="shared" si="147"/>
        <v>8</v>
      </c>
      <c r="AU139" s="180">
        <f t="shared" si="148"/>
        <v>12</v>
      </c>
      <c r="AV139" s="180"/>
      <c r="AW139" s="180"/>
      <c r="AX139" s="176">
        <f t="shared" si="149"/>
        <v>0.33333333333333331</v>
      </c>
      <c r="AY139" s="176"/>
      <c r="AZ139" s="176">
        <f t="shared" si="150"/>
        <v>0.21333333333333335</v>
      </c>
      <c r="BA139" s="175">
        <f t="shared" si="170"/>
        <v>0.2711864406779661</v>
      </c>
      <c r="BB139" s="175">
        <f t="shared" si="171"/>
        <v>0</v>
      </c>
      <c r="BC139" s="187">
        <f t="shared" si="172"/>
        <v>16</v>
      </c>
      <c r="BD139" s="188">
        <f t="shared" si="173"/>
        <v>48</v>
      </c>
      <c r="BE139" s="189"/>
      <c r="BF139" s="184">
        <v>16</v>
      </c>
      <c r="BG139" s="151" t="s">
        <v>86</v>
      </c>
      <c r="BH139" s="146" t="s">
        <v>53</v>
      </c>
      <c r="BI139" s="219"/>
      <c r="BJ139" s="219"/>
      <c r="BK139" s="174">
        <v>0</v>
      </c>
      <c r="BL139" s="174">
        <v>0</v>
      </c>
      <c r="BM139" s="174">
        <v>0</v>
      </c>
      <c r="BN139" s="174">
        <v>0</v>
      </c>
      <c r="BO139" s="174">
        <v>1</v>
      </c>
      <c r="BP139" s="174">
        <v>0</v>
      </c>
      <c r="BQ139" s="174">
        <v>0</v>
      </c>
      <c r="BR139" s="174">
        <v>0</v>
      </c>
      <c r="BS139" s="174">
        <v>1</v>
      </c>
      <c r="BT139" s="174">
        <v>0</v>
      </c>
      <c r="BU139" s="174">
        <v>0</v>
      </c>
      <c r="BV139" s="174">
        <v>1</v>
      </c>
      <c r="BW139" s="174">
        <v>1</v>
      </c>
      <c r="BX139" s="174">
        <v>0</v>
      </c>
      <c r="BY139" s="173">
        <f t="shared" si="174"/>
        <v>3</v>
      </c>
      <c r="BZ139" s="173">
        <f t="shared" si="175"/>
        <v>1</v>
      </c>
      <c r="CA139" s="180">
        <f t="shared" si="176"/>
        <v>4</v>
      </c>
    </row>
    <row r="140" spans="1:79" ht="80.099999999999994" customHeight="1">
      <c r="A140" s="173">
        <v>15</v>
      </c>
      <c r="B140" s="151" t="s">
        <v>87</v>
      </c>
      <c r="C140" s="146" t="s">
        <v>57</v>
      </c>
      <c r="D140" s="147">
        <v>100000</v>
      </c>
      <c r="E140" s="144">
        <f t="shared" si="156"/>
        <v>67.5</v>
      </c>
      <c r="F140" s="147">
        <v>30</v>
      </c>
      <c r="G140" s="174">
        <v>8</v>
      </c>
      <c r="H140" s="174">
        <v>13</v>
      </c>
      <c r="I140" s="173">
        <f t="shared" si="165"/>
        <v>21</v>
      </c>
      <c r="J140" s="173"/>
      <c r="K140" s="173"/>
      <c r="L140" s="174">
        <v>0</v>
      </c>
      <c r="M140" s="174">
        <v>2</v>
      </c>
      <c r="N140" s="173">
        <f t="shared" si="166"/>
        <v>2</v>
      </c>
      <c r="O140" s="174">
        <v>0</v>
      </c>
      <c r="P140" s="174">
        <v>0</v>
      </c>
      <c r="Q140" s="173">
        <f t="shared" si="167"/>
        <v>0</v>
      </c>
      <c r="R140" s="174">
        <v>2</v>
      </c>
      <c r="S140" s="174">
        <v>0</v>
      </c>
      <c r="T140" s="173">
        <f t="shared" si="168"/>
        <v>2</v>
      </c>
      <c r="U140" s="173"/>
      <c r="V140" s="173"/>
      <c r="W140" s="173"/>
      <c r="X140" s="173"/>
      <c r="Y140" s="173"/>
      <c r="Z140" s="176">
        <f t="shared" si="169"/>
        <v>1.05</v>
      </c>
      <c r="AA140" s="177"/>
      <c r="AB140" s="177"/>
      <c r="AC140" s="177"/>
      <c r="AD140" s="174"/>
      <c r="AE140" s="174"/>
      <c r="AF140" s="174"/>
      <c r="AG140" s="174">
        <v>5</v>
      </c>
      <c r="AH140" s="174">
        <v>8</v>
      </c>
      <c r="AI140" s="178">
        <f t="shared" si="157"/>
        <v>13</v>
      </c>
      <c r="AJ140" s="177"/>
      <c r="AK140" s="179"/>
      <c r="AL140" s="179"/>
      <c r="AM140" s="174"/>
      <c r="AN140" s="174"/>
      <c r="AO140" s="174"/>
      <c r="AP140" s="174">
        <v>4</v>
      </c>
      <c r="AQ140" s="174">
        <v>12</v>
      </c>
      <c r="AR140" s="178">
        <f t="shared" si="163"/>
        <v>16</v>
      </c>
      <c r="AS140" s="179">
        <f t="shared" si="146"/>
        <v>19</v>
      </c>
      <c r="AT140" s="179">
        <f t="shared" si="147"/>
        <v>35</v>
      </c>
      <c r="AU140" s="180">
        <f t="shared" si="148"/>
        <v>54</v>
      </c>
      <c r="AV140" s="180"/>
      <c r="AW140" s="180"/>
      <c r="AX140" s="176">
        <f t="shared" si="149"/>
        <v>0.61764705882352944</v>
      </c>
      <c r="AY140" s="176"/>
      <c r="AZ140" s="176">
        <f t="shared" si="150"/>
        <v>0.8</v>
      </c>
      <c r="BA140" s="176">
        <f t="shared" si="170"/>
        <v>1.2203389830508475</v>
      </c>
      <c r="BB140" s="176">
        <f t="shared" si="171"/>
        <v>7.407407407407407E-2</v>
      </c>
      <c r="BC140" s="181">
        <f t="shared" si="172"/>
        <v>84</v>
      </c>
      <c r="BD140" s="182">
        <f t="shared" si="173"/>
        <v>216</v>
      </c>
      <c r="BE140" s="183"/>
      <c r="BF140" s="184">
        <v>17</v>
      </c>
      <c r="BG140" s="151" t="s">
        <v>87</v>
      </c>
      <c r="BH140" s="146" t="s">
        <v>57</v>
      </c>
      <c r="BI140" s="219"/>
      <c r="BJ140" s="219"/>
      <c r="BK140" s="174">
        <v>0</v>
      </c>
      <c r="BL140" s="174">
        <v>1</v>
      </c>
      <c r="BM140" s="174">
        <v>1</v>
      </c>
      <c r="BN140" s="174">
        <v>5</v>
      </c>
      <c r="BO140" s="174">
        <v>3</v>
      </c>
      <c r="BP140" s="174">
        <v>3</v>
      </c>
      <c r="BQ140" s="174">
        <v>0</v>
      </c>
      <c r="BR140" s="174">
        <v>2</v>
      </c>
      <c r="BS140" s="174">
        <v>1</v>
      </c>
      <c r="BT140" s="174">
        <v>2</v>
      </c>
      <c r="BU140" s="174">
        <v>3</v>
      </c>
      <c r="BV140" s="174">
        <v>0</v>
      </c>
      <c r="BW140" s="174">
        <v>0</v>
      </c>
      <c r="BX140" s="174">
        <v>0</v>
      </c>
      <c r="BY140" s="179">
        <f t="shared" si="174"/>
        <v>8</v>
      </c>
      <c r="BZ140" s="179">
        <f t="shared" si="175"/>
        <v>13</v>
      </c>
      <c r="CA140" s="185">
        <f t="shared" si="176"/>
        <v>21</v>
      </c>
    </row>
    <row r="141" spans="1:79" ht="80.099999999999994" customHeight="1">
      <c r="A141" s="173">
        <v>16</v>
      </c>
      <c r="B141" s="151" t="s">
        <v>88</v>
      </c>
      <c r="C141" s="146" t="s">
        <v>57</v>
      </c>
      <c r="D141" s="147">
        <v>150000</v>
      </c>
      <c r="E141" s="144">
        <f t="shared" si="156"/>
        <v>67.5</v>
      </c>
      <c r="F141" s="147">
        <v>30</v>
      </c>
      <c r="G141" s="174">
        <v>3</v>
      </c>
      <c r="H141" s="174">
        <v>9</v>
      </c>
      <c r="I141" s="173">
        <f t="shared" si="165"/>
        <v>12</v>
      </c>
      <c r="J141" s="173"/>
      <c r="K141" s="173"/>
      <c r="L141" s="174">
        <v>1</v>
      </c>
      <c r="M141" s="174">
        <v>0</v>
      </c>
      <c r="N141" s="173">
        <f t="shared" si="166"/>
        <v>1</v>
      </c>
      <c r="O141" s="174">
        <v>1</v>
      </c>
      <c r="P141" s="174">
        <v>0</v>
      </c>
      <c r="Q141" s="173">
        <f t="shared" si="167"/>
        <v>1</v>
      </c>
      <c r="R141" s="174">
        <v>0</v>
      </c>
      <c r="S141" s="174">
        <v>0</v>
      </c>
      <c r="T141" s="173">
        <f t="shared" si="168"/>
        <v>0</v>
      </c>
      <c r="U141" s="173"/>
      <c r="V141" s="173"/>
      <c r="W141" s="173"/>
      <c r="X141" s="173"/>
      <c r="Y141" s="173"/>
      <c r="Z141" s="175">
        <f t="shared" si="169"/>
        <v>0.4</v>
      </c>
      <c r="AA141" s="178"/>
      <c r="AB141" s="178"/>
      <c r="AC141" s="178"/>
      <c r="AD141" s="186"/>
      <c r="AE141" s="186"/>
      <c r="AF141" s="186"/>
      <c r="AG141" s="174">
        <v>4</v>
      </c>
      <c r="AH141" s="174">
        <v>5</v>
      </c>
      <c r="AI141" s="178">
        <f t="shared" si="157"/>
        <v>9</v>
      </c>
      <c r="AJ141" s="178"/>
      <c r="AK141" s="173"/>
      <c r="AL141" s="173"/>
      <c r="AM141" s="186"/>
      <c r="AN141" s="186"/>
      <c r="AO141" s="186"/>
      <c r="AP141" s="174">
        <v>1</v>
      </c>
      <c r="AQ141" s="174">
        <v>2</v>
      </c>
      <c r="AR141" s="178">
        <f t="shared" si="163"/>
        <v>3</v>
      </c>
      <c r="AS141" s="179">
        <f t="shared" si="146"/>
        <v>10</v>
      </c>
      <c r="AT141" s="179">
        <f t="shared" si="147"/>
        <v>16</v>
      </c>
      <c r="AU141" s="180">
        <f t="shared" si="148"/>
        <v>26</v>
      </c>
      <c r="AV141" s="180"/>
      <c r="AW141" s="180"/>
      <c r="AX141" s="176">
        <f t="shared" si="149"/>
        <v>0.5714285714285714</v>
      </c>
      <c r="AY141" s="176"/>
      <c r="AZ141" s="176">
        <f t="shared" si="150"/>
        <v>0.38518518518518519</v>
      </c>
      <c r="BA141" s="175">
        <f t="shared" si="170"/>
        <v>0.39171374764595102</v>
      </c>
      <c r="BB141" s="175">
        <f t="shared" si="171"/>
        <v>7.6923076923076927E-2</v>
      </c>
      <c r="BC141" s="187">
        <f t="shared" si="172"/>
        <v>32</v>
      </c>
      <c r="BD141" s="188">
        <f t="shared" si="173"/>
        <v>69.333333333333329</v>
      </c>
      <c r="BE141" s="189">
        <v>1</v>
      </c>
      <c r="BF141" s="184">
        <v>18</v>
      </c>
      <c r="BG141" s="151" t="s">
        <v>88</v>
      </c>
      <c r="BH141" s="146" t="s">
        <v>57</v>
      </c>
      <c r="BI141" s="219"/>
      <c r="BJ141" s="219"/>
      <c r="BK141" s="174">
        <v>0</v>
      </c>
      <c r="BL141" s="174">
        <v>0</v>
      </c>
      <c r="BM141" s="174">
        <v>2</v>
      </c>
      <c r="BN141" s="174">
        <v>5</v>
      </c>
      <c r="BO141" s="174">
        <v>1</v>
      </c>
      <c r="BP141" s="174">
        <v>1</v>
      </c>
      <c r="BQ141" s="174">
        <v>0</v>
      </c>
      <c r="BR141" s="174">
        <v>1</v>
      </c>
      <c r="BS141" s="174">
        <v>0</v>
      </c>
      <c r="BT141" s="174">
        <v>0</v>
      </c>
      <c r="BU141" s="174">
        <v>0</v>
      </c>
      <c r="BV141" s="174">
        <v>2</v>
      </c>
      <c r="BW141" s="174">
        <v>0</v>
      </c>
      <c r="BX141" s="174">
        <v>0</v>
      </c>
      <c r="BY141" s="173">
        <f t="shared" si="174"/>
        <v>3</v>
      </c>
      <c r="BZ141" s="173">
        <f t="shared" si="175"/>
        <v>9</v>
      </c>
      <c r="CA141" s="180">
        <f t="shared" si="176"/>
        <v>12</v>
      </c>
    </row>
    <row r="142" spans="1:79" ht="80.099999999999994" customHeight="1">
      <c r="A142" s="173">
        <v>17</v>
      </c>
      <c r="B142" s="151" t="s">
        <v>89</v>
      </c>
      <c r="C142" s="146" t="s">
        <v>76</v>
      </c>
      <c r="D142" s="147">
        <v>200000</v>
      </c>
      <c r="E142" s="144">
        <f t="shared" si="156"/>
        <v>56.25</v>
      </c>
      <c r="F142" s="147">
        <v>25</v>
      </c>
      <c r="G142" s="174">
        <v>1</v>
      </c>
      <c r="H142" s="174">
        <v>5</v>
      </c>
      <c r="I142" s="173">
        <f t="shared" si="165"/>
        <v>6</v>
      </c>
      <c r="J142" s="173"/>
      <c r="K142" s="173"/>
      <c r="L142" s="174">
        <v>0</v>
      </c>
      <c r="M142" s="174">
        <v>0</v>
      </c>
      <c r="N142" s="173">
        <f t="shared" si="166"/>
        <v>0</v>
      </c>
      <c r="O142" s="174">
        <v>0</v>
      </c>
      <c r="P142" s="174">
        <v>0</v>
      </c>
      <c r="Q142" s="173">
        <f t="shared" si="167"/>
        <v>0</v>
      </c>
      <c r="R142" s="174">
        <v>0</v>
      </c>
      <c r="S142" s="174">
        <v>0</v>
      </c>
      <c r="T142" s="173">
        <f t="shared" si="168"/>
        <v>0</v>
      </c>
      <c r="U142" s="173"/>
      <c r="V142" s="173"/>
      <c r="W142" s="173"/>
      <c r="X142" s="173"/>
      <c r="Y142" s="173"/>
      <c r="Z142" s="176">
        <f t="shared" si="169"/>
        <v>0.15</v>
      </c>
      <c r="AA142" s="177"/>
      <c r="AB142" s="177"/>
      <c r="AC142" s="177"/>
      <c r="AD142" s="174"/>
      <c r="AE142" s="174"/>
      <c r="AF142" s="174"/>
      <c r="AG142" s="174">
        <v>6</v>
      </c>
      <c r="AH142" s="174">
        <v>12</v>
      </c>
      <c r="AI142" s="178">
        <f t="shared" si="157"/>
        <v>18</v>
      </c>
      <c r="AJ142" s="177"/>
      <c r="AK142" s="179"/>
      <c r="AL142" s="179"/>
      <c r="AM142" s="174"/>
      <c r="AN142" s="174"/>
      <c r="AO142" s="174"/>
      <c r="AP142" s="174">
        <v>1</v>
      </c>
      <c r="AQ142" s="174">
        <v>5</v>
      </c>
      <c r="AR142" s="178">
        <f t="shared" si="163"/>
        <v>6</v>
      </c>
      <c r="AS142" s="179">
        <f t="shared" si="146"/>
        <v>8</v>
      </c>
      <c r="AT142" s="179">
        <f t="shared" si="147"/>
        <v>22</v>
      </c>
      <c r="AU142" s="180">
        <f t="shared" si="148"/>
        <v>30</v>
      </c>
      <c r="AV142" s="180"/>
      <c r="AW142" s="180"/>
      <c r="AX142" s="176">
        <f t="shared" si="149"/>
        <v>0.25</v>
      </c>
      <c r="AY142" s="176"/>
      <c r="AZ142" s="176">
        <f t="shared" si="150"/>
        <v>0.53333333333333333</v>
      </c>
      <c r="BA142" s="176">
        <f t="shared" si="170"/>
        <v>0.33898305084745761</v>
      </c>
      <c r="BB142" s="176">
        <f t="shared" si="171"/>
        <v>0</v>
      </c>
      <c r="BC142" s="181">
        <f t="shared" si="172"/>
        <v>12</v>
      </c>
      <c r="BD142" s="182">
        <f t="shared" si="173"/>
        <v>59.999999999999993</v>
      </c>
      <c r="BE142" s="183"/>
      <c r="BF142" s="184">
        <v>19</v>
      </c>
      <c r="BG142" s="151" t="s">
        <v>89</v>
      </c>
      <c r="BH142" s="146" t="s">
        <v>76</v>
      </c>
      <c r="BI142" s="219"/>
      <c r="BJ142" s="219"/>
      <c r="BK142" s="174">
        <v>0</v>
      </c>
      <c r="BL142" s="174">
        <v>0</v>
      </c>
      <c r="BM142" s="174">
        <v>0</v>
      </c>
      <c r="BN142" s="174">
        <v>0</v>
      </c>
      <c r="BO142" s="174">
        <v>1</v>
      </c>
      <c r="BP142" s="174">
        <v>1</v>
      </c>
      <c r="BQ142" s="174">
        <v>0</v>
      </c>
      <c r="BR142" s="174">
        <v>1</v>
      </c>
      <c r="BS142" s="174">
        <v>0</v>
      </c>
      <c r="BT142" s="174">
        <v>2</v>
      </c>
      <c r="BU142" s="174">
        <v>0</v>
      </c>
      <c r="BV142" s="174">
        <v>1</v>
      </c>
      <c r="BW142" s="174">
        <v>0</v>
      </c>
      <c r="BX142" s="174">
        <v>0</v>
      </c>
      <c r="BY142" s="179">
        <f t="shared" si="174"/>
        <v>1</v>
      </c>
      <c r="BZ142" s="179">
        <f t="shared" si="175"/>
        <v>5</v>
      </c>
      <c r="CA142" s="185">
        <f t="shared" si="176"/>
        <v>6</v>
      </c>
    </row>
    <row r="143" spans="1:79" ht="80.099999999999994" customHeight="1">
      <c r="A143" s="173">
        <v>18</v>
      </c>
      <c r="B143" s="142" t="s">
        <v>90</v>
      </c>
      <c r="C143" s="143" t="s">
        <v>71</v>
      </c>
      <c r="D143" s="145">
        <v>100000</v>
      </c>
      <c r="E143" s="144">
        <f t="shared" si="156"/>
        <v>67.5</v>
      </c>
      <c r="F143" s="145">
        <v>30</v>
      </c>
      <c r="G143" s="174">
        <v>1</v>
      </c>
      <c r="H143" s="174">
        <v>3</v>
      </c>
      <c r="I143" s="173">
        <f t="shared" si="165"/>
        <v>4</v>
      </c>
      <c r="J143" s="173"/>
      <c r="K143" s="173"/>
      <c r="L143" s="174">
        <v>4</v>
      </c>
      <c r="M143" s="174">
        <v>0</v>
      </c>
      <c r="N143" s="173">
        <f t="shared" si="166"/>
        <v>4</v>
      </c>
      <c r="O143" s="174">
        <v>0</v>
      </c>
      <c r="P143" s="174">
        <v>0</v>
      </c>
      <c r="Q143" s="173">
        <f t="shared" si="167"/>
        <v>0</v>
      </c>
      <c r="R143" s="174">
        <v>0</v>
      </c>
      <c r="S143" s="174">
        <v>0</v>
      </c>
      <c r="T143" s="173">
        <f t="shared" si="168"/>
        <v>0</v>
      </c>
      <c r="U143" s="173"/>
      <c r="V143" s="173"/>
      <c r="W143" s="173"/>
      <c r="X143" s="173"/>
      <c r="Y143" s="173"/>
      <c r="Z143" s="175">
        <f t="shared" si="169"/>
        <v>0.2</v>
      </c>
      <c r="AA143" s="178"/>
      <c r="AB143" s="178"/>
      <c r="AC143" s="178"/>
      <c r="AD143" s="186"/>
      <c r="AE143" s="186"/>
      <c r="AF143" s="186"/>
      <c r="AG143" s="174">
        <v>3</v>
      </c>
      <c r="AH143" s="174">
        <v>4</v>
      </c>
      <c r="AI143" s="178">
        <f t="shared" si="157"/>
        <v>7</v>
      </c>
      <c r="AJ143" s="178"/>
      <c r="AK143" s="173"/>
      <c r="AL143" s="173"/>
      <c r="AM143" s="186"/>
      <c r="AN143" s="186"/>
      <c r="AO143" s="186"/>
      <c r="AP143" s="174">
        <v>3</v>
      </c>
      <c r="AQ143" s="174">
        <v>7</v>
      </c>
      <c r="AR143" s="178">
        <f t="shared" si="163"/>
        <v>10</v>
      </c>
      <c r="AS143" s="179">
        <f t="shared" si="146"/>
        <v>11</v>
      </c>
      <c r="AT143" s="179">
        <f t="shared" si="147"/>
        <v>14</v>
      </c>
      <c r="AU143" s="180">
        <f t="shared" si="148"/>
        <v>25</v>
      </c>
      <c r="AV143" s="180"/>
      <c r="AW143" s="180"/>
      <c r="AX143" s="176">
        <f t="shared" si="149"/>
        <v>0.36363636363636365</v>
      </c>
      <c r="AY143" s="176"/>
      <c r="AZ143" s="176">
        <f t="shared" si="150"/>
        <v>0.37037037037037035</v>
      </c>
      <c r="BA143" s="175">
        <f t="shared" si="170"/>
        <v>0.56497175141242939</v>
      </c>
      <c r="BB143" s="175">
        <f t="shared" si="171"/>
        <v>0.16</v>
      </c>
      <c r="BC143" s="187">
        <f t="shared" si="172"/>
        <v>16</v>
      </c>
      <c r="BD143" s="188">
        <f t="shared" si="173"/>
        <v>100</v>
      </c>
      <c r="BE143" s="189"/>
      <c r="BF143" s="184">
        <v>20</v>
      </c>
      <c r="BG143" s="142" t="s">
        <v>90</v>
      </c>
      <c r="BH143" s="143" t="s">
        <v>71</v>
      </c>
      <c r="BI143" s="219"/>
      <c r="BJ143" s="219"/>
      <c r="BK143" s="174">
        <v>0</v>
      </c>
      <c r="BL143" s="174">
        <v>0</v>
      </c>
      <c r="BM143" s="174">
        <v>0</v>
      </c>
      <c r="BN143" s="174">
        <v>1</v>
      </c>
      <c r="BO143" s="174">
        <v>0</v>
      </c>
      <c r="BP143" s="174">
        <v>1</v>
      </c>
      <c r="BQ143" s="174">
        <v>0</v>
      </c>
      <c r="BR143" s="174">
        <v>1</v>
      </c>
      <c r="BS143" s="174">
        <v>0</v>
      </c>
      <c r="BT143" s="174">
        <v>0</v>
      </c>
      <c r="BU143" s="174">
        <v>1</v>
      </c>
      <c r="BV143" s="174">
        <v>0</v>
      </c>
      <c r="BW143" s="174">
        <v>0</v>
      </c>
      <c r="BX143" s="174">
        <v>0</v>
      </c>
      <c r="BY143" s="173">
        <f t="shared" si="174"/>
        <v>1</v>
      </c>
      <c r="BZ143" s="173">
        <f t="shared" si="175"/>
        <v>3</v>
      </c>
      <c r="CA143" s="180">
        <f t="shared" si="176"/>
        <v>4</v>
      </c>
    </row>
    <row r="144" spans="1:79" ht="80.099999999999994" customHeight="1">
      <c r="A144" s="173">
        <v>19</v>
      </c>
      <c r="B144" s="142" t="s">
        <v>91</v>
      </c>
      <c r="C144" s="146" t="s">
        <v>57</v>
      </c>
      <c r="D144" s="147">
        <v>150000</v>
      </c>
      <c r="E144" s="144">
        <f t="shared" si="156"/>
        <v>67.5</v>
      </c>
      <c r="F144" s="147">
        <v>30</v>
      </c>
      <c r="G144" s="174">
        <v>0</v>
      </c>
      <c r="H144" s="174">
        <v>0</v>
      </c>
      <c r="I144" s="173">
        <f t="shared" si="165"/>
        <v>0</v>
      </c>
      <c r="J144" s="173"/>
      <c r="K144" s="173"/>
      <c r="L144" s="174">
        <v>0</v>
      </c>
      <c r="M144" s="174">
        <v>0</v>
      </c>
      <c r="N144" s="173">
        <f t="shared" si="166"/>
        <v>0</v>
      </c>
      <c r="O144" s="174">
        <v>0</v>
      </c>
      <c r="P144" s="174">
        <v>0</v>
      </c>
      <c r="Q144" s="173">
        <f t="shared" si="167"/>
        <v>0</v>
      </c>
      <c r="R144" s="174">
        <v>0</v>
      </c>
      <c r="S144" s="174">
        <v>0</v>
      </c>
      <c r="T144" s="173">
        <f t="shared" si="168"/>
        <v>0</v>
      </c>
      <c r="U144" s="173"/>
      <c r="V144" s="173"/>
      <c r="W144" s="173"/>
      <c r="X144" s="173"/>
      <c r="Y144" s="173"/>
      <c r="Z144" s="176">
        <f t="shared" si="169"/>
        <v>0</v>
      </c>
      <c r="AA144" s="177"/>
      <c r="AB144" s="177"/>
      <c r="AC144" s="177"/>
      <c r="AD144" s="174"/>
      <c r="AE144" s="174"/>
      <c r="AF144" s="174"/>
      <c r="AG144" s="174">
        <v>3</v>
      </c>
      <c r="AH144" s="174">
        <v>10</v>
      </c>
      <c r="AI144" s="178">
        <f t="shared" si="157"/>
        <v>13</v>
      </c>
      <c r="AJ144" s="177"/>
      <c r="AK144" s="179"/>
      <c r="AL144" s="179"/>
      <c r="AM144" s="174"/>
      <c r="AN144" s="174"/>
      <c r="AO144" s="174"/>
      <c r="AP144" s="174">
        <v>0</v>
      </c>
      <c r="AQ144" s="174">
        <v>0</v>
      </c>
      <c r="AR144" s="178">
        <f t="shared" ref="AR144:AR153" si="177">AP144+AQ144</f>
        <v>0</v>
      </c>
      <c r="AS144" s="179">
        <f t="shared" si="146"/>
        <v>3</v>
      </c>
      <c r="AT144" s="179">
        <f t="shared" si="147"/>
        <v>10</v>
      </c>
      <c r="AU144" s="180">
        <f t="shared" si="148"/>
        <v>13</v>
      </c>
      <c r="AV144" s="180"/>
      <c r="AW144" s="180"/>
      <c r="AX144" s="176">
        <f t="shared" si="149"/>
        <v>0</v>
      </c>
      <c r="AY144" s="176"/>
      <c r="AZ144" s="176">
        <f t="shared" si="150"/>
        <v>0.19259259259259259</v>
      </c>
      <c r="BA144" s="176">
        <f t="shared" si="170"/>
        <v>0.19585687382297551</v>
      </c>
      <c r="BB144" s="176">
        <f t="shared" si="171"/>
        <v>0</v>
      </c>
      <c r="BC144" s="181">
        <f t="shared" si="172"/>
        <v>0</v>
      </c>
      <c r="BD144" s="182">
        <f t="shared" si="173"/>
        <v>34.666666666666664</v>
      </c>
      <c r="BE144" s="183"/>
      <c r="BF144" s="184">
        <v>21</v>
      </c>
      <c r="BG144" s="142" t="s">
        <v>91</v>
      </c>
      <c r="BH144" s="146" t="s">
        <v>57</v>
      </c>
      <c r="BI144" s="219"/>
      <c r="BJ144" s="219"/>
      <c r="BK144" s="174">
        <v>0</v>
      </c>
      <c r="BL144" s="174">
        <v>0</v>
      </c>
      <c r="BM144" s="174">
        <v>0</v>
      </c>
      <c r="BN144" s="174">
        <v>0</v>
      </c>
      <c r="BO144" s="174">
        <v>0</v>
      </c>
      <c r="BP144" s="174">
        <v>0</v>
      </c>
      <c r="BQ144" s="174">
        <v>0</v>
      </c>
      <c r="BR144" s="174">
        <v>0</v>
      </c>
      <c r="BS144" s="174">
        <v>0</v>
      </c>
      <c r="BT144" s="174">
        <v>0</v>
      </c>
      <c r="BU144" s="174">
        <v>0</v>
      </c>
      <c r="BV144" s="174">
        <v>0</v>
      </c>
      <c r="BW144" s="174">
        <v>0</v>
      </c>
      <c r="BX144" s="174">
        <v>0</v>
      </c>
      <c r="BY144" s="179">
        <f t="shared" si="174"/>
        <v>0</v>
      </c>
      <c r="BZ144" s="179">
        <f t="shared" si="175"/>
        <v>0</v>
      </c>
      <c r="CA144" s="185">
        <f t="shared" si="176"/>
        <v>0</v>
      </c>
    </row>
    <row r="145" spans="1:79" ht="80.099999999999994" customHeight="1">
      <c r="A145" s="173">
        <v>20</v>
      </c>
      <c r="B145" s="167" t="s">
        <v>92</v>
      </c>
      <c r="C145" s="168" t="s">
        <v>49</v>
      </c>
      <c r="D145" s="170">
        <v>50000</v>
      </c>
      <c r="E145" s="144">
        <f t="shared" si="156"/>
        <v>0</v>
      </c>
      <c r="F145" s="158">
        <v>0</v>
      </c>
      <c r="G145" s="174">
        <v>0</v>
      </c>
      <c r="H145" s="174">
        <v>0</v>
      </c>
      <c r="I145" s="173">
        <f t="shared" si="165"/>
        <v>0</v>
      </c>
      <c r="J145" s="173"/>
      <c r="K145" s="173"/>
      <c r="L145" s="174">
        <v>0</v>
      </c>
      <c r="M145" s="174">
        <v>0</v>
      </c>
      <c r="N145" s="173">
        <f t="shared" si="166"/>
        <v>0</v>
      </c>
      <c r="O145" s="174">
        <v>0</v>
      </c>
      <c r="P145" s="174">
        <v>0</v>
      </c>
      <c r="Q145" s="173">
        <f t="shared" si="167"/>
        <v>0</v>
      </c>
      <c r="R145" s="174">
        <v>0</v>
      </c>
      <c r="S145" s="174">
        <v>0</v>
      </c>
      <c r="T145" s="173">
        <f t="shared" si="168"/>
        <v>0</v>
      </c>
      <c r="U145" s="173"/>
      <c r="V145" s="173"/>
      <c r="W145" s="173"/>
      <c r="X145" s="173"/>
      <c r="Y145" s="173"/>
      <c r="Z145" s="175">
        <f t="shared" si="169"/>
        <v>0</v>
      </c>
      <c r="AA145" s="178"/>
      <c r="AB145" s="178"/>
      <c r="AC145" s="178"/>
      <c r="AD145" s="186"/>
      <c r="AE145" s="186"/>
      <c r="AF145" s="186"/>
      <c r="AG145" s="174">
        <v>0</v>
      </c>
      <c r="AH145" s="174">
        <v>9</v>
      </c>
      <c r="AI145" s="178">
        <f t="shared" si="157"/>
        <v>9</v>
      </c>
      <c r="AJ145" s="178"/>
      <c r="AK145" s="173"/>
      <c r="AL145" s="173"/>
      <c r="AM145" s="186"/>
      <c r="AN145" s="186"/>
      <c r="AO145" s="186"/>
      <c r="AP145" s="174">
        <v>0</v>
      </c>
      <c r="AQ145" s="174">
        <v>0</v>
      </c>
      <c r="AR145" s="178">
        <f t="shared" si="177"/>
        <v>0</v>
      </c>
      <c r="AS145" s="179">
        <f t="shared" si="146"/>
        <v>0</v>
      </c>
      <c r="AT145" s="179">
        <f t="shared" si="147"/>
        <v>9</v>
      </c>
      <c r="AU145" s="180">
        <f t="shared" si="148"/>
        <v>9</v>
      </c>
      <c r="AV145" s="180"/>
      <c r="AW145" s="180"/>
      <c r="AX145" s="176">
        <f t="shared" si="149"/>
        <v>0</v>
      </c>
      <c r="AY145" s="176"/>
      <c r="AZ145" s="176" t="e">
        <f t="shared" si="150"/>
        <v>#DIV/0!</v>
      </c>
      <c r="BA145" s="175">
        <f t="shared" si="170"/>
        <v>0.40677966101694918</v>
      </c>
      <c r="BB145" s="175">
        <f t="shared" si="171"/>
        <v>0</v>
      </c>
      <c r="BC145" s="187">
        <f t="shared" si="172"/>
        <v>0</v>
      </c>
      <c r="BD145" s="188">
        <f t="shared" si="173"/>
        <v>72</v>
      </c>
      <c r="BE145" s="189"/>
      <c r="BF145" s="184">
        <v>22</v>
      </c>
      <c r="BG145" s="167" t="s">
        <v>92</v>
      </c>
      <c r="BH145" s="168" t="s">
        <v>49</v>
      </c>
      <c r="BI145" s="219"/>
      <c r="BJ145" s="219"/>
      <c r="BK145" s="174">
        <v>0</v>
      </c>
      <c r="BL145" s="174">
        <v>0</v>
      </c>
      <c r="BM145" s="174">
        <v>0</v>
      </c>
      <c r="BN145" s="174">
        <v>0</v>
      </c>
      <c r="BO145" s="174">
        <v>0</v>
      </c>
      <c r="BP145" s="174">
        <v>0</v>
      </c>
      <c r="BQ145" s="174">
        <v>0</v>
      </c>
      <c r="BR145" s="174">
        <v>0</v>
      </c>
      <c r="BS145" s="174">
        <v>0</v>
      </c>
      <c r="BT145" s="174">
        <v>0</v>
      </c>
      <c r="BU145" s="174">
        <v>0</v>
      </c>
      <c r="BV145" s="174">
        <v>0</v>
      </c>
      <c r="BW145" s="174">
        <v>0</v>
      </c>
      <c r="BX145" s="174">
        <v>0</v>
      </c>
      <c r="BY145" s="173">
        <f t="shared" si="174"/>
        <v>0</v>
      </c>
      <c r="BZ145" s="173">
        <f t="shared" si="175"/>
        <v>0</v>
      </c>
      <c r="CA145" s="180">
        <f t="shared" si="176"/>
        <v>0</v>
      </c>
    </row>
    <row r="146" spans="1:79" ht="80.099999999999994" customHeight="1">
      <c r="A146" s="173">
        <v>21</v>
      </c>
      <c r="B146" s="142" t="s">
        <v>93</v>
      </c>
      <c r="C146" s="143" t="s">
        <v>80</v>
      </c>
      <c r="D146" s="145">
        <v>100000</v>
      </c>
      <c r="E146" s="144">
        <f t="shared" si="156"/>
        <v>56.25</v>
      </c>
      <c r="F146" s="145">
        <v>25</v>
      </c>
      <c r="G146" s="174">
        <v>1</v>
      </c>
      <c r="H146" s="174">
        <v>4</v>
      </c>
      <c r="I146" s="173">
        <f t="shared" si="165"/>
        <v>5</v>
      </c>
      <c r="J146" s="173"/>
      <c r="K146" s="173"/>
      <c r="L146" s="174">
        <v>0</v>
      </c>
      <c r="M146" s="174">
        <v>0</v>
      </c>
      <c r="N146" s="173">
        <f t="shared" si="166"/>
        <v>0</v>
      </c>
      <c r="O146" s="174">
        <v>0</v>
      </c>
      <c r="P146" s="174">
        <v>0</v>
      </c>
      <c r="Q146" s="173">
        <f t="shared" si="167"/>
        <v>0</v>
      </c>
      <c r="R146" s="174">
        <v>1</v>
      </c>
      <c r="S146" s="174">
        <v>0</v>
      </c>
      <c r="T146" s="173">
        <f t="shared" si="168"/>
        <v>1</v>
      </c>
      <c r="U146" s="173"/>
      <c r="V146" s="173"/>
      <c r="W146" s="173"/>
      <c r="X146" s="173"/>
      <c r="Y146" s="173"/>
      <c r="Z146" s="176">
        <f t="shared" si="169"/>
        <v>0.25</v>
      </c>
      <c r="AA146" s="177"/>
      <c r="AB146" s="177"/>
      <c r="AC146" s="177"/>
      <c r="AD146" s="174"/>
      <c r="AE146" s="174"/>
      <c r="AF146" s="174"/>
      <c r="AG146" s="174">
        <v>0</v>
      </c>
      <c r="AH146" s="174">
        <v>1</v>
      </c>
      <c r="AI146" s="178">
        <f t="shared" si="157"/>
        <v>1</v>
      </c>
      <c r="AJ146" s="177"/>
      <c r="AK146" s="179"/>
      <c r="AL146" s="179"/>
      <c r="AM146" s="174"/>
      <c r="AN146" s="174"/>
      <c r="AO146" s="174"/>
      <c r="AP146" s="174">
        <v>0</v>
      </c>
      <c r="AQ146" s="174">
        <v>0</v>
      </c>
      <c r="AR146" s="178">
        <f t="shared" si="177"/>
        <v>0</v>
      </c>
      <c r="AS146" s="179">
        <f t="shared" si="146"/>
        <v>2</v>
      </c>
      <c r="AT146" s="179">
        <f t="shared" si="147"/>
        <v>5</v>
      </c>
      <c r="AU146" s="180">
        <f t="shared" si="148"/>
        <v>7</v>
      </c>
      <c r="AV146" s="180"/>
      <c r="AW146" s="180"/>
      <c r="AX146" s="176">
        <f t="shared" si="149"/>
        <v>0.83333333333333337</v>
      </c>
      <c r="AY146" s="176"/>
      <c r="AZ146" s="176">
        <f t="shared" si="150"/>
        <v>0.12444444444444444</v>
      </c>
      <c r="BA146" s="176">
        <f t="shared" si="170"/>
        <v>0.15819209039548024</v>
      </c>
      <c r="BB146" s="176">
        <f t="shared" si="171"/>
        <v>0.14285714285714285</v>
      </c>
      <c r="BC146" s="181">
        <f t="shared" si="172"/>
        <v>20</v>
      </c>
      <c r="BD146" s="182">
        <f t="shared" si="173"/>
        <v>27.999999999999996</v>
      </c>
      <c r="BE146" s="183"/>
      <c r="BF146" s="184">
        <v>23</v>
      </c>
      <c r="BG146" s="142" t="s">
        <v>93</v>
      </c>
      <c r="BH146" s="143" t="s">
        <v>80</v>
      </c>
      <c r="BI146" s="219"/>
      <c r="BJ146" s="219"/>
      <c r="BK146" s="174">
        <v>0</v>
      </c>
      <c r="BL146" s="174">
        <v>1</v>
      </c>
      <c r="BM146" s="174">
        <v>0</v>
      </c>
      <c r="BN146" s="174">
        <v>3</v>
      </c>
      <c r="BO146" s="174">
        <v>0</v>
      </c>
      <c r="BP146" s="174">
        <v>0</v>
      </c>
      <c r="BQ146" s="174">
        <v>0</v>
      </c>
      <c r="BR146" s="174">
        <v>0</v>
      </c>
      <c r="BS146" s="174">
        <v>1</v>
      </c>
      <c r="BT146" s="174">
        <v>0</v>
      </c>
      <c r="BU146" s="174">
        <v>0</v>
      </c>
      <c r="BV146" s="174">
        <v>0</v>
      </c>
      <c r="BW146" s="174">
        <v>0</v>
      </c>
      <c r="BX146" s="174">
        <v>0</v>
      </c>
      <c r="BY146" s="179">
        <f t="shared" si="174"/>
        <v>1</v>
      </c>
      <c r="BZ146" s="179">
        <f t="shared" si="175"/>
        <v>4</v>
      </c>
      <c r="CA146" s="185">
        <f t="shared" si="176"/>
        <v>5</v>
      </c>
    </row>
    <row r="147" spans="1:79" ht="80.099999999999994" customHeight="1">
      <c r="A147" s="173">
        <v>22</v>
      </c>
      <c r="B147" s="142" t="s">
        <v>94</v>
      </c>
      <c r="C147" s="143" t="s">
        <v>95</v>
      </c>
      <c r="D147" s="145">
        <v>200000</v>
      </c>
      <c r="E147" s="144">
        <f t="shared" si="156"/>
        <v>67.5</v>
      </c>
      <c r="F147" s="145">
        <v>30</v>
      </c>
      <c r="G147" s="174">
        <v>5</v>
      </c>
      <c r="H147" s="174">
        <v>3</v>
      </c>
      <c r="I147" s="173">
        <f t="shared" si="165"/>
        <v>8</v>
      </c>
      <c r="J147" s="173"/>
      <c r="K147" s="173"/>
      <c r="L147" s="174">
        <v>0</v>
      </c>
      <c r="M147" s="174">
        <v>0</v>
      </c>
      <c r="N147" s="173">
        <f t="shared" si="166"/>
        <v>0</v>
      </c>
      <c r="O147" s="174">
        <v>0</v>
      </c>
      <c r="P147" s="174">
        <v>0</v>
      </c>
      <c r="Q147" s="173">
        <f t="shared" si="167"/>
        <v>0</v>
      </c>
      <c r="R147" s="174">
        <v>0</v>
      </c>
      <c r="S147" s="174">
        <v>0</v>
      </c>
      <c r="T147" s="173">
        <f t="shared" si="168"/>
        <v>0</v>
      </c>
      <c r="U147" s="173"/>
      <c r="V147" s="173"/>
      <c r="W147" s="173"/>
      <c r="X147" s="173"/>
      <c r="Y147" s="173"/>
      <c r="Z147" s="175">
        <f t="shared" si="169"/>
        <v>0.2</v>
      </c>
      <c r="AA147" s="178"/>
      <c r="AB147" s="178"/>
      <c r="AC147" s="178"/>
      <c r="AD147" s="186"/>
      <c r="AE147" s="186"/>
      <c r="AF147" s="186"/>
      <c r="AG147" s="174">
        <v>2</v>
      </c>
      <c r="AH147" s="174">
        <v>8</v>
      </c>
      <c r="AI147" s="178">
        <f t="shared" si="157"/>
        <v>10</v>
      </c>
      <c r="AJ147" s="178"/>
      <c r="AK147" s="173"/>
      <c r="AL147" s="173"/>
      <c r="AM147" s="186"/>
      <c r="AN147" s="186"/>
      <c r="AO147" s="186"/>
      <c r="AP147" s="174">
        <v>7</v>
      </c>
      <c r="AQ147" s="174">
        <v>12</v>
      </c>
      <c r="AR147" s="178">
        <f t="shared" si="177"/>
        <v>19</v>
      </c>
      <c r="AS147" s="179">
        <f t="shared" si="146"/>
        <v>14</v>
      </c>
      <c r="AT147" s="179">
        <f t="shared" si="147"/>
        <v>23</v>
      </c>
      <c r="AU147" s="180">
        <f t="shared" si="148"/>
        <v>37</v>
      </c>
      <c r="AV147" s="180"/>
      <c r="AW147" s="180"/>
      <c r="AX147" s="176">
        <f t="shared" si="149"/>
        <v>0.44444444444444442</v>
      </c>
      <c r="AY147" s="176"/>
      <c r="AZ147" s="176">
        <f t="shared" si="150"/>
        <v>0.54814814814814816</v>
      </c>
      <c r="BA147" s="175">
        <f t="shared" si="170"/>
        <v>0.41807909604519772</v>
      </c>
      <c r="BB147" s="175">
        <f t="shared" si="171"/>
        <v>0</v>
      </c>
      <c r="BC147" s="187">
        <f t="shared" si="172"/>
        <v>16</v>
      </c>
      <c r="BD147" s="188">
        <f t="shared" si="173"/>
        <v>74</v>
      </c>
      <c r="BE147" s="189"/>
      <c r="BF147" s="184">
        <v>24</v>
      </c>
      <c r="BG147" s="142" t="s">
        <v>94</v>
      </c>
      <c r="BH147" s="143" t="s">
        <v>95</v>
      </c>
      <c r="BI147" s="219"/>
      <c r="BJ147" s="219"/>
      <c r="BK147" s="174">
        <v>1</v>
      </c>
      <c r="BL147" s="174">
        <v>0</v>
      </c>
      <c r="BM147" s="174">
        <v>2</v>
      </c>
      <c r="BN147" s="174">
        <v>0</v>
      </c>
      <c r="BO147" s="174">
        <v>0</v>
      </c>
      <c r="BP147" s="174">
        <v>0</v>
      </c>
      <c r="BQ147" s="174">
        <v>1</v>
      </c>
      <c r="BR147" s="174">
        <v>2</v>
      </c>
      <c r="BS147" s="174">
        <v>0</v>
      </c>
      <c r="BT147" s="174">
        <v>1</v>
      </c>
      <c r="BU147" s="174">
        <v>0</v>
      </c>
      <c r="BV147" s="174">
        <v>0</v>
      </c>
      <c r="BW147" s="174">
        <v>1</v>
      </c>
      <c r="BX147" s="174">
        <v>0</v>
      </c>
      <c r="BY147" s="173">
        <f t="shared" si="174"/>
        <v>5</v>
      </c>
      <c r="BZ147" s="173">
        <f t="shared" si="175"/>
        <v>3</v>
      </c>
      <c r="CA147" s="180">
        <f t="shared" si="176"/>
        <v>8</v>
      </c>
    </row>
    <row r="148" spans="1:79" ht="111.75" customHeight="1">
      <c r="A148" s="173">
        <v>23</v>
      </c>
      <c r="B148" s="151" t="s">
        <v>96</v>
      </c>
      <c r="C148" s="146" t="s">
        <v>49</v>
      </c>
      <c r="D148" s="147">
        <v>150000</v>
      </c>
      <c r="E148" s="144">
        <f t="shared" si="156"/>
        <v>56.25</v>
      </c>
      <c r="F148" s="147">
        <v>25</v>
      </c>
      <c r="G148" s="174">
        <v>4</v>
      </c>
      <c r="H148" s="174">
        <v>3</v>
      </c>
      <c r="I148" s="173">
        <f t="shared" si="165"/>
        <v>7</v>
      </c>
      <c r="J148" s="173"/>
      <c r="K148" s="173"/>
      <c r="L148" s="174">
        <v>0</v>
      </c>
      <c r="M148" s="174">
        <v>0</v>
      </c>
      <c r="N148" s="173">
        <f t="shared" si="166"/>
        <v>0</v>
      </c>
      <c r="O148" s="174">
        <v>0</v>
      </c>
      <c r="P148" s="174">
        <v>0</v>
      </c>
      <c r="Q148" s="173">
        <f t="shared" si="167"/>
        <v>0</v>
      </c>
      <c r="R148" s="174">
        <v>0</v>
      </c>
      <c r="S148" s="174">
        <v>0</v>
      </c>
      <c r="T148" s="173">
        <f t="shared" si="168"/>
        <v>0</v>
      </c>
      <c r="U148" s="173"/>
      <c r="V148" s="173"/>
      <c r="W148" s="173"/>
      <c r="X148" s="173"/>
      <c r="Y148" s="173"/>
      <c r="Z148" s="175">
        <f t="shared" si="169"/>
        <v>0.23333333333333334</v>
      </c>
      <c r="AA148" s="178"/>
      <c r="AB148" s="178"/>
      <c r="AC148" s="178"/>
      <c r="AD148" s="186"/>
      <c r="AE148" s="186"/>
      <c r="AF148" s="186"/>
      <c r="AG148" s="174">
        <v>2</v>
      </c>
      <c r="AH148" s="174">
        <v>1</v>
      </c>
      <c r="AI148" s="178">
        <f t="shared" si="157"/>
        <v>3</v>
      </c>
      <c r="AJ148" s="178"/>
      <c r="AK148" s="173"/>
      <c r="AL148" s="173"/>
      <c r="AM148" s="186"/>
      <c r="AN148" s="186"/>
      <c r="AO148" s="186"/>
      <c r="AP148" s="174">
        <v>0</v>
      </c>
      <c r="AQ148" s="174">
        <v>3</v>
      </c>
      <c r="AR148" s="178">
        <f t="shared" si="177"/>
        <v>3</v>
      </c>
      <c r="AS148" s="179">
        <f t="shared" si="146"/>
        <v>6</v>
      </c>
      <c r="AT148" s="179">
        <f t="shared" si="147"/>
        <v>7</v>
      </c>
      <c r="AU148" s="180">
        <f t="shared" si="148"/>
        <v>13</v>
      </c>
      <c r="AV148" s="180"/>
      <c r="AW148" s="180"/>
      <c r="AX148" s="176">
        <f t="shared" si="149"/>
        <v>0.7</v>
      </c>
      <c r="AY148" s="176"/>
      <c r="AZ148" s="176">
        <f t="shared" si="150"/>
        <v>0.2311111111111111</v>
      </c>
      <c r="BA148" s="175">
        <f t="shared" si="170"/>
        <v>0.19585687382297551</v>
      </c>
      <c r="BB148" s="175">
        <f t="shared" si="171"/>
        <v>0</v>
      </c>
      <c r="BC148" s="187">
        <f t="shared" si="172"/>
        <v>18.666666666666664</v>
      </c>
      <c r="BD148" s="188">
        <f t="shared" si="173"/>
        <v>34.666666666666664</v>
      </c>
      <c r="BE148" s="189"/>
      <c r="BF148" s="184">
        <v>25</v>
      </c>
      <c r="BG148" s="151" t="s">
        <v>96</v>
      </c>
      <c r="BH148" s="146" t="s">
        <v>49</v>
      </c>
      <c r="BI148" s="219"/>
      <c r="BJ148" s="219"/>
      <c r="BK148" s="174">
        <v>2</v>
      </c>
      <c r="BL148" s="174">
        <v>0</v>
      </c>
      <c r="BM148" s="174">
        <v>0</v>
      </c>
      <c r="BN148" s="174">
        <v>2</v>
      </c>
      <c r="BO148" s="174">
        <v>2</v>
      </c>
      <c r="BP148" s="174">
        <v>1</v>
      </c>
      <c r="BQ148" s="174">
        <v>0</v>
      </c>
      <c r="BR148" s="174">
        <v>0</v>
      </c>
      <c r="BS148" s="174">
        <v>0</v>
      </c>
      <c r="BT148" s="174">
        <v>0</v>
      </c>
      <c r="BU148" s="174">
        <v>0</v>
      </c>
      <c r="BV148" s="174">
        <v>0</v>
      </c>
      <c r="BW148" s="174">
        <v>0</v>
      </c>
      <c r="BX148" s="174">
        <v>0</v>
      </c>
      <c r="BY148" s="173">
        <f t="shared" si="174"/>
        <v>4</v>
      </c>
      <c r="BZ148" s="173">
        <f t="shared" si="175"/>
        <v>3</v>
      </c>
      <c r="CA148" s="180">
        <f t="shared" si="176"/>
        <v>7</v>
      </c>
    </row>
    <row r="149" spans="1:79" ht="80.099999999999994" customHeight="1">
      <c r="A149" s="173">
        <v>24</v>
      </c>
      <c r="B149" s="142" t="s">
        <v>97</v>
      </c>
      <c r="C149" s="143" t="s">
        <v>68</v>
      </c>
      <c r="D149" s="145">
        <v>100000</v>
      </c>
      <c r="E149" s="144">
        <f t="shared" si="156"/>
        <v>56.25</v>
      </c>
      <c r="F149" s="145">
        <v>25</v>
      </c>
      <c r="G149" s="174">
        <v>0</v>
      </c>
      <c r="H149" s="174">
        <v>4</v>
      </c>
      <c r="I149" s="173">
        <f t="shared" si="165"/>
        <v>4</v>
      </c>
      <c r="J149" s="173"/>
      <c r="K149" s="173"/>
      <c r="L149" s="174">
        <v>0</v>
      </c>
      <c r="M149" s="174">
        <v>0</v>
      </c>
      <c r="N149" s="173">
        <f t="shared" si="166"/>
        <v>0</v>
      </c>
      <c r="O149" s="174">
        <v>0</v>
      </c>
      <c r="P149" s="174">
        <v>0</v>
      </c>
      <c r="Q149" s="173">
        <f t="shared" si="167"/>
        <v>0</v>
      </c>
      <c r="R149" s="174">
        <v>0</v>
      </c>
      <c r="S149" s="174">
        <v>0</v>
      </c>
      <c r="T149" s="173">
        <f t="shared" si="168"/>
        <v>0</v>
      </c>
      <c r="U149" s="173"/>
      <c r="V149" s="173"/>
      <c r="W149" s="173"/>
      <c r="X149" s="173"/>
      <c r="Y149" s="173"/>
      <c r="Z149" s="175">
        <f t="shared" si="169"/>
        <v>0.2</v>
      </c>
      <c r="AA149" s="178"/>
      <c r="AB149" s="178"/>
      <c r="AC149" s="178"/>
      <c r="AD149" s="186"/>
      <c r="AE149" s="186"/>
      <c r="AF149" s="186"/>
      <c r="AG149" s="174">
        <v>0</v>
      </c>
      <c r="AH149" s="174">
        <v>0</v>
      </c>
      <c r="AI149" s="178">
        <f t="shared" si="157"/>
        <v>0</v>
      </c>
      <c r="AJ149" s="178"/>
      <c r="AK149" s="173"/>
      <c r="AL149" s="173"/>
      <c r="AM149" s="186"/>
      <c r="AN149" s="186"/>
      <c r="AO149" s="186"/>
      <c r="AP149" s="174">
        <v>0</v>
      </c>
      <c r="AQ149" s="174">
        <v>1</v>
      </c>
      <c r="AR149" s="178">
        <f t="shared" si="177"/>
        <v>1</v>
      </c>
      <c r="AS149" s="179">
        <f t="shared" si="146"/>
        <v>0</v>
      </c>
      <c r="AT149" s="179">
        <f t="shared" si="147"/>
        <v>5</v>
      </c>
      <c r="AU149" s="180">
        <f t="shared" si="148"/>
        <v>5</v>
      </c>
      <c r="AV149" s="180"/>
      <c r="AW149" s="180"/>
      <c r="AX149" s="176">
        <f t="shared" si="149"/>
        <v>1</v>
      </c>
      <c r="AY149" s="176"/>
      <c r="AZ149" s="176">
        <f t="shared" si="150"/>
        <v>8.8888888888888892E-2</v>
      </c>
      <c r="BA149" s="175">
        <f t="shared" si="170"/>
        <v>0.11299435028248588</v>
      </c>
      <c r="BB149" s="175">
        <f t="shared" si="171"/>
        <v>0</v>
      </c>
      <c r="BC149" s="187">
        <f t="shared" si="172"/>
        <v>16</v>
      </c>
      <c r="BD149" s="188">
        <f t="shared" si="173"/>
        <v>20</v>
      </c>
      <c r="BE149" s="189"/>
      <c r="BF149" s="184">
        <v>26</v>
      </c>
      <c r="BG149" s="142" t="s">
        <v>97</v>
      </c>
      <c r="BH149" s="143" t="s">
        <v>68</v>
      </c>
      <c r="BI149" s="219"/>
      <c r="BJ149" s="219"/>
      <c r="BK149" s="174">
        <v>0</v>
      </c>
      <c r="BL149" s="174">
        <v>2</v>
      </c>
      <c r="BM149" s="174">
        <v>0</v>
      </c>
      <c r="BN149" s="174">
        <v>1</v>
      </c>
      <c r="BO149" s="174">
        <v>0</v>
      </c>
      <c r="BP149" s="174">
        <v>0</v>
      </c>
      <c r="BQ149" s="174">
        <v>0</v>
      </c>
      <c r="BR149" s="174">
        <v>1</v>
      </c>
      <c r="BS149" s="174">
        <v>0</v>
      </c>
      <c r="BT149" s="174">
        <v>0</v>
      </c>
      <c r="BU149" s="174">
        <v>0</v>
      </c>
      <c r="BV149" s="174">
        <v>0</v>
      </c>
      <c r="BW149" s="174">
        <v>0</v>
      </c>
      <c r="BX149" s="174">
        <v>0</v>
      </c>
      <c r="BY149" s="173">
        <f t="shared" si="174"/>
        <v>0</v>
      </c>
      <c r="BZ149" s="173">
        <f t="shared" si="175"/>
        <v>4</v>
      </c>
      <c r="CA149" s="180">
        <f t="shared" si="176"/>
        <v>4</v>
      </c>
    </row>
    <row r="150" spans="1:79" ht="80.099999999999994" customHeight="1">
      <c r="A150" s="173">
        <v>25</v>
      </c>
      <c r="B150" s="142" t="s">
        <v>98</v>
      </c>
      <c r="C150" s="143" t="s">
        <v>49</v>
      </c>
      <c r="D150" s="145"/>
      <c r="E150" s="144">
        <f t="shared" si="156"/>
        <v>101.25</v>
      </c>
      <c r="F150" s="145">
        <v>45</v>
      </c>
      <c r="G150" s="174">
        <v>18</v>
      </c>
      <c r="H150" s="174">
        <v>16</v>
      </c>
      <c r="I150" s="173">
        <f t="shared" si="165"/>
        <v>34</v>
      </c>
      <c r="J150" s="173"/>
      <c r="K150" s="173"/>
      <c r="L150" s="174">
        <v>0</v>
      </c>
      <c r="M150" s="174">
        <v>2</v>
      </c>
      <c r="N150" s="173">
        <f t="shared" si="166"/>
        <v>2</v>
      </c>
      <c r="O150" s="174">
        <v>1</v>
      </c>
      <c r="P150" s="174">
        <v>0</v>
      </c>
      <c r="Q150" s="173">
        <f t="shared" si="167"/>
        <v>1</v>
      </c>
      <c r="R150" s="174">
        <v>0</v>
      </c>
      <c r="S150" s="174">
        <v>0</v>
      </c>
      <c r="T150" s="173">
        <f t="shared" si="168"/>
        <v>0</v>
      </c>
      <c r="U150" s="173"/>
      <c r="V150" s="173"/>
      <c r="W150" s="173"/>
      <c r="X150" s="173"/>
      <c r="Y150" s="173"/>
      <c r="Z150" s="175" t="e">
        <f t="shared" si="169"/>
        <v>#DIV/0!</v>
      </c>
      <c r="AA150" s="178"/>
      <c r="AB150" s="178"/>
      <c r="AC150" s="178"/>
      <c r="AD150" s="186"/>
      <c r="AE150" s="186"/>
      <c r="AF150" s="186"/>
      <c r="AG150" s="174">
        <v>2</v>
      </c>
      <c r="AH150" s="174">
        <v>6</v>
      </c>
      <c r="AI150" s="178">
        <f t="shared" si="157"/>
        <v>8</v>
      </c>
      <c r="AJ150" s="178"/>
      <c r="AK150" s="173"/>
      <c r="AL150" s="173"/>
      <c r="AM150" s="186"/>
      <c r="AN150" s="186"/>
      <c r="AO150" s="186"/>
      <c r="AP150" s="174">
        <v>13</v>
      </c>
      <c r="AQ150" s="174">
        <v>20</v>
      </c>
      <c r="AR150" s="178">
        <f t="shared" si="177"/>
        <v>33</v>
      </c>
      <c r="AS150" s="179">
        <f t="shared" si="146"/>
        <v>34</v>
      </c>
      <c r="AT150" s="179">
        <f t="shared" si="147"/>
        <v>44</v>
      </c>
      <c r="AU150" s="180">
        <f t="shared" si="148"/>
        <v>78</v>
      </c>
      <c r="AV150" s="180"/>
      <c r="AW150" s="180"/>
      <c r="AX150" s="176">
        <f t="shared" si="149"/>
        <v>0.80952380952380953</v>
      </c>
      <c r="AY150" s="176"/>
      <c r="AZ150" s="176">
        <f t="shared" si="150"/>
        <v>0.77037037037037037</v>
      </c>
      <c r="BA150" s="175" t="e">
        <f t="shared" si="170"/>
        <v>#DIV/0!</v>
      </c>
      <c r="BB150" s="175">
        <f t="shared" si="171"/>
        <v>3.8461538461538464E-2</v>
      </c>
      <c r="BC150" s="187" t="e">
        <f t="shared" si="172"/>
        <v>#DIV/0!</v>
      </c>
      <c r="BD150" s="188" t="e">
        <f t="shared" si="173"/>
        <v>#DIV/0!</v>
      </c>
      <c r="BE150" s="189"/>
      <c r="BF150" s="184">
        <v>27</v>
      </c>
      <c r="BG150" s="142" t="s">
        <v>98</v>
      </c>
      <c r="BH150" s="143" t="s">
        <v>49</v>
      </c>
      <c r="BI150" s="219"/>
      <c r="BJ150" s="219"/>
      <c r="BK150" s="174">
        <v>0</v>
      </c>
      <c r="BL150" s="174">
        <v>1</v>
      </c>
      <c r="BM150" s="174">
        <v>7</v>
      </c>
      <c r="BN150" s="174">
        <v>5</v>
      </c>
      <c r="BO150" s="174">
        <v>5</v>
      </c>
      <c r="BP150" s="174">
        <v>3</v>
      </c>
      <c r="BQ150" s="174">
        <v>3</v>
      </c>
      <c r="BR150" s="174">
        <v>1</v>
      </c>
      <c r="BS150" s="174">
        <v>1</v>
      </c>
      <c r="BT150" s="174">
        <v>3</v>
      </c>
      <c r="BU150" s="174">
        <v>1</v>
      </c>
      <c r="BV150" s="174">
        <v>1</v>
      </c>
      <c r="BW150" s="174">
        <v>1</v>
      </c>
      <c r="BX150" s="174">
        <v>2</v>
      </c>
      <c r="BY150" s="173">
        <f t="shared" si="174"/>
        <v>18</v>
      </c>
      <c r="BZ150" s="173">
        <f t="shared" si="175"/>
        <v>16</v>
      </c>
      <c r="CA150" s="180">
        <f t="shared" si="176"/>
        <v>34</v>
      </c>
    </row>
    <row r="151" spans="1:79" ht="80.099999999999994" customHeight="1">
      <c r="A151" s="173">
        <v>26</v>
      </c>
      <c r="B151" s="143" t="s">
        <v>99</v>
      </c>
      <c r="C151" s="143" t="s">
        <v>85</v>
      </c>
      <c r="D151" s="147">
        <v>150000</v>
      </c>
      <c r="E151" s="144">
        <f t="shared" si="156"/>
        <v>56.25</v>
      </c>
      <c r="F151" s="147">
        <v>25</v>
      </c>
      <c r="G151" s="174">
        <v>2</v>
      </c>
      <c r="H151" s="174">
        <v>2</v>
      </c>
      <c r="I151" s="173">
        <f t="shared" si="165"/>
        <v>4</v>
      </c>
      <c r="J151" s="173"/>
      <c r="K151" s="173"/>
      <c r="L151" s="174">
        <v>0</v>
      </c>
      <c r="M151" s="174">
        <v>0</v>
      </c>
      <c r="N151" s="173">
        <f t="shared" si="166"/>
        <v>0</v>
      </c>
      <c r="O151" s="174">
        <v>0</v>
      </c>
      <c r="P151" s="174">
        <v>0</v>
      </c>
      <c r="Q151" s="173">
        <f t="shared" si="167"/>
        <v>0</v>
      </c>
      <c r="R151" s="174">
        <v>0</v>
      </c>
      <c r="S151" s="174">
        <v>0</v>
      </c>
      <c r="T151" s="173">
        <f t="shared" si="168"/>
        <v>0</v>
      </c>
      <c r="U151" s="173"/>
      <c r="V151" s="173"/>
      <c r="W151" s="173"/>
      <c r="X151" s="173"/>
      <c r="Y151" s="173"/>
      <c r="Z151" s="175">
        <f t="shared" si="169"/>
        <v>0.13333333333333333</v>
      </c>
      <c r="AA151" s="178"/>
      <c r="AB151" s="178"/>
      <c r="AC151" s="178"/>
      <c r="AD151" s="186"/>
      <c r="AE151" s="186"/>
      <c r="AF151" s="186"/>
      <c r="AG151" s="174">
        <v>0</v>
      </c>
      <c r="AH151" s="174">
        <v>1</v>
      </c>
      <c r="AI151" s="178">
        <f t="shared" si="157"/>
        <v>1</v>
      </c>
      <c r="AJ151" s="178"/>
      <c r="AK151" s="173"/>
      <c r="AL151" s="173"/>
      <c r="AM151" s="186"/>
      <c r="AN151" s="186"/>
      <c r="AO151" s="186"/>
      <c r="AP151" s="174">
        <v>0</v>
      </c>
      <c r="AQ151" s="174">
        <v>0</v>
      </c>
      <c r="AR151" s="178">
        <f t="shared" si="177"/>
        <v>0</v>
      </c>
      <c r="AS151" s="179">
        <f t="shared" si="146"/>
        <v>2</v>
      </c>
      <c r="AT151" s="179">
        <f t="shared" si="147"/>
        <v>3</v>
      </c>
      <c r="AU151" s="180">
        <f t="shared" si="148"/>
        <v>5</v>
      </c>
      <c r="AV151" s="180"/>
      <c r="AW151" s="180"/>
      <c r="AX151" s="176">
        <f t="shared" si="149"/>
        <v>0.8</v>
      </c>
      <c r="AY151" s="176"/>
      <c r="AZ151" s="176">
        <f t="shared" si="150"/>
        <v>8.8888888888888892E-2</v>
      </c>
      <c r="BA151" s="175">
        <f t="shared" si="170"/>
        <v>7.5329566854990579E-2</v>
      </c>
      <c r="BB151" s="175">
        <f t="shared" si="171"/>
        <v>0</v>
      </c>
      <c r="BC151" s="187">
        <f t="shared" si="172"/>
        <v>10.666666666666666</v>
      </c>
      <c r="BD151" s="188">
        <f t="shared" si="173"/>
        <v>13.333333333333334</v>
      </c>
      <c r="BE151" s="189"/>
      <c r="BF151" s="184">
        <v>28</v>
      </c>
      <c r="BG151" s="143" t="s">
        <v>99</v>
      </c>
      <c r="BH151" s="143" t="s">
        <v>85</v>
      </c>
      <c r="BI151" s="219"/>
      <c r="BJ151" s="219"/>
      <c r="BK151" s="174">
        <v>0</v>
      </c>
      <c r="BL151" s="174">
        <v>0</v>
      </c>
      <c r="BM151" s="174">
        <v>0</v>
      </c>
      <c r="BN151" s="174">
        <v>1</v>
      </c>
      <c r="BO151" s="174">
        <v>0</v>
      </c>
      <c r="BP151" s="174">
        <v>1</v>
      </c>
      <c r="BQ151" s="174">
        <v>0</v>
      </c>
      <c r="BR151" s="174">
        <v>0</v>
      </c>
      <c r="BS151" s="174">
        <v>2</v>
      </c>
      <c r="BT151" s="174">
        <v>0</v>
      </c>
      <c r="BU151" s="174">
        <v>0</v>
      </c>
      <c r="BV151" s="174">
        <v>0</v>
      </c>
      <c r="BW151" s="174">
        <v>0</v>
      </c>
      <c r="BX151" s="174">
        <v>0</v>
      </c>
      <c r="BY151" s="173">
        <f t="shared" si="174"/>
        <v>2</v>
      </c>
      <c r="BZ151" s="173">
        <f t="shared" si="175"/>
        <v>2</v>
      </c>
      <c r="CA151" s="180">
        <f t="shared" si="176"/>
        <v>4</v>
      </c>
    </row>
    <row r="152" spans="1:79" ht="80.099999999999994" customHeight="1">
      <c r="A152" s="173">
        <v>27</v>
      </c>
      <c r="B152" s="143" t="s">
        <v>143</v>
      </c>
      <c r="C152" s="143" t="s">
        <v>85</v>
      </c>
      <c r="D152" s="147"/>
      <c r="E152" s="144">
        <f>(F152*2)+F152*0.25</f>
        <v>56.25</v>
      </c>
      <c r="F152" s="147">
        <v>25</v>
      </c>
      <c r="G152" s="174">
        <v>1</v>
      </c>
      <c r="H152" s="174">
        <v>2</v>
      </c>
      <c r="I152" s="173">
        <f t="shared" si="165"/>
        <v>3</v>
      </c>
      <c r="J152" s="173"/>
      <c r="K152" s="173"/>
      <c r="L152" s="174">
        <v>0</v>
      </c>
      <c r="M152" s="174">
        <v>1</v>
      </c>
      <c r="N152" s="173">
        <f t="shared" si="166"/>
        <v>1</v>
      </c>
      <c r="O152" s="174">
        <v>0</v>
      </c>
      <c r="P152" s="174">
        <v>0</v>
      </c>
      <c r="Q152" s="173">
        <f t="shared" si="167"/>
        <v>0</v>
      </c>
      <c r="R152" s="174">
        <v>1</v>
      </c>
      <c r="S152" s="174">
        <v>0</v>
      </c>
      <c r="T152" s="173">
        <f>SUM(R152:S152)</f>
        <v>1</v>
      </c>
      <c r="U152" s="173"/>
      <c r="V152" s="173"/>
      <c r="W152" s="173"/>
      <c r="X152" s="175">
        <f>I152/F152</f>
        <v>0.12</v>
      </c>
      <c r="Y152" s="175"/>
      <c r="Z152" s="175" t="e">
        <f>I152*4/(D152*0.0008)</f>
        <v>#DIV/0!</v>
      </c>
      <c r="AA152" s="178"/>
      <c r="AB152" s="178"/>
      <c r="AC152" s="178"/>
      <c r="AD152" s="186"/>
      <c r="AE152" s="186">
        <v>0</v>
      </c>
      <c r="AF152" s="186">
        <v>0</v>
      </c>
      <c r="AG152" s="174">
        <v>4</v>
      </c>
      <c r="AH152" s="174">
        <v>7</v>
      </c>
      <c r="AI152" s="178">
        <f t="shared" si="157"/>
        <v>11</v>
      </c>
      <c r="AJ152" s="178"/>
      <c r="AK152" s="173"/>
      <c r="AL152" s="173"/>
      <c r="AM152" s="186"/>
      <c r="AN152" s="186"/>
      <c r="AO152" s="186"/>
      <c r="AP152" s="174">
        <v>4</v>
      </c>
      <c r="AQ152" s="174">
        <v>4</v>
      </c>
      <c r="AR152" s="178">
        <f t="shared" si="177"/>
        <v>8</v>
      </c>
      <c r="AS152" s="179">
        <f t="shared" si="146"/>
        <v>10</v>
      </c>
      <c r="AT152" s="179">
        <f t="shared" si="147"/>
        <v>14</v>
      </c>
      <c r="AU152" s="180">
        <f t="shared" si="148"/>
        <v>24</v>
      </c>
      <c r="AV152" s="180"/>
      <c r="AW152" s="180"/>
      <c r="AX152" s="176">
        <f t="shared" si="149"/>
        <v>0.21428571428571427</v>
      </c>
      <c r="AY152" s="176"/>
      <c r="AZ152" s="176">
        <f t="shared" si="150"/>
        <v>0.42666666666666669</v>
      </c>
      <c r="BA152" s="175" t="e">
        <f t="shared" si="170"/>
        <v>#DIV/0!</v>
      </c>
      <c r="BB152" s="175">
        <f>(N152+Q152+T152)/AU152</f>
        <v>8.3333333333333329E-2</v>
      </c>
      <c r="BC152" s="187" t="e">
        <f>I152*4/D152*100000</f>
        <v>#DIV/0!</v>
      </c>
      <c r="BD152" s="188" t="e">
        <f t="shared" si="173"/>
        <v>#DIV/0!</v>
      </c>
      <c r="BE152" s="189"/>
      <c r="BF152" s="199">
        <v>27</v>
      </c>
      <c r="BG152" s="143" t="s">
        <v>143</v>
      </c>
      <c r="BH152" s="143" t="s">
        <v>85</v>
      </c>
      <c r="BI152" s="219"/>
      <c r="BJ152" s="219"/>
      <c r="BK152" s="174">
        <v>0</v>
      </c>
      <c r="BL152" s="174">
        <v>0</v>
      </c>
      <c r="BM152" s="174">
        <v>0</v>
      </c>
      <c r="BN152" s="174">
        <v>1</v>
      </c>
      <c r="BO152" s="174">
        <v>1</v>
      </c>
      <c r="BP152" s="174">
        <v>0</v>
      </c>
      <c r="BQ152" s="174">
        <v>0</v>
      </c>
      <c r="BR152" s="174">
        <v>0</v>
      </c>
      <c r="BS152" s="174">
        <v>0</v>
      </c>
      <c r="BT152" s="174">
        <v>0</v>
      </c>
      <c r="BU152" s="174">
        <v>0</v>
      </c>
      <c r="BV152" s="174">
        <v>1</v>
      </c>
      <c r="BW152" s="174">
        <v>0</v>
      </c>
      <c r="BX152" s="174">
        <v>0</v>
      </c>
      <c r="BY152" s="179">
        <f>BK152+BM152+BO152+BQ152+BS152+BU152+BW152</f>
        <v>1</v>
      </c>
      <c r="BZ152" s="179">
        <f>BL152+BN152+BP152+BR152+BT152+BV152+BX152</f>
        <v>2</v>
      </c>
      <c r="CA152" s="185">
        <f t="shared" si="176"/>
        <v>3</v>
      </c>
    </row>
    <row r="153" spans="1:79" ht="80.099999999999994" customHeight="1">
      <c r="A153" s="173">
        <v>28</v>
      </c>
      <c r="B153" s="143" t="s">
        <v>100</v>
      </c>
      <c r="C153" s="143"/>
      <c r="D153" s="147"/>
      <c r="E153" s="144">
        <f>(F153*2)+F153*0.25</f>
        <v>56.25</v>
      </c>
      <c r="F153" s="147">
        <v>25</v>
      </c>
      <c r="G153" s="174">
        <v>0</v>
      </c>
      <c r="H153" s="174">
        <v>0</v>
      </c>
      <c r="I153" s="173">
        <f t="shared" si="165"/>
        <v>0</v>
      </c>
      <c r="J153" s="173"/>
      <c r="K153" s="173"/>
      <c r="L153" s="174">
        <v>0</v>
      </c>
      <c r="M153" s="174">
        <v>0</v>
      </c>
      <c r="N153" s="173">
        <f t="shared" si="166"/>
        <v>0</v>
      </c>
      <c r="O153" s="174">
        <v>0</v>
      </c>
      <c r="P153" s="174">
        <v>0</v>
      </c>
      <c r="Q153" s="173">
        <f t="shared" si="167"/>
        <v>0</v>
      </c>
      <c r="R153" s="174">
        <v>0</v>
      </c>
      <c r="S153" s="174">
        <v>0</v>
      </c>
      <c r="T153" s="173">
        <f t="shared" si="168"/>
        <v>0</v>
      </c>
      <c r="U153" s="173"/>
      <c r="V153" s="173"/>
      <c r="W153" s="173"/>
      <c r="X153" s="173"/>
      <c r="Y153" s="173"/>
      <c r="Z153" s="175" t="e">
        <f t="shared" si="169"/>
        <v>#DIV/0!</v>
      </c>
      <c r="AA153" s="178"/>
      <c r="AB153" s="178"/>
      <c r="AC153" s="178"/>
      <c r="AD153" s="186"/>
      <c r="AE153" s="186"/>
      <c r="AF153" s="186"/>
      <c r="AG153" s="174">
        <v>1</v>
      </c>
      <c r="AH153" s="174">
        <v>4</v>
      </c>
      <c r="AI153" s="178">
        <f t="shared" si="157"/>
        <v>5</v>
      </c>
      <c r="AJ153" s="178"/>
      <c r="AK153" s="173"/>
      <c r="AL153" s="173"/>
      <c r="AM153" s="186"/>
      <c r="AN153" s="186"/>
      <c r="AO153" s="186"/>
      <c r="AP153" s="174">
        <v>0</v>
      </c>
      <c r="AQ153" s="174">
        <v>0</v>
      </c>
      <c r="AR153" s="178">
        <f t="shared" si="177"/>
        <v>0</v>
      </c>
      <c r="AS153" s="179">
        <f t="shared" si="146"/>
        <v>1</v>
      </c>
      <c r="AT153" s="179">
        <f t="shared" si="147"/>
        <v>4</v>
      </c>
      <c r="AU153" s="180">
        <f t="shared" si="148"/>
        <v>5</v>
      </c>
      <c r="AV153" s="180"/>
      <c r="AW153" s="180"/>
      <c r="AX153" s="176">
        <f t="shared" si="149"/>
        <v>0</v>
      </c>
      <c r="AY153" s="176"/>
      <c r="AZ153" s="176">
        <f t="shared" si="150"/>
        <v>8.8888888888888892E-2</v>
      </c>
      <c r="BA153" s="175" t="e">
        <f t="shared" si="170"/>
        <v>#DIV/0!</v>
      </c>
      <c r="BB153" s="175">
        <f t="shared" si="171"/>
        <v>0</v>
      </c>
      <c r="BC153" s="187" t="e">
        <f t="shared" si="172"/>
        <v>#DIV/0!</v>
      </c>
      <c r="BD153" s="188" t="e">
        <f t="shared" si="173"/>
        <v>#DIV/0!</v>
      </c>
      <c r="BE153" s="189"/>
      <c r="BF153" s="184">
        <v>29</v>
      </c>
      <c r="BG153" s="143" t="s">
        <v>100</v>
      </c>
      <c r="BH153" s="143"/>
      <c r="BI153" s="219"/>
      <c r="BJ153" s="219"/>
      <c r="BK153" s="174">
        <v>0</v>
      </c>
      <c r="BL153" s="174">
        <v>0</v>
      </c>
      <c r="BM153" s="174">
        <v>0</v>
      </c>
      <c r="BN153" s="174">
        <v>0</v>
      </c>
      <c r="BO153" s="174">
        <v>0</v>
      </c>
      <c r="BP153" s="174">
        <v>0</v>
      </c>
      <c r="BQ153" s="174">
        <v>0</v>
      </c>
      <c r="BR153" s="174">
        <v>0</v>
      </c>
      <c r="BS153" s="174">
        <v>0</v>
      </c>
      <c r="BT153" s="174">
        <v>0</v>
      </c>
      <c r="BU153" s="174">
        <v>0</v>
      </c>
      <c r="BV153" s="174">
        <v>0</v>
      </c>
      <c r="BW153" s="174">
        <v>0</v>
      </c>
      <c r="BX153" s="174">
        <v>0</v>
      </c>
      <c r="BY153" s="173">
        <f t="shared" si="174"/>
        <v>0</v>
      </c>
      <c r="BZ153" s="173">
        <f t="shared" si="175"/>
        <v>0</v>
      </c>
      <c r="CA153" s="180">
        <f t="shared" si="176"/>
        <v>0</v>
      </c>
    </row>
    <row r="154" spans="1:79" ht="80.099999999999994" customHeight="1">
      <c r="A154" s="179">
        <v>29</v>
      </c>
      <c r="B154" s="143" t="s">
        <v>166</v>
      </c>
      <c r="C154" s="143" t="s">
        <v>168</v>
      </c>
      <c r="D154" s="147"/>
      <c r="E154" s="144"/>
      <c r="F154" s="147"/>
      <c r="G154" s="174">
        <v>17</v>
      </c>
      <c r="H154" s="174">
        <v>18</v>
      </c>
      <c r="I154" s="173">
        <f t="shared" si="165"/>
        <v>35</v>
      </c>
      <c r="J154" s="173"/>
      <c r="K154" s="173"/>
      <c r="L154" s="186">
        <v>1</v>
      </c>
      <c r="M154" s="186">
        <v>1</v>
      </c>
      <c r="N154" s="173">
        <f t="shared" si="166"/>
        <v>2</v>
      </c>
      <c r="O154" s="186"/>
      <c r="P154" s="186"/>
      <c r="Q154" s="173">
        <f t="shared" si="167"/>
        <v>0</v>
      </c>
      <c r="R154" s="186">
        <v>0</v>
      </c>
      <c r="S154" s="186">
        <v>0</v>
      </c>
      <c r="T154" s="173"/>
      <c r="U154" s="173"/>
      <c r="V154" s="173"/>
      <c r="W154" s="173"/>
      <c r="X154" s="173"/>
      <c r="Y154" s="173"/>
      <c r="Z154" s="175" t="e">
        <f t="shared" si="169"/>
        <v>#DIV/0!</v>
      </c>
      <c r="AA154" s="178"/>
      <c r="AB154" s="178"/>
      <c r="AC154" s="178"/>
      <c r="AD154" s="186"/>
      <c r="AE154" s="186"/>
      <c r="AF154" s="186"/>
      <c r="AG154" s="174">
        <v>9</v>
      </c>
      <c r="AH154" s="174">
        <v>11</v>
      </c>
      <c r="AI154" s="173">
        <f>SUM(AG154:AH154)</f>
        <v>20</v>
      </c>
      <c r="AJ154" s="178"/>
      <c r="AK154" s="173"/>
      <c r="AL154" s="173"/>
      <c r="AM154" s="186"/>
      <c r="AN154" s="186"/>
      <c r="AO154" s="186"/>
      <c r="AP154" s="174">
        <v>3</v>
      </c>
      <c r="AQ154" s="174">
        <v>4</v>
      </c>
      <c r="AR154" s="173">
        <f>SUM(AP154:AQ154)</f>
        <v>7</v>
      </c>
      <c r="AS154" s="179">
        <f t="shared" si="146"/>
        <v>30</v>
      </c>
      <c r="AT154" s="179">
        <f t="shared" si="147"/>
        <v>34</v>
      </c>
      <c r="AU154" s="180">
        <f t="shared" si="148"/>
        <v>64</v>
      </c>
      <c r="AV154" s="180"/>
      <c r="AW154" s="180"/>
      <c r="AX154" s="176">
        <f t="shared" si="149"/>
        <v>0.63636363636363635</v>
      </c>
      <c r="AY154" s="176">
        <v>0.48</v>
      </c>
      <c r="AZ154" s="176"/>
      <c r="BA154" s="175" t="e">
        <f t="shared" si="170"/>
        <v>#DIV/0!</v>
      </c>
      <c r="BB154" s="175">
        <f t="shared" si="171"/>
        <v>3.125E-2</v>
      </c>
      <c r="BC154" s="187" t="e">
        <f t="shared" si="172"/>
        <v>#DIV/0!</v>
      </c>
      <c r="BD154" s="188" t="e">
        <f t="shared" si="173"/>
        <v>#DIV/0!</v>
      </c>
      <c r="BE154" s="189"/>
      <c r="BF154" s="510">
        <v>29</v>
      </c>
      <c r="BG154" s="143" t="s">
        <v>166</v>
      </c>
      <c r="BH154" s="143" t="s">
        <v>103</v>
      </c>
      <c r="BI154" s="219"/>
      <c r="BJ154" s="219"/>
      <c r="BK154" s="174">
        <v>0</v>
      </c>
      <c r="BL154" s="174">
        <v>3</v>
      </c>
      <c r="BM154" s="174">
        <v>8</v>
      </c>
      <c r="BN154" s="174">
        <v>6</v>
      </c>
      <c r="BO154" s="174">
        <v>4</v>
      </c>
      <c r="BP154" s="174">
        <v>4</v>
      </c>
      <c r="BQ154" s="174">
        <v>4</v>
      </c>
      <c r="BR154" s="174">
        <v>0</v>
      </c>
      <c r="BS154" s="174">
        <v>0</v>
      </c>
      <c r="BT154" s="174">
        <v>4</v>
      </c>
      <c r="BU154" s="174">
        <v>1</v>
      </c>
      <c r="BV154" s="174">
        <v>1</v>
      </c>
      <c r="BW154" s="174">
        <v>0</v>
      </c>
      <c r="BX154" s="174">
        <v>0</v>
      </c>
      <c r="BY154" s="173">
        <f t="shared" si="174"/>
        <v>17</v>
      </c>
      <c r="BZ154" s="173">
        <f t="shared" si="175"/>
        <v>18</v>
      </c>
      <c r="CA154" s="180">
        <f t="shared" si="176"/>
        <v>35</v>
      </c>
    </row>
    <row r="155" spans="1:79" ht="80.099999999999994" customHeight="1">
      <c r="A155" s="179">
        <v>30</v>
      </c>
      <c r="B155" s="143" t="s">
        <v>167</v>
      </c>
      <c r="C155" s="143" t="s">
        <v>168</v>
      </c>
      <c r="D155" s="147"/>
      <c r="E155" s="144"/>
      <c r="F155" s="147"/>
      <c r="G155" s="174">
        <v>42</v>
      </c>
      <c r="H155" s="174">
        <v>44</v>
      </c>
      <c r="I155" s="173">
        <f t="shared" si="165"/>
        <v>86</v>
      </c>
      <c r="J155" s="173"/>
      <c r="K155" s="173">
        <f>N155+Q155+T155</f>
        <v>3</v>
      </c>
      <c r="L155" s="186">
        <v>2</v>
      </c>
      <c r="M155" s="186">
        <v>1</v>
      </c>
      <c r="N155" s="173">
        <f t="shared" si="166"/>
        <v>3</v>
      </c>
      <c r="O155" s="186">
        <v>0</v>
      </c>
      <c r="P155" s="186">
        <v>0</v>
      </c>
      <c r="Q155" s="173">
        <f t="shared" si="167"/>
        <v>0</v>
      </c>
      <c r="R155" s="186">
        <v>0</v>
      </c>
      <c r="S155" s="186">
        <v>0</v>
      </c>
      <c r="T155" s="173">
        <f>SUM(R155:S155)</f>
        <v>0</v>
      </c>
      <c r="U155" s="173"/>
      <c r="V155" s="173"/>
      <c r="W155" s="173"/>
      <c r="X155" s="173"/>
      <c r="Y155" s="173"/>
      <c r="Z155" s="175" t="e">
        <f t="shared" si="169"/>
        <v>#DIV/0!</v>
      </c>
      <c r="AA155" s="178"/>
      <c r="AB155" s="178"/>
      <c r="AC155" s="178"/>
      <c r="AD155" s="186"/>
      <c r="AE155" s="186"/>
      <c r="AF155" s="186"/>
      <c r="AG155" s="174">
        <v>2</v>
      </c>
      <c r="AH155" s="174">
        <v>0</v>
      </c>
      <c r="AI155" s="178">
        <f>SUM(AG155:AH155)</f>
        <v>2</v>
      </c>
      <c r="AJ155" s="178"/>
      <c r="AK155" s="173"/>
      <c r="AL155" s="173"/>
      <c r="AM155" s="186"/>
      <c r="AN155" s="186"/>
      <c r="AO155" s="186"/>
      <c r="AP155" s="174"/>
      <c r="AQ155" s="174"/>
      <c r="AR155" s="178">
        <f>SUM(AP155:AQ155)</f>
        <v>0</v>
      </c>
      <c r="AS155" s="179">
        <f t="shared" si="146"/>
        <v>46</v>
      </c>
      <c r="AT155" s="179">
        <f t="shared" si="147"/>
        <v>45</v>
      </c>
      <c r="AU155" s="180">
        <f t="shared" si="148"/>
        <v>91</v>
      </c>
      <c r="AV155" s="180"/>
      <c r="AW155" s="180"/>
      <c r="AX155" s="176">
        <f t="shared" si="149"/>
        <v>0.97727272727272729</v>
      </c>
      <c r="AY155" s="176">
        <v>1</v>
      </c>
      <c r="AZ155" s="176"/>
      <c r="BA155" s="175" t="e">
        <f t="shared" si="170"/>
        <v>#DIV/0!</v>
      </c>
      <c r="BB155" s="175">
        <f t="shared" si="171"/>
        <v>3.2967032967032968E-2</v>
      </c>
      <c r="BC155" s="187" t="e">
        <f t="shared" si="172"/>
        <v>#DIV/0!</v>
      </c>
      <c r="BD155" s="188" t="e">
        <f t="shared" si="173"/>
        <v>#DIV/0!</v>
      </c>
      <c r="BE155" s="189"/>
      <c r="BF155" s="510">
        <v>30</v>
      </c>
      <c r="BG155" s="143" t="s">
        <v>167</v>
      </c>
      <c r="BH155" s="143" t="s">
        <v>103</v>
      </c>
      <c r="BI155" s="219"/>
      <c r="BJ155" s="219"/>
      <c r="BK155" s="174">
        <v>0</v>
      </c>
      <c r="BL155" s="174">
        <v>1</v>
      </c>
      <c r="BM155" s="174">
        <v>11</v>
      </c>
      <c r="BN155" s="174">
        <v>17</v>
      </c>
      <c r="BO155" s="174">
        <v>12</v>
      </c>
      <c r="BP155" s="174">
        <v>9</v>
      </c>
      <c r="BQ155" s="174">
        <v>13</v>
      </c>
      <c r="BR155" s="174">
        <v>8</v>
      </c>
      <c r="BS155" s="174">
        <v>3</v>
      </c>
      <c r="BT155" s="174">
        <v>3</v>
      </c>
      <c r="BU155" s="174">
        <v>3</v>
      </c>
      <c r="BV155" s="174">
        <v>5</v>
      </c>
      <c r="BW155" s="174">
        <v>0</v>
      </c>
      <c r="BX155" s="174">
        <v>1</v>
      </c>
      <c r="BY155" s="173">
        <f t="shared" si="174"/>
        <v>42</v>
      </c>
      <c r="BZ155" s="173">
        <f t="shared" si="175"/>
        <v>44</v>
      </c>
      <c r="CA155" s="180">
        <f t="shared" si="176"/>
        <v>86</v>
      </c>
    </row>
    <row r="156" spans="1:79" ht="80.099999999999994" customHeight="1">
      <c r="A156" s="207"/>
      <c r="B156" s="160" t="s">
        <v>108</v>
      </c>
      <c r="C156" s="161" t="s">
        <v>101</v>
      </c>
      <c r="D156" s="162">
        <v>1650000</v>
      </c>
      <c r="E156" s="162">
        <f>SUM(E137:E153)</f>
        <v>956.25</v>
      </c>
      <c r="F156" s="162">
        <f>SUM(F137:F153)</f>
        <v>425</v>
      </c>
      <c r="G156" s="208">
        <f>G153+G151+G150+G149+G148+G147+G146+G145+G144+G143+G142+G141+G140+G139+G138+G137+G154+G155</f>
        <v>107</v>
      </c>
      <c r="H156" s="208">
        <f>H153+H151+H150+H149+H148+H147+H146+H145+H144+H143+H142+H141+H140+H139+H138+H137+H154+H155</f>
        <v>129</v>
      </c>
      <c r="I156" s="208">
        <f>I153+I151+I150+I149+I148+I147+I146+I145+I144+I143+I142+I141+I140+I139+I138+I137+I154+I155</f>
        <v>236</v>
      </c>
      <c r="J156" s="208"/>
      <c r="K156" s="208"/>
      <c r="L156" s="208">
        <f t="shared" ref="L156:W156" si="178">L153+L151+L150+L149+L148+L147+L146+L145+L144+L143+L142+L141+L140+L139+L138+L137+L154+L155</f>
        <v>8</v>
      </c>
      <c r="M156" s="208">
        <f t="shared" si="178"/>
        <v>6</v>
      </c>
      <c r="N156" s="208">
        <f t="shared" si="178"/>
        <v>14</v>
      </c>
      <c r="O156" s="208">
        <f t="shared" si="178"/>
        <v>2</v>
      </c>
      <c r="P156" s="208">
        <f t="shared" si="178"/>
        <v>0</v>
      </c>
      <c r="Q156" s="208">
        <f t="shared" si="178"/>
        <v>2</v>
      </c>
      <c r="R156" s="208">
        <f t="shared" si="178"/>
        <v>3</v>
      </c>
      <c r="S156" s="208">
        <f t="shared" si="178"/>
        <v>0</v>
      </c>
      <c r="T156" s="208">
        <f t="shared" si="178"/>
        <v>3</v>
      </c>
      <c r="U156" s="208">
        <f t="shared" si="178"/>
        <v>0</v>
      </c>
      <c r="V156" s="208">
        <f t="shared" si="178"/>
        <v>0</v>
      </c>
      <c r="W156" s="208">
        <f t="shared" si="178"/>
        <v>0</v>
      </c>
      <c r="X156" s="208"/>
      <c r="Y156" s="208"/>
      <c r="Z156" s="209">
        <f t="shared" si="169"/>
        <v>0.7151515151515152</v>
      </c>
      <c r="AA156" s="208">
        <f t="shared" ref="AA156:AU156" si="179">AA153+AA151+AA150+AA149+AA148+AA147+AA146+AA145+AA144+AA143+AA142+AA141+AA140+AA139+AA138+AA137+AA154+AA155</f>
        <v>0</v>
      </c>
      <c r="AB156" s="208">
        <f t="shared" si="179"/>
        <v>0</v>
      </c>
      <c r="AC156" s="208">
        <f t="shared" si="179"/>
        <v>0</v>
      </c>
      <c r="AD156" s="208">
        <f t="shared" si="179"/>
        <v>0</v>
      </c>
      <c r="AE156" s="208">
        <f t="shared" si="179"/>
        <v>0</v>
      </c>
      <c r="AF156" s="208">
        <f t="shared" si="179"/>
        <v>0</v>
      </c>
      <c r="AG156" s="208">
        <f t="shared" si="179"/>
        <v>41</v>
      </c>
      <c r="AH156" s="208">
        <f t="shared" si="179"/>
        <v>89</v>
      </c>
      <c r="AI156" s="208">
        <f t="shared" si="179"/>
        <v>130</v>
      </c>
      <c r="AJ156" s="208">
        <f t="shared" si="179"/>
        <v>0</v>
      </c>
      <c r="AK156" s="208">
        <f t="shared" si="179"/>
        <v>0</v>
      </c>
      <c r="AL156" s="208">
        <f t="shared" si="179"/>
        <v>0</v>
      </c>
      <c r="AM156" s="208">
        <f t="shared" si="179"/>
        <v>0</v>
      </c>
      <c r="AN156" s="208">
        <f t="shared" si="179"/>
        <v>0</v>
      </c>
      <c r="AO156" s="208">
        <f t="shared" si="179"/>
        <v>0</v>
      </c>
      <c r="AP156" s="208">
        <f t="shared" si="179"/>
        <v>33</v>
      </c>
      <c r="AQ156" s="208">
        <f t="shared" si="179"/>
        <v>68</v>
      </c>
      <c r="AR156" s="208">
        <f t="shared" si="179"/>
        <v>101</v>
      </c>
      <c r="AS156" s="208">
        <f t="shared" si="179"/>
        <v>194</v>
      </c>
      <c r="AT156" s="208">
        <f t="shared" si="179"/>
        <v>292</v>
      </c>
      <c r="AU156" s="208">
        <f t="shared" si="179"/>
        <v>486</v>
      </c>
      <c r="AV156" s="208"/>
      <c r="AW156" s="208"/>
      <c r="AX156" s="176">
        <f t="shared" si="149"/>
        <v>0.64480874316939896</v>
      </c>
      <c r="AY156" s="176"/>
      <c r="AZ156" s="176">
        <f t="shared" si="150"/>
        <v>0.50823529411764701</v>
      </c>
      <c r="BA156" s="175">
        <f t="shared" si="170"/>
        <v>0.66563944530046226</v>
      </c>
      <c r="BB156" s="175">
        <f t="shared" si="171"/>
        <v>3.9094650205761319E-2</v>
      </c>
      <c r="BC156" s="187">
        <f t="shared" si="172"/>
        <v>57.212121212121204</v>
      </c>
      <c r="BD156" s="188">
        <f t="shared" si="173"/>
        <v>117.81818181818183</v>
      </c>
      <c r="BE156" s="189"/>
      <c r="BF156" s="210">
        <v>30</v>
      </c>
      <c r="BG156" s="160" t="s">
        <v>108</v>
      </c>
      <c r="BH156" s="161" t="s">
        <v>101</v>
      </c>
      <c r="BI156" s="219">
        <f>BI153+BI151+BI150+BI149+BI148+BI147+BI146+BI145+BI144+BI143+BI142+BI141+BI140+BI139+BI138+BI137</f>
        <v>0</v>
      </c>
      <c r="BJ156" s="219">
        <f>BJ153+BJ151+BJ150+BJ149+BJ148+BJ147+BJ146+BJ145+BJ144+BJ143+BJ142+BJ141+BJ140+BJ139+BJ138+BJ137</f>
        <v>0</v>
      </c>
      <c r="BK156" s="208">
        <f t="shared" ref="BK156:CA156" si="180">BK153+BK151+BK150+BK149+BK148+BK147+BK146+BK145+BK144+BK143+BK142+BK141+BK140+BK139+BK138+BK137+BK154+BK155</f>
        <v>3</v>
      </c>
      <c r="BL156" s="208">
        <f t="shared" si="180"/>
        <v>9</v>
      </c>
      <c r="BM156" s="208">
        <f t="shared" si="180"/>
        <v>32</v>
      </c>
      <c r="BN156" s="208">
        <f t="shared" si="180"/>
        <v>48</v>
      </c>
      <c r="BO156" s="208">
        <f t="shared" si="180"/>
        <v>29</v>
      </c>
      <c r="BP156" s="208">
        <f t="shared" si="180"/>
        <v>25</v>
      </c>
      <c r="BQ156" s="208">
        <f t="shared" si="180"/>
        <v>21</v>
      </c>
      <c r="BR156" s="208">
        <f t="shared" si="180"/>
        <v>17</v>
      </c>
      <c r="BS156" s="208">
        <f t="shared" si="180"/>
        <v>9</v>
      </c>
      <c r="BT156" s="208">
        <f t="shared" si="180"/>
        <v>16</v>
      </c>
      <c r="BU156" s="208">
        <f t="shared" si="180"/>
        <v>9</v>
      </c>
      <c r="BV156" s="208">
        <f t="shared" si="180"/>
        <v>11</v>
      </c>
      <c r="BW156" s="208">
        <f t="shared" si="180"/>
        <v>4</v>
      </c>
      <c r="BX156" s="208">
        <f t="shared" si="180"/>
        <v>3</v>
      </c>
      <c r="BY156" s="208">
        <f t="shared" si="180"/>
        <v>107</v>
      </c>
      <c r="BZ156" s="208">
        <f t="shared" si="180"/>
        <v>129</v>
      </c>
      <c r="CA156" s="208">
        <f t="shared" si="180"/>
        <v>236</v>
      </c>
    </row>
    <row r="157" spans="1:79" ht="80.099999999999994" customHeight="1">
      <c r="A157" s="163" t="s">
        <v>111</v>
      </c>
      <c r="B157" s="164" t="s">
        <v>112</v>
      </c>
      <c r="C157" s="165" t="s">
        <v>113</v>
      </c>
      <c r="D157" s="166">
        <v>3270000</v>
      </c>
      <c r="E157" s="166">
        <f>E156+E136+E132</f>
        <v>1687.5</v>
      </c>
      <c r="F157" s="166">
        <f>F156+F136+F132</f>
        <v>750</v>
      </c>
      <c r="G157" s="211">
        <f t="shared" ref="G157:AO157" si="181">G156+G136+G132</f>
        <v>173</v>
      </c>
      <c r="H157" s="211">
        <f t="shared" si="181"/>
        <v>190</v>
      </c>
      <c r="I157" s="211">
        <f t="shared" si="181"/>
        <v>363</v>
      </c>
      <c r="J157" s="211"/>
      <c r="K157" s="211"/>
      <c r="L157" s="211">
        <f t="shared" si="181"/>
        <v>9</v>
      </c>
      <c r="M157" s="211">
        <f t="shared" si="181"/>
        <v>13</v>
      </c>
      <c r="N157" s="211">
        <f t="shared" si="181"/>
        <v>22</v>
      </c>
      <c r="O157" s="211">
        <f t="shared" si="181"/>
        <v>3</v>
      </c>
      <c r="P157" s="211">
        <f t="shared" si="181"/>
        <v>0</v>
      </c>
      <c r="Q157" s="211">
        <f t="shared" si="181"/>
        <v>3</v>
      </c>
      <c r="R157" s="211">
        <f t="shared" si="181"/>
        <v>4</v>
      </c>
      <c r="S157" s="211">
        <f t="shared" si="181"/>
        <v>0</v>
      </c>
      <c r="T157" s="211">
        <f t="shared" si="181"/>
        <v>4</v>
      </c>
      <c r="U157" s="211">
        <f t="shared" si="181"/>
        <v>0</v>
      </c>
      <c r="V157" s="211">
        <f t="shared" si="181"/>
        <v>0</v>
      </c>
      <c r="W157" s="211">
        <f t="shared" si="181"/>
        <v>0</v>
      </c>
      <c r="X157" s="211"/>
      <c r="Y157" s="211"/>
      <c r="Z157" s="211">
        <f t="shared" si="181"/>
        <v>4.9346010009349399</v>
      </c>
      <c r="AA157" s="211">
        <f t="shared" si="181"/>
        <v>0</v>
      </c>
      <c r="AB157" s="211">
        <f t="shared" si="181"/>
        <v>0</v>
      </c>
      <c r="AC157" s="211">
        <f t="shared" si="181"/>
        <v>0</v>
      </c>
      <c r="AD157" s="211">
        <f t="shared" si="181"/>
        <v>0</v>
      </c>
      <c r="AE157" s="211">
        <f t="shared" si="181"/>
        <v>0</v>
      </c>
      <c r="AF157" s="211">
        <f t="shared" si="181"/>
        <v>0</v>
      </c>
      <c r="AG157" s="211">
        <f>AG156+AG136+AG132</f>
        <v>59</v>
      </c>
      <c r="AH157" s="211">
        <f>AH156+AH136+AH132</f>
        <v>154</v>
      </c>
      <c r="AI157" s="211">
        <f>AG157+AH157</f>
        <v>213</v>
      </c>
      <c r="AJ157" s="211">
        <f t="shared" si="181"/>
        <v>0</v>
      </c>
      <c r="AK157" s="211">
        <f t="shared" si="181"/>
        <v>0</v>
      </c>
      <c r="AL157" s="211">
        <f t="shared" si="181"/>
        <v>0</v>
      </c>
      <c r="AM157" s="211">
        <f t="shared" si="181"/>
        <v>0</v>
      </c>
      <c r="AN157" s="211">
        <f t="shared" si="181"/>
        <v>0</v>
      </c>
      <c r="AO157" s="211">
        <f t="shared" si="181"/>
        <v>0</v>
      </c>
      <c r="AP157" s="211">
        <f>AP156+AP136+AP132</f>
        <v>48</v>
      </c>
      <c r="AQ157" s="211">
        <f>AQ156+AQ136+AQ132</f>
        <v>99</v>
      </c>
      <c r="AR157" s="178">
        <f>AP157+AQ157</f>
        <v>147</v>
      </c>
      <c r="AS157" s="211">
        <f>AS156+AS136+AS132</f>
        <v>296</v>
      </c>
      <c r="AT157" s="211">
        <f>AT156+AT136+AT132</f>
        <v>456</v>
      </c>
      <c r="AU157" s="211">
        <f>AU156+AU136+AU132</f>
        <v>752</v>
      </c>
      <c r="AV157" s="211"/>
      <c r="AW157" s="211"/>
      <c r="AX157" s="176">
        <f t="shared" si="149"/>
        <v>0.63020833333333337</v>
      </c>
      <c r="AY157" s="176"/>
      <c r="AZ157" s="176">
        <f t="shared" si="150"/>
        <v>0.44562962962962965</v>
      </c>
      <c r="BA157" s="212">
        <f t="shared" si="170"/>
        <v>0.51970490160507266</v>
      </c>
      <c r="BB157" s="212">
        <f t="shared" si="171"/>
        <v>3.8563829787234043E-2</v>
      </c>
      <c r="BC157" s="213">
        <f t="shared" si="172"/>
        <v>44.403669724770644</v>
      </c>
      <c r="BD157" s="214">
        <f t="shared" si="173"/>
        <v>91.987767584097867</v>
      </c>
      <c r="BE157" s="215"/>
      <c r="BF157" s="216">
        <v>30</v>
      </c>
      <c r="BG157" s="211"/>
      <c r="BH157" s="211"/>
      <c r="BI157" s="220">
        <f t="shared" ref="BI157:CA157" si="182">BI156+BI136+BI132</f>
        <v>0</v>
      </c>
      <c r="BJ157" s="220">
        <f t="shared" si="182"/>
        <v>0</v>
      </c>
      <c r="BK157" s="211">
        <f t="shared" si="182"/>
        <v>3</v>
      </c>
      <c r="BL157" s="211">
        <f t="shared" si="182"/>
        <v>10</v>
      </c>
      <c r="BM157" s="211">
        <f t="shared" si="182"/>
        <v>48</v>
      </c>
      <c r="BN157" s="211">
        <f t="shared" si="182"/>
        <v>79</v>
      </c>
      <c r="BO157" s="211">
        <f t="shared" si="182"/>
        <v>54</v>
      </c>
      <c r="BP157" s="211">
        <f t="shared" si="182"/>
        <v>35</v>
      </c>
      <c r="BQ157" s="211">
        <f t="shared" si="182"/>
        <v>29</v>
      </c>
      <c r="BR157" s="211">
        <f t="shared" si="182"/>
        <v>26</v>
      </c>
      <c r="BS157" s="211">
        <f t="shared" si="182"/>
        <v>15</v>
      </c>
      <c r="BT157" s="211">
        <f t="shared" si="182"/>
        <v>20</v>
      </c>
      <c r="BU157" s="211">
        <f t="shared" si="182"/>
        <v>17</v>
      </c>
      <c r="BV157" s="211">
        <f t="shared" si="182"/>
        <v>14</v>
      </c>
      <c r="BW157" s="211">
        <f t="shared" si="182"/>
        <v>7</v>
      </c>
      <c r="BX157" s="211">
        <f t="shared" si="182"/>
        <v>6</v>
      </c>
      <c r="BY157" s="211">
        <f t="shared" si="182"/>
        <v>173</v>
      </c>
      <c r="BZ157" s="211">
        <f t="shared" si="182"/>
        <v>190</v>
      </c>
      <c r="CA157" s="211">
        <f t="shared" si="182"/>
        <v>363</v>
      </c>
    </row>
    <row r="158" spans="1:79" ht="80.099999999999994" customHeight="1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  <c r="AQ158" s="217"/>
      <c r="AR158" s="217"/>
      <c r="AS158" s="217"/>
      <c r="AT158" s="217"/>
      <c r="AU158" s="217"/>
      <c r="AV158" s="217"/>
      <c r="AW158" s="217"/>
      <c r="AX158" s="217"/>
      <c r="AY158" s="217"/>
      <c r="AZ158" s="217"/>
      <c r="BA158" s="217"/>
      <c r="BB158" s="217"/>
      <c r="BC158" s="217"/>
      <c r="BD158" s="217"/>
      <c r="BE158" s="217"/>
      <c r="BF158" s="217"/>
      <c r="BG158" s="217"/>
      <c r="BH158" s="217"/>
      <c r="BI158" s="221"/>
      <c r="BJ158" s="221"/>
      <c r="BK158" s="217"/>
      <c r="BL158" s="217"/>
      <c r="BM158" s="217"/>
      <c r="BN158" s="217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7"/>
      <c r="CA158" s="217"/>
    </row>
    <row r="159" spans="1:79" ht="80.099999999999994" customHeight="1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7"/>
      <c r="AP159" s="217"/>
      <c r="AQ159" s="217"/>
      <c r="AR159" s="217"/>
      <c r="AS159" s="217"/>
      <c r="AT159" s="217"/>
      <c r="AU159" s="217"/>
      <c r="AV159" s="217"/>
      <c r="AW159" s="217"/>
      <c r="AX159" s="217"/>
      <c r="AY159" s="217"/>
      <c r="AZ159" s="217"/>
      <c r="BA159" s="217"/>
      <c r="BB159" s="217"/>
      <c r="BC159" s="217"/>
      <c r="BD159" s="217"/>
      <c r="BE159" s="217"/>
      <c r="BF159" s="217"/>
      <c r="BG159" s="217"/>
      <c r="BH159" s="217"/>
      <c r="BI159" s="221"/>
      <c r="BJ159" s="221"/>
      <c r="BK159" s="217"/>
      <c r="BL159" s="217"/>
      <c r="BM159" s="217"/>
      <c r="BN159" s="217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7"/>
      <c r="CA159" s="217"/>
    </row>
    <row r="160" spans="1:79" ht="80.099999999999994" customHeight="1">
      <c r="A160" s="1005"/>
      <c r="B160" s="1005"/>
      <c r="C160" s="1006"/>
      <c r="D160" s="1007"/>
      <c r="E160" s="1007"/>
      <c r="F160" s="1007"/>
      <c r="G160" s="1007"/>
      <c r="H160" s="1007"/>
      <c r="I160" s="1007"/>
      <c r="J160" s="1007"/>
      <c r="K160" s="1007"/>
      <c r="L160" s="1007"/>
      <c r="M160" s="1007"/>
      <c r="N160" s="1007"/>
      <c r="O160" s="1007"/>
      <c r="P160" s="1007"/>
      <c r="Q160" s="1007"/>
      <c r="R160" s="1007"/>
      <c r="S160" s="1007"/>
      <c r="T160" s="1007"/>
      <c r="U160" s="1007"/>
      <c r="V160" s="1007"/>
      <c r="W160" s="1007"/>
      <c r="X160" s="1007"/>
      <c r="Y160" s="1007"/>
      <c r="Z160" s="1007"/>
      <c r="AA160" s="1007"/>
      <c r="AB160" s="1007"/>
      <c r="AC160" s="1007"/>
      <c r="AD160" s="1007"/>
      <c r="AE160" s="1007"/>
      <c r="AF160" s="1007"/>
      <c r="AG160" s="1007"/>
      <c r="AH160" s="1007"/>
      <c r="AI160" s="1007"/>
      <c r="AJ160" s="1007"/>
      <c r="AK160" s="1007"/>
      <c r="AL160" s="1007"/>
      <c r="AM160" s="1007"/>
      <c r="AN160" s="1007"/>
      <c r="AO160" s="1007"/>
      <c r="AP160" s="1007"/>
      <c r="AQ160" s="1007"/>
      <c r="AR160" s="1007"/>
      <c r="AS160" s="1007"/>
      <c r="AT160" s="1007"/>
      <c r="AU160" s="1007"/>
      <c r="AV160" s="1007"/>
      <c r="AW160" s="1007"/>
      <c r="AX160" s="1007"/>
      <c r="AY160" s="1007"/>
      <c r="AZ160" s="1007"/>
      <c r="BA160" s="1007"/>
      <c r="BB160" s="1007"/>
      <c r="BC160" s="1007"/>
      <c r="BD160" s="1007"/>
      <c r="BE160" s="1007"/>
      <c r="BF160" s="1005"/>
      <c r="BG160" s="1005"/>
      <c r="BH160" s="1006"/>
      <c r="BI160" s="1007"/>
      <c r="BJ160" s="1007"/>
      <c r="BK160" s="1007"/>
      <c r="BL160" s="1007"/>
      <c r="BM160" s="1007"/>
      <c r="BN160" s="1007"/>
      <c r="BO160" s="1007"/>
      <c r="BP160" s="1007"/>
      <c r="BQ160" s="1007"/>
      <c r="BR160" s="1007"/>
      <c r="BS160" s="1007"/>
      <c r="BT160" s="1007"/>
      <c r="BU160" s="1007"/>
      <c r="BV160" s="1007"/>
      <c r="BW160" s="1007"/>
      <c r="BX160" s="1007"/>
      <c r="BY160" s="1007"/>
      <c r="BZ160" s="1007"/>
      <c r="CA160" s="1007"/>
    </row>
    <row r="161" spans="1:79" ht="80.099999999999994" customHeight="1">
      <c r="A161" s="1008"/>
      <c r="B161" s="1008"/>
      <c r="C161" s="1009"/>
      <c r="D161" s="1010"/>
      <c r="E161" s="1010"/>
      <c r="F161" s="1010"/>
      <c r="G161" s="1011"/>
      <c r="H161" s="1011"/>
      <c r="I161" s="1011"/>
      <c r="J161" s="1011"/>
      <c r="K161" s="1011"/>
      <c r="L161" s="1011"/>
      <c r="M161" s="1011"/>
      <c r="N161" s="1011"/>
      <c r="O161" s="1011"/>
      <c r="P161" s="1011"/>
      <c r="Q161" s="1011"/>
      <c r="R161" s="1011"/>
      <c r="S161" s="1011"/>
      <c r="T161" s="1011"/>
      <c r="U161" s="1007"/>
      <c r="V161" s="1007"/>
      <c r="W161" s="1007"/>
      <c r="X161" s="1007"/>
      <c r="Y161" s="1007"/>
      <c r="Z161" s="1010"/>
      <c r="AA161" s="1011"/>
      <c r="AB161" s="1011"/>
      <c r="AC161" s="1011"/>
      <c r="AD161" s="1011"/>
      <c r="AE161" s="1011"/>
      <c r="AF161" s="1011"/>
      <c r="AG161" s="1011"/>
      <c r="AH161" s="1011"/>
      <c r="AI161" s="1011"/>
      <c r="AJ161" s="1011"/>
      <c r="AK161" s="1011"/>
      <c r="AL161" s="1011"/>
      <c r="AM161" s="1011"/>
      <c r="AN161" s="1011"/>
      <c r="AO161" s="1011"/>
      <c r="AP161" s="1011"/>
      <c r="AQ161" s="1011"/>
      <c r="AR161" s="1011"/>
      <c r="AS161" s="1007"/>
      <c r="AT161" s="1007"/>
      <c r="AU161" s="1007"/>
      <c r="AV161" s="1007"/>
      <c r="AW161" s="1007"/>
      <c r="AX161" s="1007"/>
      <c r="AY161" s="1007"/>
      <c r="AZ161" s="1007"/>
      <c r="BA161" s="1007"/>
      <c r="BB161" s="1007"/>
      <c r="BC161" s="1007"/>
      <c r="BD161" s="1007"/>
      <c r="BE161" s="1007"/>
      <c r="BF161" s="1008"/>
      <c r="BG161" s="1008"/>
      <c r="BH161" s="1009"/>
      <c r="BI161" s="1010"/>
      <c r="BJ161" s="1010"/>
      <c r="BK161" s="1010"/>
      <c r="BL161" s="1010"/>
      <c r="BM161" s="1010"/>
      <c r="BN161" s="1010"/>
      <c r="BO161" s="1010"/>
      <c r="BP161" s="1010"/>
      <c r="BQ161" s="1010"/>
      <c r="BR161" s="1010"/>
      <c r="BS161" s="1010"/>
      <c r="BT161" s="1010"/>
      <c r="BU161" s="1010"/>
      <c r="BV161" s="1010"/>
      <c r="BW161" s="1010"/>
      <c r="BX161" s="1010"/>
      <c r="BY161" s="1010"/>
      <c r="BZ161" s="1010"/>
      <c r="CA161" s="1010"/>
    </row>
    <row r="162" spans="1:79" ht="80.099999999999994" customHeight="1">
      <c r="A162" s="1012"/>
      <c r="B162" s="1012"/>
      <c r="C162" s="1010"/>
      <c r="D162" s="1010"/>
      <c r="E162" s="1010"/>
      <c r="F162" s="1010"/>
      <c r="G162" s="1011"/>
      <c r="H162" s="1011"/>
      <c r="I162" s="1011"/>
      <c r="J162" s="1007"/>
      <c r="K162" s="1007"/>
      <c r="L162" s="1011"/>
      <c r="M162" s="1011"/>
      <c r="N162" s="1011"/>
      <c r="O162" s="1011"/>
      <c r="P162" s="1011"/>
      <c r="Q162" s="1011"/>
      <c r="R162" s="1011"/>
      <c r="S162" s="1011"/>
      <c r="T162" s="1011"/>
      <c r="U162" s="1007"/>
      <c r="V162" s="1007"/>
      <c r="W162" s="1007"/>
      <c r="X162" s="1007"/>
      <c r="Y162" s="1007"/>
      <c r="Z162" s="1007"/>
      <c r="AA162" s="1011"/>
      <c r="AB162" s="1011"/>
      <c r="AC162" s="1011"/>
      <c r="AD162" s="1011"/>
      <c r="AE162" s="1011"/>
      <c r="AF162" s="1011"/>
      <c r="AG162" s="1011"/>
      <c r="AH162" s="1011"/>
      <c r="AI162" s="1011"/>
      <c r="AJ162" s="1011"/>
      <c r="AK162" s="1011"/>
      <c r="AL162" s="1011"/>
      <c r="AM162" s="1011"/>
      <c r="AN162" s="1011"/>
      <c r="AO162" s="1011"/>
      <c r="AP162" s="1011"/>
      <c r="AQ162" s="1011"/>
      <c r="AR162" s="1011"/>
      <c r="AS162" s="1010"/>
      <c r="AT162" s="1007"/>
      <c r="AU162" s="1007"/>
      <c r="AV162" s="1007"/>
      <c r="AW162" s="1007"/>
      <c r="AX162" s="1007"/>
      <c r="AY162" s="1007"/>
      <c r="AZ162" s="1007"/>
      <c r="BA162" s="1007"/>
      <c r="BB162" s="1007"/>
      <c r="BC162" s="1007"/>
      <c r="BD162" s="1007"/>
      <c r="BE162" s="1007"/>
      <c r="BF162" s="1012"/>
      <c r="BG162" s="1012"/>
      <c r="BH162" s="1010"/>
      <c r="BI162" s="1010"/>
      <c r="BJ162" s="1010"/>
      <c r="BK162" s="1010"/>
      <c r="BL162" s="1010"/>
      <c r="BM162" s="1010"/>
      <c r="BN162" s="1010"/>
      <c r="BO162" s="1010"/>
      <c r="BP162" s="1010"/>
      <c r="BQ162" s="1010"/>
      <c r="BR162" s="1010"/>
      <c r="BS162" s="1010"/>
      <c r="BT162" s="1010"/>
      <c r="BU162" s="1010"/>
      <c r="BV162" s="1010"/>
      <c r="BW162" s="1010"/>
      <c r="BX162" s="1010"/>
      <c r="BY162" s="1010"/>
      <c r="BZ162" s="1010"/>
      <c r="CA162" s="1010"/>
    </row>
    <row r="163" spans="1:79" ht="80.099999999999994" customHeight="1">
      <c r="A163" s="1012"/>
      <c r="B163" s="1013"/>
      <c r="C163" s="1013"/>
      <c r="D163" s="1012"/>
      <c r="E163" s="1010"/>
      <c r="F163" s="1012"/>
      <c r="G163" s="1011"/>
      <c r="H163" s="1011"/>
      <c r="I163" s="1011"/>
      <c r="J163" s="1007"/>
      <c r="K163" s="1007"/>
      <c r="L163" s="1011"/>
      <c r="M163" s="1011"/>
      <c r="N163" s="1011"/>
      <c r="O163" s="1011"/>
      <c r="P163" s="1011"/>
      <c r="Q163" s="1011"/>
      <c r="R163" s="1011"/>
      <c r="S163" s="1011"/>
      <c r="T163" s="1011"/>
      <c r="U163" s="1011"/>
      <c r="V163" s="1011"/>
      <c r="W163" s="1011"/>
      <c r="X163" s="1007"/>
      <c r="Y163" s="1007"/>
      <c r="Z163" s="1011"/>
      <c r="AA163" s="1012"/>
      <c r="AB163" s="1012"/>
      <c r="AC163" s="1012"/>
      <c r="AD163" s="1012"/>
      <c r="AE163" s="1012"/>
      <c r="AF163" s="1012"/>
      <c r="AG163" s="1010"/>
      <c r="AH163" s="1010"/>
      <c r="AI163" s="1012"/>
      <c r="AJ163" s="1012"/>
      <c r="AK163" s="1012"/>
      <c r="AL163" s="1012"/>
      <c r="AM163" s="1012"/>
      <c r="AN163" s="1012"/>
      <c r="AO163" s="1012"/>
      <c r="AP163" s="1010"/>
      <c r="AQ163" s="1010"/>
      <c r="AR163" s="1012"/>
      <c r="AS163" s="1011"/>
      <c r="AT163" s="1011"/>
      <c r="AU163" s="1011"/>
      <c r="AV163" s="1007"/>
      <c r="AW163" s="1007"/>
      <c r="AX163" s="1014"/>
      <c r="AY163" s="1015"/>
      <c r="AZ163" s="1015"/>
      <c r="BA163" s="1011"/>
      <c r="BB163" s="1011"/>
      <c r="BC163" s="1011"/>
      <c r="BD163" s="1011"/>
      <c r="BE163" s="1007"/>
      <c r="BF163" s="1012"/>
      <c r="BG163" s="1013"/>
      <c r="BH163" s="1013"/>
      <c r="BI163" s="1012"/>
      <c r="BJ163" s="1012"/>
      <c r="BK163" s="1016"/>
      <c r="BL163" s="1016"/>
      <c r="BM163" s="1012"/>
      <c r="BN163" s="1012"/>
      <c r="BO163" s="1012"/>
      <c r="BP163" s="1012"/>
      <c r="BQ163" s="1012"/>
      <c r="BR163" s="1012"/>
      <c r="BS163" s="1012"/>
      <c r="BT163" s="1012"/>
      <c r="BU163" s="1012"/>
      <c r="BV163" s="1012"/>
      <c r="BW163" s="1012"/>
      <c r="BX163" s="1012"/>
      <c r="BY163" s="1012"/>
      <c r="BZ163" s="1012"/>
      <c r="CA163" s="1012"/>
    </row>
    <row r="164" spans="1:79" ht="80.099999999999994" customHeight="1">
      <c r="A164" s="1012"/>
      <c r="B164" s="1013"/>
      <c r="C164" s="1013"/>
      <c r="D164" s="1012"/>
      <c r="E164" s="1010"/>
      <c r="F164" s="1012"/>
      <c r="G164" s="1007"/>
      <c r="H164" s="1007"/>
      <c r="I164" s="1007"/>
      <c r="J164" s="1007"/>
      <c r="K164" s="1007"/>
      <c r="L164" s="1007"/>
      <c r="M164" s="1007"/>
      <c r="N164" s="1007"/>
      <c r="O164" s="1007"/>
      <c r="P164" s="1007"/>
      <c r="Q164" s="1007"/>
      <c r="R164" s="1007"/>
      <c r="S164" s="1007"/>
      <c r="T164" s="1007"/>
      <c r="U164" s="1007"/>
      <c r="V164" s="1007"/>
      <c r="W164" s="1007"/>
      <c r="X164" s="1007"/>
      <c r="Y164" s="1007"/>
      <c r="Z164" s="1011"/>
      <c r="AA164" s="1007"/>
      <c r="AB164" s="1007"/>
      <c r="AC164" s="1007"/>
      <c r="AD164" s="1007"/>
      <c r="AE164" s="1007"/>
      <c r="AF164" s="1007"/>
      <c r="AG164" s="1007"/>
      <c r="AH164" s="1007"/>
      <c r="AI164" s="1012"/>
      <c r="AJ164" s="1007"/>
      <c r="AK164" s="1007"/>
      <c r="AL164" s="1007"/>
      <c r="AM164" s="1007"/>
      <c r="AN164" s="1007"/>
      <c r="AO164" s="1007"/>
      <c r="AP164" s="1007"/>
      <c r="AQ164" s="1007"/>
      <c r="AR164" s="1012"/>
      <c r="AS164" s="1007"/>
      <c r="AT164" s="1007"/>
      <c r="AU164" s="1007"/>
      <c r="AV164" s="1007"/>
      <c r="AW164" s="1007"/>
      <c r="AX164" s="1014"/>
      <c r="AY164" s="1015"/>
      <c r="AZ164" s="1015"/>
      <c r="BA164" s="1011"/>
      <c r="BB164" s="1011"/>
      <c r="BC164" s="1011"/>
      <c r="BD164" s="1011"/>
      <c r="BE164" s="1007"/>
      <c r="BF164" s="1012"/>
      <c r="BG164" s="1013"/>
      <c r="BH164" s="1013"/>
      <c r="BI164" s="1007"/>
      <c r="BJ164" s="1007"/>
      <c r="BK164" s="1007"/>
      <c r="BL164" s="1007"/>
      <c r="BM164" s="1007"/>
      <c r="BN164" s="1007"/>
      <c r="BO164" s="1007"/>
      <c r="BP164" s="1007"/>
      <c r="BQ164" s="1007"/>
      <c r="BR164" s="1007"/>
      <c r="BS164" s="1007"/>
      <c r="BT164" s="1007"/>
      <c r="BU164" s="1007"/>
      <c r="BV164" s="1007"/>
      <c r="BW164" s="1007"/>
      <c r="BX164" s="1007"/>
      <c r="BY164" s="1007"/>
      <c r="BZ164" s="1007"/>
      <c r="CA164" s="1010"/>
    </row>
    <row r="165" spans="1:79" ht="80.099999999999994" customHeight="1">
      <c r="A165" s="1017"/>
      <c r="B165" s="1018"/>
      <c r="C165" s="1019"/>
      <c r="D165" s="1020"/>
      <c r="E165" s="1020"/>
      <c r="F165" s="1020"/>
      <c r="G165" s="1001"/>
      <c r="H165" s="1001"/>
      <c r="I165" s="1001"/>
      <c r="J165" s="1001"/>
      <c r="K165" s="1001"/>
      <c r="L165" s="1001"/>
      <c r="M165" s="1001"/>
      <c r="N165" s="1001"/>
      <c r="O165" s="1001"/>
      <c r="P165" s="1001"/>
      <c r="Q165" s="1001"/>
      <c r="R165" s="1001"/>
      <c r="S165" s="1001"/>
      <c r="T165" s="1001"/>
      <c r="U165" s="1001"/>
      <c r="V165" s="1001"/>
      <c r="W165" s="1001"/>
      <c r="X165" s="1001"/>
      <c r="Y165" s="1001"/>
      <c r="Z165" s="1002"/>
      <c r="AA165" s="1001"/>
      <c r="AB165" s="1001"/>
      <c r="AC165" s="1001"/>
      <c r="AD165" s="1001"/>
      <c r="AE165" s="1001"/>
      <c r="AF165" s="1001"/>
      <c r="AG165" s="1001"/>
      <c r="AH165" s="1001"/>
      <c r="AI165" s="1021"/>
      <c r="AJ165" s="1001"/>
      <c r="AK165" s="1001"/>
      <c r="AL165" s="1001"/>
      <c r="AM165" s="1001"/>
      <c r="AN165" s="1001"/>
      <c r="AO165" s="1001"/>
      <c r="AP165" s="1001"/>
      <c r="AQ165" s="1001"/>
      <c r="AR165" s="1021"/>
      <c r="AS165" s="1001"/>
      <c r="AT165" s="1001"/>
      <c r="AU165" s="1001"/>
      <c r="AV165" s="1001"/>
      <c r="AW165" s="1001"/>
      <c r="AX165" s="1002"/>
      <c r="AY165" s="1002"/>
      <c r="AZ165" s="1002"/>
      <c r="BA165" s="1002"/>
      <c r="BB165" s="1002"/>
      <c r="BC165" s="1003"/>
      <c r="BD165" s="1004"/>
      <c r="BE165" s="1004"/>
      <c r="BF165" s="1017"/>
      <c r="BG165" s="1018"/>
      <c r="BH165" s="1019"/>
      <c r="BI165" s="1001"/>
      <c r="BJ165" s="1001"/>
      <c r="BK165" s="1001"/>
      <c r="BL165" s="1001"/>
      <c r="BM165" s="1001"/>
      <c r="BN165" s="1001"/>
      <c r="BO165" s="1001"/>
      <c r="BP165" s="1001"/>
      <c r="BQ165" s="1001"/>
      <c r="BR165" s="1001"/>
      <c r="BS165" s="1001"/>
      <c r="BT165" s="1001"/>
      <c r="BU165" s="1001"/>
      <c r="BV165" s="1001"/>
      <c r="BW165" s="1001"/>
      <c r="BX165" s="1001"/>
      <c r="BY165" s="1001"/>
      <c r="BZ165" s="1001"/>
      <c r="CA165" s="1001"/>
    </row>
    <row r="166" spans="1:79" ht="80.099999999999994" customHeight="1">
      <c r="A166" s="1017"/>
      <c r="B166" s="1018"/>
      <c r="C166" s="1019"/>
      <c r="D166" s="1022"/>
      <c r="E166" s="1022"/>
      <c r="F166" s="1022"/>
      <c r="G166" s="1001"/>
      <c r="H166" s="1001"/>
      <c r="I166" s="1001"/>
      <c r="J166" s="1001"/>
      <c r="K166" s="1001"/>
      <c r="L166" s="1001"/>
      <c r="M166" s="1001"/>
      <c r="N166" s="1001"/>
      <c r="O166" s="1001"/>
      <c r="P166" s="1001"/>
      <c r="Q166" s="1001"/>
      <c r="R166" s="1001"/>
      <c r="S166" s="1001"/>
      <c r="T166" s="1001"/>
      <c r="U166" s="1001"/>
      <c r="V166" s="1001"/>
      <c r="W166" s="1001"/>
      <c r="X166" s="1001"/>
      <c r="Y166" s="1001"/>
      <c r="Z166" s="1002"/>
      <c r="AA166" s="1001"/>
      <c r="AB166" s="1001"/>
      <c r="AC166" s="1001"/>
      <c r="AD166" s="1001"/>
      <c r="AE166" s="1001"/>
      <c r="AF166" s="1001"/>
      <c r="AG166" s="1001"/>
      <c r="AH166" s="1001"/>
      <c r="AI166" s="1021"/>
      <c r="AJ166" s="1001"/>
      <c r="AK166" s="1001"/>
      <c r="AL166" s="1001"/>
      <c r="AM166" s="1001"/>
      <c r="AN166" s="1001"/>
      <c r="AO166" s="1001"/>
      <c r="AP166" s="1001"/>
      <c r="AQ166" s="1001"/>
      <c r="AR166" s="1021"/>
      <c r="AS166" s="1001"/>
      <c r="AT166" s="1001"/>
      <c r="AU166" s="1001"/>
      <c r="AV166" s="1001"/>
      <c r="AW166" s="1001"/>
      <c r="AX166" s="1002"/>
      <c r="AY166" s="1002"/>
      <c r="AZ166" s="1002"/>
      <c r="BA166" s="1002"/>
      <c r="BB166" s="1002"/>
      <c r="BC166" s="1003"/>
      <c r="BD166" s="1004"/>
      <c r="BE166" s="1004"/>
      <c r="BF166" s="1017"/>
      <c r="BG166" s="1018"/>
      <c r="BH166" s="1019"/>
      <c r="BI166" s="1001"/>
      <c r="BJ166" s="1001"/>
      <c r="BK166" s="1001"/>
      <c r="BL166" s="1001"/>
      <c r="BM166" s="1001"/>
      <c r="BN166" s="1001"/>
      <c r="BO166" s="1001"/>
      <c r="BP166" s="1001"/>
      <c r="BQ166" s="1001"/>
      <c r="BR166" s="1001"/>
      <c r="BS166" s="1001"/>
      <c r="BT166" s="1001"/>
      <c r="BU166" s="1001"/>
      <c r="BV166" s="1001"/>
      <c r="BW166" s="1001"/>
      <c r="BX166" s="1001"/>
      <c r="BY166" s="1001"/>
      <c r="BZ166" s="1001"/>
      <c r="CA166" s="1001"/>
    </row>
    <row r="167" spans="1:79" ht="80.099999999999994" customHeight="1">
      <c r="A167" s="1017"/>
      <c r="B167" s="1018"/>
      <c r="C167" s="1019"/>
      <c r="D167" s="1022"/>
      <c r="E167" s="1022"/>
      <c r="F167" s="1022"/>
      <c r="G167" s="1001"/>
      <c r="H167" s="1001"/>
      <c r="I167" s="1001"/>
      <c r="J167" s="1001"/>
      <c r="K167" s="1001"/>
      <c r="L167" s="1001"/>
      <c r="M167" s="1001"/>
      <c r="N167" s="1001"/>
      <c r="O167" s="1001"/>
      <c r="P167" s="1001"/>
      <c r="Q167" s="1001"/>
      <c r="R167" s="1001"/>
      <c r="S167" s="1001"/>
      <c r="T167" s="1001"/>
      <c r="U167" s="1001"/>
      <c r="V167" s="1001"/>
      <c r="W167" s="1001"/>
      <c r="X167" s="1001"/>
      <c r="Y167" s="1001"/>
      <c r="Z167" s="1002"/>
      <c r="AA167" s="1001"/>
      <c r="AB167" s="1001"/>
      <c r="AC167" s="1001"/>
      <c r="AD167" s="1001"/>
      <c r="AE167" s="1001"/>
      <c r="AF167" s="1001"/>
      <c r="AG167" s="1001"/>
      <c r="AH167" s="1001"/>
      <c r="AI167" s="1021"/>
      <c r="AJ167" s="1001"/>
      <c r="AK167" s="1001"/>
      <c r="AL167" s="1001"/>
      <c r="AM167" s="1001"/>
      <c r="AN167" s="1001"/>
      <c r="AO167" s="1001"/>
      <c r="AP167" s="1001"/>
      <c r="AQ167" s="1001"/>
      <c r="AR167" s="1021"/>
      <c r="AS167" s="1001"/>
      <c r="AT167" s="1001"/>
      <c r="AU167" s="1001"/>
      <c r="AV167" s="1001"/>
      <c r="AW167" s="1001"/>
      <c r="AX167" s="1002"/>
      <c r="AY167" s="1002"/>
      <c r="AZ167" s="1002"/>
      <c r="BA167" s="1002"/>
      <c r="BB167" s="1002"/>
      <c r="BC167" s="1003"/>
      <c r="BD167" s="1004"/>
      <c r="BE167" s="1004"/>
      <c r="BF167" s="1017"/>
      <c r="BG167" s="1018"/>
      <c r="BH167" s="1019"/>
      <c r="BI167" s="1001"/>
      <c r="BJ167" s="1001"/>
      <c r="BK167" s="1001"/>
      <c r="BL167" s="1001"/>
      <c r="BM167" s="1001"/>
      <c r="BN167" s="1001"/>
      <c r="BO167" s="1001"/>
      <c r="BP167" s="1001"/>
      <c r="BQ167" s="1001"/>
      <c r="BR167" s="1001"/>
      <c r="BS167" s="1001"/>
      <c r="BT167" s="1001"/>
      <c r="BU167" s="1001"/>
      <c r="BV167" s="1001"/>
      <c r="BW167" s="1001"/>
      <c r="BX167" s="1001"/>
      <c r="BY167" s="1001"/>
      <c r="BZ167" s="1001"/>
      <c r="CA167" s="1001"/>
    </row>
    <row r="168" spans="1:79" ht="80.099999999999994" customHeight="1">
      <c r="A168" s="1017"/>
      <c r="B168" s="1018"/>
      <c r="C168" s="1019"/>
      <c r="D168" s="1022"/>
      <c r="E168" s="1022"/>
      <c r="F168" s="1022"/>
      <c r="G168" s="1001"/>
      <c r="H168" s="1001"/>
      <c r="I168" s="1001"/>
      <c r="J168" s="1001"/>
      <c r="K168" s="1001"/>
      <c r="L168" s="1001"/>
      <c r="M168" s="1001"/>
      <c r="N168" s="1001"/>
      <c r="O168" s="1001"/>
      <c r="P168" s="1001"/>
      <c r="Q168" s="1001"/>
      <c r="R168" s="1001"/>
      <c r="S168" s="1001"/>
      <c r="T168" s="1001"/>
      <c r="U168" s="1001"/>
      <c r="V168" s="1001"/>
      <c r="W168" s="1001"/>
      <c r="X168" s="1001"/>
      <c r="Y168" s="1001"/>
      <c r="Z168" s="1002"/>
      <c r="AA168" s="1001"/>
      <c r="AB168" s="1001"/>
      <c r="AC168" s="1001"/>
      <c r="AD168" s="1001"/>
      <c r="AE168" s="1001"/>
      <c r="AF168" s="1001"/>
      <c r="AG168" s="1001"/>
      <c r="AH168" s="1001"/>
      <c r="AI168" s="1021"/>
      <c r="AJ168" s="1001"/>
      <c r="AK168" s="1001"/>
      <c r="AL168" s="1001"/>
      <c r="AM168" s="1001"/>
      <c r="AN168" s="1001"/>
      <c r="AO168" s="1001"/>
      <c r="AP168" s="1001"/>
      <c r="AQ168" s="1001"/>
      <c r="AR168" s="1021"/>
      <c r="AS168" s="1001"/>
      <c r="AT168" s="1001"/>
      <c r="AU168" s="1001"/>
      <c r="AV168" s="1001"/>
      <c r="AW168" s="1001"/>
      <c r="AX168" s="1002"/>
      <c r="AY168" s="1002"/>
      <c r="AZ168" s="1002"/>
      <c r="BA168" s="1002"/>
      <c r="BB168" s="1002"/>
      <c r="BC168" s="1003"/>
      <c r="BD168" s="1004"/>
      <c r="BE168" s="1004"/>
      <c r="BF168" s="1017"/>
      <c r="BG168" s="1018"/>
      <c r="BH168" s="1019"/>
      <c r="BI168" s="1001"/>
      <c r="BJ168" s="1001"/>
      <c r="BK168" s="1001"/>
      <c r="BL168" s="1001"/>
      <c r="BM168" s="1001"/>
      <c r="BN168" s="1001"/>
      <c r="BO168" s="1001"/>
      <c r="BP168" s="1001"/>
      <c r="BQ168" s="1001"/>
      <c r="BR168" s="1001"/>
      <c r="BS168" s="1001"/>
      <c r="BT168" s="1001"/>
      <c r="BU168" s="1001"/>
      <c r="BV168" s="1001"/>
      <c r="BW168" s="1001"/>
      <c r="BX168" s="1001"/>
      <c r="BY168" s="1001"/>
      <c r="BZ168" s="1001"/>
      <c r="CA168" s="1001"/>
    </row>
    <row r="169" spans="1:79" ht="80.099999999999994" customHeight="1">
      <c r="A169" s="1017"/>
      <c r="B169" s="1018"/>
      <c r="C169" s="1019"/>
      <c r="D169" s="1022"/>
      <c r="E169" s="1022"/>
      <c r="F169" s="1022"/>
      <c r="G169" s="1001"/>
      <c r="H169" s="1001"/>
      <c r="I169" s="1001"/>
      <c r="J169" s="1001"/>
      <c r="K169" s="1001"/>
      <c r="L169" s="1001"/>
      <c r="M169" s="1001"/>
      <c r="N169" s="1001"/>
      <c r="O169" s="1001"/>
      <c r="P169" s="1001"/>
      <c r="Q169" s="1001"/>
      <c r="R169" s="1001"/>
      <c r="S169" s="1001"/>
      <c r="T169" s="1001"/>
      <c r="U169" s="1001"/>
      <c r="V169" s="1001"/>
      <c r="W169" s="1001"/>
      <c r="X169" s="1001"/>
      <c r="Y169" s="1001"/>
      <c r="Z169" s="1002"/>
      <c r="AA169" s="1001"/>
      <c r="AB169" s="1001"/>
      <c r="AC169" s="1001"/>
      <c r="AD169" s="1001"/>
      <c r="AE169" s="1001"/>
      <c r="AF169" s="1001"/>
      <c r="AG169" s="1001"/>
      <c r="AH169" s="1001"/>
      <c r="AI169" s="1021"/>
      <c r="AJ169" s="1001"/>
      <c r="AK169" s="1001"/>
      <c r="AL169" s="1001"/>
      <c r="AM169" s="1001"/>
      <c r="AN169" s="1001"/>
      <c r="AO169" s="1001"/>
      <c r="AP169" s="1001"/>
      <c r="AQ169" s="1001"/>
      <c r="AR169" s="1021"/>
      <c r="AS169" s="1001"/>
      <c r="AT169" s="1001"/>
      <c r="AU169" s="1001"/>
      <c r="AV169" s="1001"/>
      <c r="AW169" s="1001"/>
      <c r="AX169" s="1002"/>
      <c r="AY169" s="1002"/>
      <c r="AZ169" s="1002"/>
      <c r="BA169" s="1002"/>
      <c r="BB169" s="1002"/>
      <c r="BC169" s="1003"/>
      <c r="BD169" s="1004"/>
      <c r="BE169" s="1004"/>
      <c r="BF169" s="1017"/>
      <c r="BG169" s="1018"/>
      <c r="BH169" s="1019"/>
      <c r="BI169" s="1001"/>
      <c r="BJ169" s="1001"/>
      <c r="BK169" s="1001"/>
      <c r="BL169" s="1001"/>
      <c r="BM169" s="1001"/>
      <c r="BN169" s="1001"/>
      <c r="BO169" s="1001"/>
      <c r="BP169" s="1001"/>
      <c r="BQ169" s="1001"/>
      <c r="BR169" s="1001"/>
      <c r="BS169" s="1001"/>
      <c r="BT169" s="1001"/>
      <c r="BU169" s="1001"/>
      <c r="BV169" s="1001"/>
      <c r="BW169" s="1001"/>
      <c r="BX169" s="1001"/>
      <c r="BY169" s="1001"/>
      <c r="BZ169" s="1001"/>
      <c r="CA169" s="1001"/>
    </row>
    <row r="170" spans="1:79" ht="80.099999999999994" customHeight="1">
      <c r="A170" s="1017"/>
      <c r="B170" s="1018"/>
      <c r="C170" s="1023"/>
      <c r="D170" s="1024"/>
      <c r="E170" s="1024"/>
      <c r="F170" s="1024"/>
      <c r="G170" s="1001"/>
      <c r="H170" s="1001"/>
      <c r="I170" s="1001"/>
      <c r="J170" s="1001"/>
      <c r="K170" s="1001"/>
      <c r="L170" s="1001"/>
      <c r="M170" s="1001"/>
      <c r="N170" s="1001"/>
      <c r="O170" s="1001"/>
      <c r="P170" s="1001"/>
      <c r="Q170" s="1001"/>
      <c r="R170" s="1001"/>
      <c r="S170" s="1001"/>
      <c r="T170" s="1001"/>
      <c r="U170" s="1001"/>
      <c r="V170" s="1001"/>
      <c r="W170" s="1001"/>
      <c r="X170" s="1001"/>
      <c r="Y170" s="1001"/>
      <c r="Z170" s="1002"/>
      <c r="AA170" s="1001"/>
      <c r="AB170" s="1001"/>
      <c r="AC170" s="1001"/>
      <c r="AD170" s="1001"/>
      <c r="AE170" s="1001"/>
      <c r="AF170" s="1001"/>
      <c r="AG170" s="1001"/>
      <c r="AH170" s="1001"/>
      <c r="AI170" s="1021"/>
      <c r="AJ170" s="1001"/>
      <c r="AK170" s="1001"/>
      <c r="AL170" s="1001"/>
      <c r="AM170" s="1001"/>
      <c r="AN170" s="1001"/>
      <c r="AO170" s="1001"/>
      <c r="AP170" s="1001"/>
      <c r="AQ170" s="1001"/>
      <c r="AR170" s="1021"/>
      <c r="AS170" s="1001"/>
      <c r="AT170" s="1001"/>
      <c r="AU170" s="1001"/>
      <c r="AV170" s="1001"/>
      <c r="AW170" s="1001"/>
      <c r="AX170" s="1002"/>
      <c r="AY170" s="1002"/>
      <c r="AZ170" s="1002"/>
      <c r="BA170" s="1002"/>
      <c r="BB170" s="1002"/>
      <c r="BC170" s="1003"/>
      <c r="BD170" s="1004"/>
      <c r="BE170" s="1004"/>
      <c r="BF170" s="1017"/>
      <c r="BG170" s="1018"/>
      <c r="BH170" s="1023"/>
      <c r="BI170" s="1001"/>
      <c r="BJ170" s="1001"/>
      <c r="BK170" s="1001"/>
      <c r="BL170" s="1001"/>
      <c r="BM170" s="1001"/>
      <c r="BN170" s="1001"/>
      <c r="BO170" s="1001"/>
      <c r="BP170" s="1001"/>
      <c r="BQ170" s="1001"/>
      <c r="BR170" s="1001"/>
      <c r="BS170" s="1001"/>
      <c r="BT170" s="1001"/>
      <c r="BU170" s="1001"/>
      <c r="BV170" s="1001"/>
      <c r="BW170" s="1001"/>
      <c r="BX170" s="1001"/>
      <c r="BY170" s="1001"/>
      <c r="BZ170" s="1001"/>
      <c r="CA170" s="1001"/>
    </row>
    <row r="171" spans="1:79" ht="80.099999999999994" customHeight="1">
      <c r="A171" s="1017"/>
      <c r="B171" s="1018"/>
      <c r="C171" s="1019"/>
      <c r="D171" s="1022"/>
      <c r="E171" s="1022"/>
      <c r="F171" s="1022"/>
      <c r="G171" s="1001"/>
      <c r="H171" s="1001"/>
      <c r="I171" s="1001"/>
      <c r="J171" s="1001"/>
      <c r="K171" s="1001"/>
      <c r="L171" s="1001"/>
      <c r="M171" s="1001"/>
      <c r="N171" s="1001"/>
      <c r="O171" s="1001"/>
      <c r="P171" s="1001"/>
      <c r="Q171" s="1001"/>
      <c r="R171" s="1001"/>
      <c r="S171" s="1001"/>
      <c r="T171" s="1001"/>
      <c r="U171" s="1001"/>
      <c r="V171" s="1001"/>
      <c r="W171" s="1001"/>
      <c r="X171" s="1001"/>
      <c r="Y171" s="1001"/>
      <c r="Z171" s="1002"/>
      <c r="AA171" s="1001"/>
      <c r="AB171" s="1001"/>
      <c r="AC171" s="1001"/>
      <c r="AD171" s="1001"/>
      <c r="AE171" s="1001"/>
      <c r="AF171" s="1001"/>
      <c r="AG171" s="1001"/>
      <c r="AH171" s="1001"/>
      <c r="AI171" s="1021"/>
      <c r="AJ171" s="1001"/>
      <c r="AK171" s="1001"/>
      <c r="AL171" s="1001"/>
      <c r="AM171" s="1001"/>
      <c r="AN171" s="1001"/>
      <c r="AO171" s="1001"/>
      <c r="AP171" s="1001"/>
      <c r="AQ171" s="1001"/>
      <c r="AR171" s="1021"/>
      <c r="AS171" s="1001"/>
      <c r="AT171" s="1001"/>
      <c r="AU171" s="1001"/>
      <c r="AV171" s="1001"/>
      <c r="AW171" s="1001"/>
      <c r="AX171" s="1002"/>
      <c r="AY171" s="1002"/>
      <c r="AZ171" s="1002"/>
      <c r="BA171" s="1002"/>
      <c r="BB171" s="1002"/>
      <c r="BC171" s="1003"/>
      <c r="BD171" s="1004"/>
      <c r="BE171" s="1004"/>
      <c r="BF171" s="1017"/>
      <c r="BG171" s="1018"/>
      <c r="BH171" s="1019"/>
      <c r="BI171" s="1001"/>
      <c r="BJ171" s="1001"/>
      <c r="BK171" s="1001"/>
      <c r="BL171" s="1001"/>
      <c r="BM171" s="1001"/>
      <c r="BN171" s="1001"/>
      <c r="BO171" s="1001"/>
      <c r="BP171" s="1001"/>
      <c r="BQ171" s="1001"/>
      <c r="BR171" s="1001"/>
      <c r="BS171" s="1001"/>
      <c r="BT171" s="1001"/>
      <c r="BU171" s="1001"/>
      <c r="BV171" s="1001"/>
      <c r="BW171" s="1001"/>
      <c r="BX171" s="1001"/>
      <c r="BY171" s="1001"/>
      <c r="BZ171" s="1001"/>
      <c r="CA171" s="1001"/>
    </row>
    <row r="172" spans="1:79" ht="80.099999999999994" customHeight="1">
      <c r="A172" s="1017"/>
      <c r="B172" s="1018"/>
      <c r="C172" s="1023"/>
      <c r="D172" s="1024"/>
      <c r="E172" s="1024"/>
      <c r="F172" s="1024"/>
      <c r="G172" s="1001"/>
      <c r="H172" s="1001"/>
      <c r="I172" s="1001"/>
      <c r="J172" s="1001"/>
      <c r="K172" s="1001"/>
      <c r="L172" s="1001"/>
      <c r="M172" s="1001"/>
      <c r="N172" s="1001"/>
      <c r="O172" s="1001"/>
      <c r="P172" s="1001"/>
      <c r="Q172" s="1001"/>
      <c r="R172" s="1001"/>
      <c r="S172" s="1001"/>
      <c r="T172" s="1001"/>
      <c r="U172" s="1001"/>
      <c r="V172" s="1001"/>
      <c r="W172" s="1001"/>
      <c r="X172" s="1001"/>
      <c r="Y172" s="1001"/>
      <c r="Z172" s="1002"/>
      <c r="AA172" s="1001"/>
      <c r="AB172" s="1001"/>
      <c r="AC172" s="1001"/>
      <c r="AD172" s="1001"/>
      <c r="AE172" s="1001"/>
      <c r="AF172" s="1001"/>
      <c r="AG172" s="1001"/>
      <c r="AH172" s="1001"/>
      <c r="AI172" s="1021"/>
      <c r="AJ172" s="1001"/>
      <c r="AK172" s="1001"/>
      <c r="AL172" s="1001"/>
      <c r="AM172" s="1001"/>
      <c r="AN172" s="1001"/>
      <c r="AO172" s="1001"/>
      <c r="AP172" s="1001"/>
      <c r="AQ172" s="1001"/>
      <c r="AR172" s="1021"/>
      <c r="AS172" s="1001"/>
      <c r="AT172" s="1001"/>
      <c r="AU172" s="1001"/>
      <c r="AV172" s="1001"/>
      <c r="AW172" s="1001"/>
      <c r="AX172" s="1002"/>
      <c r="AY172" s="1002"/>
      <c r="AZ172" s="1002"/>
      <c r="BA172" s="1002"/>
      <c r="BB172" s="1002"/>
      <c r="BC172" s="1003"/>
      <c r="BD172" s="1004"/>
      <c r="BE172" s="1004"/>
      <c r="BF172" s="1017"/>
      <c r="BG172" s="1018"/>
      <c r="BH172" s="1023"/>
      <c r="BI172" s="1001"/>
      <c r="BJ172" s="1001"/>
      <c r="BK172" s="1001"/>
      <c r="BL172" s="1001"/>
      <c r="BM172" s="1001"/>
      <c r="BN172" s="1001"/>
      <c r="BO172" s="1001"/>
      <c r="BP172" s="1001"/>
      <c r="BQ172" s="1001"/>
      <c r="BR172" s="1001"/>
      <c r="BS172" s="1001"/>
      <c r="BT172" s="1001"/>
      <c r="BU172" s="1001"/>
      <c r="BV172" s="1001"/>
      <c r="BW172" s="1001"/>
      <c r="BX172" s="1001"/>
      <c r="BY172" s="1001"/>
      <c r="BZ172" s="1001"/>
      <c r="CA172" s="1001"/>
    </row>
    <row r="173" spans="1:79" ht="80.099999999999994" customHeight="1">
      <c r="A173" s="1017"/>
      <c r="B173" s="1018"/>
      <c r="C173" s="1023"/>
      <c r="D173" s="1024"/>
      <c r="E173" s="1024"/>
      <c r="F173" s="1024"/>
      <c r="G173" s="1001"/>
      <c r="H173" s="1001"/>
      <c r="I173" s="1001"/>
      <c r="J173" s="1001"/>
      <c r="K173" s="1001"/>
      <c r="L173" s="1001"/>
      <c r="M173" s="1001"/>
      <c r="N173" s="1001"/>
      <c r="O173" s="1001"/>
      <c r="P173" s="1001"/>
      <c r="Q173" s="1001"/>
      <c r="R173" s="1001"/>
      <c r="S173" s="1001"/>
      <c r="T173" s="1001"/>
      <c r="U173" s="1001"/>
      <c r="V173" s="1001"/>
      <c r="W173" s="1001"/>
      <c r="X173" s="1001"/>
      <c r="Y173" s="1001"/>
      <c r="Z173" s="1001"/>
      <c r="AA173" s="1001"/>
      <c r="AB173" s="1001"/>
      <c r="AC173" s="1001"/>
      <c r="AD173" s="1001"/>
      <c r="AE173" s="1001"/>
      <c r="AF173" s="1001"/>
      <c r="AG173" s="1001"/>
      <c r="AH173" s="1001"/>
      <c r="AI173" s="1021"/>
      <c r="AJ173" s="1001"/>
      <c r="AK173" s="1001"/>
      <c r="AL173" s="1001"/>
      <c r="AM173" s="1001"/>
      <c r="AN173" s="1001"/>
      <c r="AO173" s="1001"/>
      <c r="AP173" s="1001"/>
      <c r="AQ173" s="1001"/>
      <c r="AR173" s="1021"/>
      <c r="AS173" s="1001"/>
      <c r="AT173" s="1001"/>
      <c r="AU173" s="1001"/>
      <c r="AV173" s="1001"/>
      <c r="AW173" s="1001"/>
      <c r="AX173" s="1002"/>
      <c r="AY173" s="1002"/>
      <c r="AZ173" s="1002"/>
      <c r="BA173" s="1001"/>
      <c r="BB173" s="1001"/>
      <c r="BC173" s="1001"/>
      <c r="BD173" s="1001"/>
      <c r="BE173" s="1001"/>
      <c r="BF173" s="1001"/>
      <c r="BG173" s="1018"/>
      <c r="BH173" s="1023"/>
      <c r="BI173" s="1001"/>
      <c r="BJ173" s="1001"/>
      <c r="BK173" s="1001"/>
      <c r="BL173" s="1001"/>
      <c r="BM173" s="1001"/>
      <c r="BN173" s="1001"/>
      <c r="BO173" s="1001"/>
      <c r="BP173" s="1001"/>
      <c r="BQ173" s="1001"/>
      <c r="BR173" s="1001"/>
      <c r="BS173" s="1001"/>
      <c r="BT173" s="1001"/>
      <c r="BU173" s="1001"/>
      <c r="BV173" s="1001"/>
      <c r="BW173" s="1001"/>
      <c r="BX173" s="1001"/>
      <c r="BY173" s="1001"/>
      <c r="BZ173" s="1001"/>
      <c r="CA173" s="1001"/>
    </row>
    <row r="174" spans="1:79" ht="80.099999999999994" customHeight="1">
      <c r="A174" s="1017"/>
      <c r="B174" s="1025"/>
      <c r="C174" s="1023"/>
      <c r="D174" s="1024"/>
      <c r="E174" s="1024"/>
      <c r="F174" s="1024"/>
      <c r="G174" s="1001"/>
      <c r="H174" s="1001"/>
      <c r="I174" s="1001"/>
      <c r="J174" s="1001"/>
      <c r="K174" s="1001"/>
      <c r="L174" s="1001"/>
      <c r="M174" s="1001"/>
      <c r="N174" s="1001"/>
      <c r="O174" s="1001"/>
      <c r="P174" s="1001"/>
      <c r="Q174" s="1001"/>
      <c r="R174" s="1001"/>
      <c r="S174" s="1001"/>
      <c r="T174" s="1001"/>
      <c r="U174" s="1001"/>
      <c r="V174" s="1001"/>
      <c r="W174" s="1001"/>
      <c r="X174" s="1001"/>
      <c r="Y174" s="1001"/>
      <c r="Z174" s="1002"/>
      <c r="AA174" s="1001"/>
      <c r="AB174" s="1001"/>
      <c r="AC174" s="1001"/>
      <c r="AD174" s="1001"/>
      <c r="AE174" s="1001"/>
      <c r="AF174" s="1001"/>
      <c r="AG174" s="1001"/>
      <c r="AH174" s="1001"/>
      <c r="AI174" s="1021"/>
      <c r="AJ174" s="1001"/>
      <c r="AK174" s="1001"/>
      <c r="AL174" s="1001"/>
      <c r="AM174" s="1001"/>
      <c r="AN174" s="1001"/>
      <c r="AO174" s="1001"/>
      <c r="AP174" s="1001"/>
      <c r="AQ174" s="1001"/>
      <c r="AR174" s="1021"/>
      <c r="AS174" s="1001"/>
      <c r="AT174" s="1001"/>
      <c r="AU174" s="1001"/>
      <c r="AV174" s="1001"/>
      <c r="AW174" s="1001"/>
      <c r="AX174" s="1002"/>
      <c r="AY174" s="1002"/>
      <c r="AZ174" s="1002"/>
      <c r="BA174" s="1002"/>
      <c r="BB174" s="1002"/>
      <c r="BC174" s="1003"/>
      <c r="BD174" s="1004"/>
      <c r="BE174" s="1004"/>
      <c r="BF174" s="1017"/>
      <c r="BG174" s="1025"/>
      <c r="BH174" s="1023"/>
      <c r="BI174" s="1001"/>
      <c r="BJ174" s="1001"/>
      <c r="BK174" s="1001"/>
      <c r="BL174" s="1001"/>
      <c r="BM174" s="1001"/>
      <c r="BN174" s="1001"/>
      <c r="BO174" s="1001"/>
      <c r="BP174" s="1001"/>
      <c r="BQ174" s="1001"/>
      <c r="BR174" s="1001"/>
      <c r="BS174" s="1001"/>
      <c r="BT174" s="1001"/>
      <c r="BU174" s="1001"/>
      <c r="BV174" s="1001"/>
      <c r="BW174" s="1001"/>
      <c r="BX174" s="1001"/>
      <c r="BY174" s="1001"/>
      <c r="BZ174" s="1001"/>
      <c r="CA174" s="1001"/>
    </row>
    <row r="175" spans="1:79" ht="80.099999999999994" customHeight="1">
      <c r="A175" s="1017"/>
      <c r="B175" s="1025"/>
      <c r="C175" s="1023"/>
      <c r="D175" s="1024"/>
      <c r="E175" s="1024"/>
      <c r="F175" s="1024"/>
      <c r="G175" s="1001"/>
      <c r="H175" s="1001"/>
      <c r="I175" s="1001"/>
      <c r="J175" s="1001"/>
      <c r="K175" s="1001"/>
      <c r="L175" s="1001"/>
      <c r="M175" s="1001"/>
      <c r="N175" s="1001"/>
      <c r="O175" s="1001"/>
      <c r="P175" s="1001"/>
      <c r="Q175" s="1001"/>
      <c r="R175" s="1001"/>
      <c r="S175" s="1001"/>
      <c r="T175" s="1001"/>
      <c r="U175" s="1001"/>
      <c r="V175" s="1001"/>
      <c r="W175" s="1001"/>
      <c r="X175" s="1001"/>
      <c r="Y175" s="1001"/>
      <c r="Z175" s="1002"/>
      <c r="AA175" s="1001"/>
      <c r="AB175" s="1001"/>
      <c r="AC175" s="1001"/>
      <c r="AD175" s="1001"/>
      <c r="AE175" s="1001"/>
      <c r="AF175" s="1001"/>
      <c r="AG175" s="1001"/>
      <c r="AH175" s="1001"/>
      <c r="AI175" s="1021"/>
      <c r="AJ175" s="1001"/>
      <c r="AK175" s="1001"/>
      <c r="AL175" s="1001"/>
      <c r="AM175" s="1001"/>
      <c r="AN175" s="1001"/>
      <c r="AO175" s="1001"/>
      <c r="AP175" s="1001"/>
      <c r="AQ175" s="1001"/>
      <c r="AR175" s="1021"/>
      <c r="AS175" s="1001"/>
      <c r="AT175" s="1001"/>
      <c r="AU175" s="1001"/>
      <c r="AV175" s="1001"/>
      <c r="AW175" s="1001"/>
      <c r="AX175" s="1002"/>
      <c r="AY175" s="1002"/>
      <c r="AZ175" s="1002"/>
      <c r="BA175" s="1002"/>
      <c r="BB175" s="1002"/>
      <c r="BC175" s="1003"/>
      <c r="BD175" s="1004"/>
      <c r="BE175" s="1004"/>
      <c r="BF175" s="1017"/>
      <c r="BG175" s="1025"/>
      <c r="BH175" s="1023"/>
      <c r="BI175" s="1001"/>
      <c r="BJ175" s="1001"/>
      <c r="BK175" s="1001"/>
      <c r="BL175" s="1001"/>
      <c r="BM175" s="1001"/>
      <c r="BN175" s="1001"/>
      <c r="BO175" s="1001"/>
      <c r="BP175" s="1001"/>
      <c r="BQ175" s="1001"/>
      <c r="BR175" s="1001"/>
      <c r="BS175" s="1001"/>
      <c r="BT175" s="1001"/>
      <c r="BU175" s="1001"/>
      <c r="BV175" s="1001"/>
      <c r="BW175" s="1001"/>
      <c r="BX175" s="1001"/>
      <c r="BY175" s="1001"/>
      <c r="BZ175" s="1001"/>
      <c r="CA175" s="1001"/>
    </row>
    <row r="176" spans="1:79" ht="80.099999999999994" customHeight="1">
      <c r="A176" s="1017"/>
      <c r="B176" s="1025"/>
      <c r="C176" s="1023"/>
      <c r="D176" s="1024"/>
      <c r="E176" s="1024"/>
      <c r="F176" s="1024"/>
      <c r="G176" s="1001"/>
      <c r="H176" s="1001"/>
      <c r="I176" s="1001"/>
      <c r="J176" s="1001"/>
      <c r="K176" s="1001"/>
      <c r="L176" s="1001"/>
      <c r="M176" s="1001"/>
      <c r="N176" s="1001"/>
      <c r="O176" s="1001"/>
      <c r="P176" s="1001"/>
      <c r="Q176" s="1001"/>
      <c r="R176" s="1001"/>
      <c r="S176" s="1001"/>
      <c r="T176" s="1001"/>
      <c r="U176" s="1001"/>
      <c r="V176" s="1001"/>
      <c r="W176" s="1001"/>
      <c r="X176" s="1001"/>
      <c r="Y176" s="1001"/>
      <c r="Z176" s="1002"/>
      <c r="AA176" s="1001"/>
      <c r="AB176" s="1001"/>
      <c r="AC176" s="1001"/>
      <c r="AD176" s="1001"/>
      <c r="AE176" s="1001"/>
      <c r="AF176" s="1001"/>
      <c r="AG176" s="1001"/>
      <c r="AH176" s="1001"/>
      <c r="AI176" s="1021"/>
      <c r="AJ176" s="1001"/>
      <c r="AK176" s="1001"/>
      <c r="AL176" s="1001"/>
      <c r="AM176" s="1001"/>
      <c r="AN176" s="1001"/>
      <c r="AO176" s="1001"/>
      <c r="AP176" s="1001"/>
      <c r="AQ176" s="1001"/>
      <c r="AR176" s="1021"/>
      <c r="AS176" s="1001"/>
      <c r="AT176" s="1001"/>
      <c r="AU176" s="1001"/>
      <c r="AV176" s="1001"/>
      <c r="AW176" s="1001"/>
      <c r="AX176" s="1002"/>
      <c r="AY176" s="1002"/>
      <c r="AZ176" s="1002"/>
      <c r="BA176" s="1002"/>
      <c r="BB176" s="1002"/>
      <c r="BC176" s="1003"/>
      <c r="BD176" s="1004"/>
      <c r="BE176" s="1004"/>
      <c r="BF176" s="1017"/>
      <c r="BG176" s="1025"/>
      <c r="BH176" s="1023"/>
      <c r="BI176" s="1001"/>
      <c r="BJ176" s="1001"/>
      <c r="BK176" s="1001"/>
      <c r="BL176" s="1001"/>
      <c r="BM176" s="1001"/>
      <c r="BN176" s="1001"/>
      <c r="BO176" s="1001"/>
      <c r="BP176" s="1001"/>
      <c r="BQ176" s="1001"/>
      <c r="BR176" s="1001"/>
      <c r="BS176" s="1001"/>
      <c r="BT176" s="1001"/>
      <c r="BU176" s="1001"/>
      <c r="BV176" s="1001"/>
      <c r="BW176" s="1001"/>
      <c r="BX176" s="1001"/>
      <c r="BY176" s="1001"/>
      <c r="BZ176" s="1001"/>
      <c r="CA176" s="1001"/>
    </row>
    <row r="177" spans="1:79" ht="80.099999999999994" customHeight="1">
      <c r="A177" s="1017"/>
      <c r="B177" s="1025"/>
      <c r="C177" s="1023"/>
      <c r="D177" s="1024"/>
      <c r="E177" s="1024"/>
      <c r="F177" s="1024"/>
      <c r="G177" s="1001"/>
      <c r="H177" s="1001"/>
      <c r="I177" s="1001"/>
      <c r="J177" s="1001"/>
      <c r="K177" s="1001"/>
      <c r="L177" s="1001"/>
      <c r="M177" s="1001"/>
      <c r="N177" s="1001"/>
      <c r="O177" s="1001"/>
      <c r="P177" s="1001"/>
      <c r="Q177" s="1001"/>
      <c r="R177" s="1001"/>
      <c r="S177" s="1001"/>
      <c r="T177" s="1001"/>
      <c r="U177" s="1001"/>
      <c r="V177" s="1001"/>
      <c r="W177" s="1001"/>
      <c r="X177" s="1001"/>
      <c r="Y177" s="1001"/>
      <c r="Z177" s="1001"/>
      <c r="AA177" s="1001"/>
      <c r="AB177" s="1001"/>
      <c r="AC177" s="1001"/>
      <c r="AD177" s="1001"/>
      <c r="AE177" s="1001"/>
      <c r="AF177" s="1001"/>
      <c r="AG177" s="1001"/>
      <c r="AH177" s="1001"/>
      <c r="AI177" s="1021"/>
      <c r="AJ177" s="1001"/>
      <c r="AK177" s="1001"/>
      <c r="AL177" s="1001"/>
      <c r="AM177" s="1001"/>
      <c r="AN177" s="1001"/>
      <c r="AO177" s="1001"/>
      <c r="AP177" s="1001"/>
      <c r="AQ177" s="1001"/>
      <c r="AR177" s="1021"/>
      <c r="AS177" s="1001"/>
      <c r="AT177" s="1001"/>
      <c r="AU177" s="1001"/>
      <c r="AV177" s="1001"/>
      <c r="AW177" s="1001"/>
      <c r="AX177" s="1002"/>
      <c r="AY177" s="1002"/>
      <c r="AZ177" s="1002"/>
      <c r="BA177" s="1001"/>
      <c r="BB177" s="1001"/>
      <c r="BC177" s="1001"/>
      <c r="BD177" s="1001"/>
      <c r="BE177" s="1001"/>
      <c r="BF177" s="1001"/>
      <c r="BG177" s="1025"/>
      <c r="BH177" s="1023"/>
      <c r="BI177" s="1001"/>
      <c r="BJ177" s="1001"/>
      <c r="BK177" s="1001"/>
      <c r="BL177" s="1001"/>
      <c r="BM177" s="1001"/>
      <c r="BN177" s="1001"/>
      <c r="BO177" s="1001"/>
      <c r="BP177" s="1001"/>
      <c r="BQ177" s="1001"/>
      <c r="BR177" s="1001"/>
      <c r="BS177" s="1001"/>
      <c r="BT177" s="1001"/>
      <c r="BU177" s="1001"/>
      <c r="BV177" s="1001"/>
      <c r="BW177" s="1001"/>
      <c r="BX177" s="1001"/>
      <c r="BY177" s="1001"/>
      <c r="BZ177" s="1001"/>
      <c r="CA177" s="1001"/>
    </row>
    <row r="178" spans="1:79" ht="80.099999999999994" customHeight="1">
      <c r="A178" s="1017"/>
      <c r="B178" s="1018"/>
      <c r="C178" s="1019"/>
      <c r="D178" s="1020"/>
      <c r="E178" s="1020"/>
      <c r="F178" s="1020"/>
      <c r="G178" s="1001"/>
      <c r="H178" s="1001"/>
      <c r="I178" s="1001"/>
      <c r="J178" s="1001"/>
      <c r="K178" s="1001"/>
      <c r="L178" s="1001"/>
      <c r="M178" s="1001"/>
      <c r="N178" s="1001"/>
      <c r="O178" s="1001"/>
      <c r="P178" s="1001"/>
      <c r="Q178" s="1001"/>
      <c r="R178" s="1001"/>
      <c r="S178" s="1001"/>
      <c r="T178" s="1001"/>
      <c r="U178" s="1001"/>
      <c r="V178" s="1001"/>
      <c r="W178" s="1001"/>
      <c r="X178" s="1001"/>
      <c r="Y178" s="1001"/>
      <c r="Z178" s="1002"/>
      <c r="AA178" s="1001"/>
      <c r="AB178" s="1001"/>
      <c r="AC178" s="1001"/>
      <c r="AD178" s="1001"/>
      <c r="AE178" s="1001"/>
      <c r="AF178" s="1001"/>
      <c r="AG178" s="1001"/>
      <c r="AH178" s="1001"/>
      <c r="AI178" s="1021"/>
      <c r="AJ178" s="1001"/>
      <c r="AK178" s="1001"/>
      <c r="AL178" s="1001"/>
      <c r="AM178" s="1001"/>
      <c r="AN178" s="1001"/>
      <c r="AO178" s="1001"/>
      <c r="AP178" s="1001"/>
      <c r="AQ178" s="1001"/>
      <c r="AR178" s="1021"/>
      <c r="AS178" s="1001"/>
      <c r="AT178" s="1001"/>
      <c r="AU178" s="1001"/>
      <c r="AV178" s="1001"/>
      <c r="AW178" s="1001"/>
      <c r="AX178" s="1002"/>
      <c r="AY178" s="1002"/>
      <c r="AZ178" s="1002"/>
      <c r="BA178" s="1002"/>
      <c r="BB178" s="1002"/>
      <c r="BC178" s="1003"/>
      <c r="BD178" s="1004"/>
      <c r="BE178" s="1004"/>
      <c r="BF178" s="1017"/>
      <c r="BG178" s="1018"/>
      <c r="BH178" s="1019"/>
      <c r="BI178" s="1001"/>
      <c r="BJ178" s="1001"/>
      <c r="BK178" s="1001"/>
      <c r="BL178" s="1001"/>
      <c r="BM178" s="1001"/>
      <c r="BN178" s="1001"/>
      <c r="BO178" s="1001"/>
      <c r="BP178" s="1001"/>
      <c r="BQ178" s="1001"/>
      <c r="BR178" s="1001"/>
      <c r="BS178" s="1001"/>
      <c r="BT178" s="1001"/>
      <c r="BU178" s="1001"/>
      <c r="BV178" s="1001"/>
      <c r="BW178" s="1001"/>
      <c r="BX178" s="1001"/>
      <c r="BY178" s="1001"/>
      <c r="BZ178" s="1001"/>
      <c r="CA178" s="1001"/>
    </row>
    <row r="179" spans="1:79" ht="80.099999999999994" customHeight="1">
      <c r="A179" s="1017"/>
      <c r="B179" s="1018"/>
      <c r="C179" s="1019"/>
      <c r="D179" s="1022"/>
      <c r="E179" s="1022"/>
      <c r="F179" s="1022"/>
      <c r="G179" s="1001"/>
      <c r="H179" s="1001"/>
      <c r="I179" s="1001"/>
      <c r="J179" s="1001"/>
      <c r="K179" s="1001"/>
      <c r="L179" s="1001"/>
      <c r="M179" s="1001"/>
      <c r="N179" s="1001"/>
      <c r="O179" s="1001"/>
      <c r="P179" s="1001"/>
      <c r="Q179" s="1001"/>
      <c r="R179" s="1001"/>
      <c r="S179" s="1001"/>
      <c r="T179" s="1001"/>
      <c r="U179" s="1001"/>
      <c r="V179" s="1001"/>
      <c r="W179" s="1001"/>
      <c r="X179" s="1001"/>
      <c r="Y179" s="1001"/>
      <c r="Z179" s="1002"/>
      <c r="AA179" s="1001"/>
      <c r="AB179" s="1001"/>
      <c r="AC179" s="1001"/>
      <c r="AD179" s="1001"/>
      <c r="AE179" s="1001"/>
      <c r="AF179" s="1001"/>
      <c r="AG179" s="1001"/>
      <c r="AH179" s="1001"/>
      <c r="AI179" s="1021"/>
      <c r="AJ179" s="1001"/>
      <c r="AK179" s="1001"/>
      <c r="AL179" s="1001"/>
      <c r="AM179" s="1001"/>
      <c r="AN179" s="1001"/>
      <c r="AO179" s="1001"/>
      <c r="AP179" s="1001"/>
      <c r="AQ179" s="1001"/>
      <c r="AR179" s="1021"/>
      <c r="AS179" s="1001"/>
      <c r="AT179" s="1001"/>
      <c r="AU179" s="1001"/>
      <c r="AV179" s="1001"/>
      <c r="AW179" s="1001"/>
      <c r="AX179" s="1002"/>
      <c r="AY179" s="1002"/>
      <c r="AZ179" s="1002"/>
      <c r="BA179" s="1002"/>
      <c r="BB179" s="1002"/>
      <c r="BC179" s="1003"/>
      <c r="BD179" s="1004"/>
      <c r="BE179" s="1004"/>
      <c r="BF179" s="1017"/>
      <c r="BG179" s="1018"/>
      <c r="BH179" s="1019"/>
      <c r="BI179" s="1001"/>
      <c r="BJ179" s="1001"/>
      <c r="BK179" s="1001"/>
      <c r="BL179" s="1001"/>
      <c r="BM179" s="1001"/>
      <c r="BN179" s="1001"/>
      <c r="BO179" s="1001"/>
      <c r="BP179" s="1001"/>
      <c r="BQ179" s="1001"/>
      <c r="BR179" s="1001"/>
      <c r="BS179" s="1001"/>
      <c r="BT179" s="1001"/>
      <c r="BU179" s="1001"/>
      <c r="BV179" s="1001"/>
      <c r="BW179" s="1001"/>
      <c r="BX179" s="1001"/>
      <c r="BY179" s="1001"/>
      <c r="BZ179" s="1001"/>
      <c r="CA179" s="1001"/>
    </row>
    <row r="180" spans="1:79" ht="80.099999999999994" customHeight="1">
      <c r="A180" s="1017"/>
      <c r="B180" s="1025"/>
      <c r="C180" s="1023"/>
      <c r="D180" s="1024"/>
      <c r="E180" s="1024"/>
      <c r="F180" s="1024"/>
      <c r="G180" s="1001"/>
      <c r="H180" s="1001"/>
      <c r="I180" s="1001"/>
      <c r="J180" s="1001"/>
      <c r="K180" s="1001"/>
      <c r="L180" s="1001"/>
      <c r="M180" s="1001"/>
      <c r="N180" s="1001"/>
      <c r="O180" s="1001"/>
      <c r="P180" s="1001"/>
      <c r="Q180" s="1001"/>
      <c r="R180" s="1001"/>
      <c r="S180" s="1001"/>
      <c r="T180" s="1001"/>
      <c r="U180" s="1001"/>
      <c r="V180" s="1001"/>
      <c r="W180" s="1001"/>
      <c r="X180" s="1001"/>
      <c r="Y180" s="1001"/>
      <c r="Z180" s="1002"/>
      <c r="AA180" s="1001"/>
      <c r="AB180" s="1001"/>
      <c r="AC180" s="1001"/>
      <c r="AD180" s="1001"/>
      <c r="AE180" s="1001"/>
      <c r="AF180" s="1001"/>
      <c r="AG180" s="1001"/>
      <c r="AH180" s="1001"/>
      <c r="AI180" s="1021"/>
      <c r="AJ180" s="1001"/>
      <c r="AK180" s="1001"/>
      <c r="AL180" s="1001"/>
      <c r="AM180" s="1001"/>
      <c r="AN180" s="1001"/>
      <c r="AO180" s="1001"/>
      <c r="AP180" s="1001"/>
      <c r="AQ180" s="1001"/>
      <c r="AR180" s="1021"/>
      <c r="AS180" s="1001"/>
      <c r="AT180" s="1001"/>
      <c r="AU180" s="1001"/>
      <c r="AV180" s="1001"/>
      <c r="AW180" s="1001"/>
      <c r="AX180" s="1002"/>
      <c r="AY180" s="1002"/>
      <c r="AZ180" s="1002"/>
      <c r="BA180" s="1002"/>
      <c r="BB180" s="1002"/>
      <c r="BC180" s="1003"/>
      <c r="BD180" s="1004"/>
      <c r="BE180" s="1004"/>
      <c r="BF180" s="1017"/>
      <c r="BG180" s="1025"/>
      <c r="BH180" s="1023"/>
      <c r="BI180" s="1001"/>
      <c r="BJ180" s="1001"/>
      <c r="BK180" s="1001"/>
      <c r="BL180" s="1001"/>
      <c r="BM180" s="1001"/>
      <c r="BN180" s="1001"/>
      <c r="BO180" s="1001"/>
      <c r="BP180" s="1001"/>
      <c r="BQ180" s="1001"/>
      <c r="BR180" s="1001"/>
      <c r="BS180" s="1001"/>
      <c r="BT180" s="1001"/>
      <c r="BU180" s="1001"/>
      <c r="BV180" s="1001"/>
      <c r="BW180" s="1001"/>
      <c r="BX180" s="1001"/>
      <c r="BY180" s="1001"/>
      <c r="BZ180" s="1001"/>
      <c r="CA180" s="1001"/>
    </row>
    <row r="181" spans="1:79" ht="80.099999999999994" customHeight="1">
      <c r="A181" s="1017"/>
      <c r="B181" s="1025"/>
      <c r="C181" s="1023"/>
      <c r="D181" s="1024"/>
      <c r="E181" s="1024"/>
      <c r="F181" s="1024"/>
      <c r="G181" s="1001"/>
      <c r="H181" s="1001"/>
      <c r="I181" s="1001"/>
      <c r="J181" s="1001"/>
      <c r="K181" s="1001"/>
      <c r="L181" s="1001"/>
      <c r="M181" s="1001"/>
      <c r="N181" s="1001"/>
      <c r="O181" s="1001"/>
      <c r="P181" s="1001"/>
      <c r="Q181" s="1001"/>
      <c r="R181" s="1001"/>
      <c r="S181" s="1001"/>
      <c r="T181" s="1001"/>
      <c r="U181" s="1001"/>
      <c r="V181" s="1001"/>
      <c r="W181" s="1001"/>
      <c r="X181" s="1001"/>
      <c r="Y181" s="1001"/>
      <c r="Z181" s="1002"/>
      <c r="AA181" s="1001"/>
      <c r="AB181" s="1001"/>
      <c r="AC181" s="1001"/>
      <c r="AD181" s="1001"/>
      <c r="AE181" s="1001"/>
      <c r="AF181" s="1001"/>
      <c r="AG181" s="1001"/>
      <c r="AH181" s="1001"/>
      <c r="AI181" s="1021"/>
      <c r="AJ181" s="1001"/>
      <c r="AK181" s="1001"/>
      <c r="AL181" s="1001"/>
      <c r="AM181" s="1001"/>
      <c r="AN181" s="1001"/>
      <c r="AO181" s="1001"/>
      <c r="AP181" s="1001"/>
      <c r="AQ181" s="1001"/>
      <c r="AR181" s="1021"/>
      <c r="AS181" s="1001"/>
      <c r="AT181" s="1001"/>
      <c r="AU181" s="1001"/>
      <c r="AV181" s="1001"/>
      <c r="AW181" s="1001"/>
      <c r="AX181" s="1002"/>
      <c r="AY181" s="1002"/>
      <c r="AZ181" s="1002"/>
      <c r="BA181" s="1002"/>
      <c r="BB181" s="1002"/>
      <c r="BC181" s="1003"/>
      <c r="BD181" s="1004"/>
      <c r="BE181" s="1004"/>
      <c r="BF181" s="1017"/>
      <c r="BG181" s="1025"/>
      <c r="BH181" s="1023"/>
      <c r="BI181" s="1001"/>
      <c r="BJ181" s="1001"/>
      <c r="BK181" s="1001"/>
      <c r="BL181" s="1001"/>
      <c r="BM181" s="1001"/>
      <c r="BN181" s="1001"/>
      <c r="BO181" s="1001"/>
      <c r="BP181" s="1001"/>
      <c r="BQ181" s="1001"/>
      <c r="BR181" s="1001"/>
      <c r="BS181" s="1001"/>
      <c r="BT181" s="1001"/>
      <c r="BU181" s="1001"/>
      <c r="BV181" s="1001"/>
      <c r="BW181" s="1001"/>
      <c r="BX181" s="1001"/>
      <c r="BY181" s="1001"/>
      <c r="BZ181" s="1001"/>
      <c r="CA181" s="1001"/>
    </row>
    <row r="182" spans="1:79" ht="80.099999999999994" customHeight="1">
      <c r="A182" s="1017"/>
      <c r="B182" s="1025"/>
      <c r="C182" s="1023"/>
      <c r="D182" s="1024"/>
      <c r="E182" s="1024"/>
      <c r="F182" s="1024"/>
      <c r="G182" s="1001"/>
      <c r="H182" s="1001"/>
      <c r="I182" s="1001"/>
      <c r="J182" s="1001"/>
      <c r="K182" s="1001"/>
      <c r="L182" s="1001"/>
      <c r="M182" s="1001"/>
      <c r="N182" s="1001"/>
      <c r="O182" s="1001"/>
      <c r="P182" s="1001"/>
      <c r="Q182" s="1001"/>
      <c r="R182" s="1001"/>
      <c r="S182" s="1001"/>
      <c r="T182" s="1001"/>
      <c r="U182" s="1001"/>
      <c r="V182" s="1001"/>
      <c r="W182" s="1001"/>
      <c r="X182" s="1001"/>
      <c r="Y182" s="1001"/>
      <c r="Z182" s="1002"/>
      <c r="AA182" s="1001"/>
      <c r="AB182" s="1001"/>
      <c r="AC182" s="1001"/>
      <c r="AD182" s="1001"/>
      <c r="AE182" s="1001"/>
      <c r="AF182" s="1001"/>
      <c r="AG182" s="1001"/>
      <c r="AH182" s="1001"/>
      <c r="AI182" s="1021"/>
      <c r="AJ182" s="1001"/>
      <c r="AK182" s="1001"/>
      <c r="AL182" s="1001"/>
      <c r="AM182" s="1001"/>
      <c r="AN182" s="1001"/>
      <c r="AO182" s="1001"/>
      <c r="AP182" s="1001"/>
      <c r="AQ182" s="1001"/>
      <c r="AR182" s="1021"/>
      <c r="AS182" s="1001"/>
      <c r="AT182" s="1001"/>
      <c r="AU182" s="1001"/>
      <c r="AV182" s="1001"/>
      <c r="AW182" s="1001"/>
      <c r="AX182" s="1002"/>
      <c r="AY182" s="1002"/>
      <c r="AZ182" s="1002"/>
      <c r="BA182" s="1002"/>
      <c r="BB182" s="1002"/>
      <c r="BC182" s="1003"/>
      <c r="BD182" s="1004"/>
      <c r="BE182" s="1004"/>
      <c r="BF182" s="1017"/>
      <c r="BG182" s="1025"/>
      <c r="BH182" s="1023"/>
      <c r="BI182" s="1001"/>
      <c r="BJ182" s="1001"/>
      <c r="BK182" s="1001"/>
      <c r="BL182" s="1001"/>
      <c r="BM182" s="1001"/>
      <c r="BN182" s="1001"/>
      <c r="BO182" s="1001"/>
      <c r="BP182" s="1001"/>
      <c r="BQ182" s="1001"/>
      <c r="BR182" s="1001"/>
      <c r="BS182" s="1001"/>
      <c r="BT182" s="1001"/>
      <c r="BU182" s="1001"/>
      <c r="BV182" s="1001"/>
      <c r="BW182" s="1001"/>
      <c r="BX182" s="1001"/>
      <c r="BY182" s="1001"/>
      <c r="BZ182" s="1001"/>
      <c r="CA182" s="1001"/>
    </row>
    <row r="183" spans="1:79" ht="80.099999999999994" customHeight="1">
      <c r="A183" s="1017"/>
      <c r="B183" s="1025"/>
      <c r="C183" s="1023"/>
      <c r="D183" s="1024"/>
      <c r="E183" s="1024"/>
      <c r="F183" s="1024"/>
      <c r="G183" s="1001"/>
      <c r="H183" s="1001"/>
      <c r="I183" s="1001"/>
      <c r="J183" s="1001"/>
      <c r="K183" s="1001"/>
      <c r="L183" s="1001"/>
      <c r="M183" s="1001"/>
      <c r="N183" s="1001"/>
      <c r="O183" s="1001"/>
      <c r="P183" s="1001"/>
      <c r="Q183" s="1001"/>
      <c r="R183" s="1001"/>
      <c r="S183" s="1001"/>
      <c r="T183" s="1001"/>
      <c r="U183" s="1001"/>
      <c r="V183" s="1001"/>
      <c r="W183" s="1001"/>
      <c r="X183" s="1001"/>
      <c r="Y183" s="1001"/>
      <c r="Z183" s="1002"/>
      <c r="AA183" s="1001"/>
      <c r="AB183" s="1001"/>
      <c r="AC183" s="1001"/>
      <c r="AD183" s="1001"/>
      <c r="AE183" s="1001"/>
      <c r="AF183" s="1001"/>
      <c r="AG183" s="1001"/>
      <c r="AH183" s="1001"/>
      <c r="AI183" s="1021"/>
      <c r="AJ183" s="1001"/>
      <c r="AK183" s="1001"/>
      <c r="AL183" s="1001"/>
      <c r="AM183" s="1001"/>
      <c r="AN183" s="1001"/>
      <c r="AO183" s="1001"/>
      <c r="AP183" s="1001"/>
      <c r="AQ183" s="1001"/>
      <c r="AR183" s="1021"/>
      <c r="AS183" s="1001"/>
      <c r="AT183" s="1001"/>
      <c r="AU183" s="1001"/>
      <c r="AV183" s="1001"/>
      <c r="AW183" s="1001"/>
      <c r="AX183" s="1002"/>
      <c r="AY183" s="1002"/>
      <c r="AZ183" s="1002"/>
      <c r="BA183" s="1002"/>
      <c r="BB183" s="1002"/>
      <c r="BC183" s="1003"/>
      <c r="BD183" s="1004"/>
      <c r="BE183" s="1004"/>
      <c r="BF183" s="1017"/>
      <c r="BG183" s="1025"/>
      <c r="BH183" s="1023"/>
      <c r="BI183" s="1001"/>
      <c r="BJ183" s="1001"/>
      <c r="BK183" s="1001"/>
      <c r="BL183" s="1001"/>
      <c r="BM183" s="1001"/>
      <c r="BN183" s="1001"/>
      <c r="BO183" s="1001"/>
      <c r="BP183" s="1001"/>
      <c r="BQ183" s="1001"/>
      <c r="BR183" s="1001"/>
      <c r="BS183" s="1001"/>
      <c r="BT183" s="1001"/>
      <c r="BU183" s="1001"/>
      <c r="BV183" s="1001"/>
      <c r="BW183" s="1001"/>
      <c r="BX183" s="1001"/>
      <c r="BY183" s="1001"/>
      <c r="BZ183" s="1001"/>
      <c r="CA183" s="1001"/>
    </row>
    <row r="184" spans="1:79" ht="80.099999999999994" customHeight="1">
      <c r="A184" s="1017"/>
      <c r="B184" s="1018"/>
      <c r="C184" s="1019"/>
      <c r="D184" s="1022"/>
      <c r="E184" s="1022"/>
      <c r="F184" s="1022"/>
      <c r="G184" s="1001"/>
      <c r="H184" s="1001"/>
      <c r="I184" s="1001"/>
      <c r="J184" s="1001"/>
      <c r="K184" s="1001"/>
      <c r="L184" s="1001"/>
      <c r="M184" s="1001"/>
      <c r="N184" s="1001"/>
      <c r="O184" s="1001"/>
      <c r="P184" s="1001"/>
      <c r="Q184" s="1001"/>
      <c r="R184" s="1001"/>
      <c r="S184" s="1001"/>
      <c r="T184" s="1001"/>
      <c r="U184" s="1001"/>
      <c r="V184" s="1001"/>
      <c r="W184" s="1001"/>
      <c r="X184" s="1001"/>
      <c r="Y184" s="1001"/>
      <c r="Z184" s="1002"/>
      <c r="AA184" s="1001"/>
      <c r="AB184" s="1001"/>
      <c r="AC184" s="1001"/>
      <c r="AD184" s="1001"/>
      <c r="AE184" s="1001"/>
      <c r="AF184" s="1001"/>
      <c r="AG184" s="1001"/>
      <c r="AH184" s="1001"/>
      <c r="AI184" s="1021"/>
      <c r="AJ184" s="1001"/>
      <c r="AK184" s="1001"/>
      <c r="AL184" s="1001"/>
      <c r="AM184" s="1001"/>
      <c r="AN184" s="1001"/>
      <c r="AO184" s="1001"/>
      <c r="AP184" s="1001"/>
      <c r="AQ184" s="1001"/>
      <c r="AR184" s="1021"/>
      <c r="AS184" s="1001"/>
      <c r="AT184" s="1001"/>
      <c r="AU184" s="1001"/>
      <c r="AV184" s="1001"/>
      <c r="AW184" s="1001"/>
      <c r="AX184" s="1002"/>
      <c r="AY184" s="1002"/>
      <c r="AZ184" s="1002"/>
      <c r="BA184" s="1002"/>
      <c r="BB184" s="1002"/>
      <c r="BC184" s="1003"/>
      <c r="BD184" s="1004"/>
      <c r="BE184" s="1004"/>
      <c r="BF184" s="1017"/>
      <c r="BG184" s="1018"/>
      <c r="BH184" s="1019"/>
      <c r="BI184" s="1001"/>
      <c r="BJ184" s="1001"/>
      <c r="BK184" s="1001"/>
      <c r="BL184" s="1001"/>
      <c r="BM184" s="1001"/>
      <c r="BN184" s="1001"/>
      <c r="BO184" s="1001"/>
      <c r="BP184" s="1001"/>
      <c r="BQ184" s="1001"/>
      <c r="BR184" s="1001"/>
      <c r="BS184" s="1001"/>
      <c r="BT184" s="1001"/>
      <c r="BU184" s="1001"/>
      <c r="BV184" s="1001"/>
      <c r="BW184" s="1001"/>
      <c r="BX184" s="1001"/>
      <c r="BY184" s="1001"/>
      <c r="BZ184" s="1001"/>
      <c r="CA184" s="1001"/>
    </row>
    <row r="185" spans="1:79" ht="80.099999999999994" customHeight="1">
      <c r="A185" s="1017"/>
      <c r="B185" s="1018"/>
      <c r="C185" s="1023"/>
      <c r="D185" s="1024"/>
      <c r="E185" s="1024"/>
      <c r="F185" s="1024"/>
      <c r="G185" s="1001"/>
      <c r="H185" s="1001"/>
      <c r="I185" s="1001"/>
      <c r="J185" s="1001"/>
      <c r="K185" s="1001"/>
      <c r="L185" s="1001"/>
      <c r="M185" s="1001"/>
      <c r="N185" s="1001"/>
      <c r="O185" s="1001"/>
      <c r="P185" s="1001"/>
      <c r="Q185" s="1001"/>
      <c r="R185" s="1001"/>
      <c r="S185" s="1001"/>
      <c r="T185" s="1001"/>
      <c r="U185" s="1001"/>
      <c r="V185" s="1001"/>
      <c r="W185" s="1001"/>
      <c r="X185" s="1001"/>
      <c r="Y185" s="1001"/>
      <c r="Z185" s="1002"/>
      <c r="AA185" s="1001"/>
      <c r="AB185" s="1001"/>
      <c r="AC185" s="1001"/>
      <c r="AD185" s="1001"/>
      <c r="AE185" s="1001"/>
      <c r="AF185" s="1001"/>
      <c r="AG185" s="1001"/>
      <c r="AH185" s="1001"/>
      <c r="AI185" s="1021"/>
      <c r="AJ185" s="1001"/>
      <c r="AK185" s="1001"/>
      <c r="AL185" s="1001"/>
      <c r="AM185" s="1001"/>
      <c r="AN185" s="1001"/>
      <c r="AO185" s="1001"/>
      <c r="AP185" s="1001"/>
      <c r="AQ185" s="1001"/>
      <c r="AR185" s="1021"/>
      <c r="AS185" s="1001"/>
      <c r="AT185" s="1001"/>
      <c r="AU185" s="1001"/>
      <c r="AV185" s="1001"/>
      <c r="AW185" s="1001"/>
      <c r="AX185" s="1002"/>
      <c r="AY185" s="1002"/>
      <c r="AZ185" s="1002"/>
      <c r="BA185" s="1002"/>
      <c r="BB185" s="1002"/>
      <c r="BC185" s="1003"/>
      <c r="BD185" s="1004"/>
      <c r="BE185" s="1004"/>
      <c r="BF185" s="1017"/>
      <c r="BG185" s="1018"/>
      <c r="BH185" s="1023"/>
      <c r="BI185" s="1001"/>
      <c r="BJ185" s="1001"/>
      <c r="BK185" s="1001"/>
      <c r="BL185" s="1001"/>
      <c r="BM185" s="1001"/>
      <c r="BN185" s="1001"/>
      <c r="BO185" s="1001"/>
      <c r="BP185" s="1001"/>
      <c r="BQ185" s="1001"/>
      <c r="BR185" s="1001"/>
      <c r="BS185" s="1001"/>
      <c r="BT185" s="1001"/>
      <c r="BU185" s="1001"/>
      <c r="BV185" s="1001"/>
      <c r="BW185" s="1001"/>
      <c r="BX185" s="1001"/>
      <c r="BY185" s="1001"/>
      <c r="BZ185" s="1001"/>
      <c r="CA185" s="1001"/>
    </row>
    <row r="186" spans="1:79" ht="80.099999999999994" customHeight="1">
      <c r="A186" s="1017"/>
      <c r="B186" s="1018"/>
      <c r="C186" s="1019"/>
      <c r="D186" s="1020"/>
      <c r="E186" s="1020"/>
      <c r="F186" s="1020"/>
      <c r="G186" s="1001"/>
      <c r="H186" s="1001"/>
      <c r="I186" s="1001"/>
      <c r="J186" s="1001"/>
      <c r="K186" s="1001"/>
      <c r="L186" s="1001"/>
      <c r="M186" s="1001"/>
      <c r="N186" s="1001"/>
      <c r="O186" s="1001"/>
      <c r="P186" s="1001"/>
      <c r="Q186" s="1001"/>
      <c r="R186" s="1001"/>
      <c r="S186" s="1001"/>
      <c r="T186" s="1001"/>
      <c r="U186" s="1001"/>
      <c r="V186" s="1001"/>
      <c r="W186" s="1001"/>
      <c r="X186" s="1001"/>
      <c r="Y186" s="1001"/>
      <c r="Z186" s="1002"/>
      <c r="AA186" s="1001"/>
      <c r="AB186" s="1001"/>
      <c r="AC186" s="1001"/>
      <c r="AD186" s="1001"/>
      <c r="AE186" s="1001"/>
      <c r="AF186" s="1001"/>
      <c r="AG186" s="1001"/>
      <c r="AH186" s="1001"/>
      <c r="AI186" s="1021"/>
      <c r="AJ186" s="1001"/>
      <c r="AK186" s="1001"/>
      <c r="AL186" s="1001"/>
      <c r="AM186" s="1001"/>
      <c r="AN186" s="1001"/>
      <c r="AO186" s="1001"/>
      <c r="AP186" s="1001"/>
      <c r="AQ186" s="1001"/>
      <c r="AR186" s="1021"/>
      <c r="AS186" s="1001"/>
      <c r="AT186" s="1001"/>
      <c r="AU186" s="1001"/>
      <c r="AV186" s="1001"/>
      <c r="AW186" s="1001"/>
      <c r="AX186" s="1002"/>
      <c r="AY186" s="1002"/>
      <c r="AZ186" s="1002"/>
      <c r="BA186" s="1002"/>
      <c r="BB186" s="1002"/>
      <c r="BC186" s="1003"/>
      <c r="BD186" s="1004"/>
      <c r="BE186" s="1004"/>
      <c r="BF186" s="1017"/>
      <c r="BG186" s="1018"/>
      <c r="BH186" s="1019"/>
      <c r="BI186" s="1001"/>
      <c r="BJ186" s="1001"/>
      <c r="BK186" s="1001"/>
      <c r="BL186" s="1001"/>
      <c r="BM186" s="1001"/>
      <c r="BN186" s="1001"/>
      <c r="BO186" s="1001"/>
      <c r="BP186" s="1001"/>
      <c r="BQ186" s="1001"/>
      <c r="BR186" s="1001"/>
      <c r="BS186" s="1001"/>
      <c r="BT186" s="1001"/>
      <c r="BU186" s="1001"/>
      <c r="BV186" s="1001"/>
      <c r="BW186" s="1001"/>
      <c r="BX186" s="1001"/>
      <c r="BY186" s="1001"/>
      <c r="BZ186" s="1001"/>
      <c r="CA186" s="1001"/>
    </row>
    <row r="187" spans="1:79" ht="80.099999999999994" customHeight="1">
      <c r="A187" s="1017"/>
      <c r="B187" s="1018"/>
      <c r="C187" s="1019"/>
      <c r="D187" s="1022"/>
      <c r="E187" s="1022"/>
      <c r="F187" s="1022"/>
      <c r="G187" s="1001"/>
      <c r="H187" s="1001"/>
      <c r="I187" s="1001"/>
      <c r="J187" s="1001"/>
      <c r="K187" s="1001"/>
      <c r="L187" s="1001"/>
      <c r="M187" s="1001"/>
      <c r="N187" s="1001"/>
      <c r="O187" s="1001"/>
      <c r="P187" s="1001"/>
      <c r="Q187" s="1001"/>
      <c r="R187" s="1001"/>
      <c r="S187" s="1001"/>
      <c r="T187" s="1001"/>
      <c r="U187" s="1001"/>
      <c r="V187" s="1001"/>
      <c r="W187" s="1001"/>
      <c r="X187" s="1001"/>
      <c r="Y187" s="1001"/>
      <c r="Z187" s="1002"/>
      <c r="AA187" s="1001"/>
      <c r="AB187" s="1001"/>
      <c r="AC187" s="1001"/>
      <c r="AD187" s="1001"/>
      <c r="AE187" s="1001"/>
      <c r="AF187" s="1001"/>
      <c r="AG187" s="1001"/>
      <c r="AH187" s="1001"/>
      <c r="AI187" s="1021"/>
      <c r="AJ187" s="1001"/>
      <c r="AK187" s="1001"/>
      <c r="AL187" s="1001"/>
      <c r="AM187" s="1001"/>
      <c r="AN187" s="1001"/>
      <c r="AO187" s="1001"/>
      <c r="AP187" s="1001"/>
      <c r="AQ187" s="1001"/>
      <c r="AR187" s="1021"/>
      <c r="AS187" s="1001"/>
      <c r="AT187" s="1001"/>
      <c r="AU187" s="1001"/>
      <c r="AV187" s="1001"/>
      <c r="AW187" s="1001"/>
      <c r="AX187" s="1002"/>
      <c r="AY187" s="1002"/>
      <c r="AZ187" s="1002"/>
      <c r="BA187" s="1002"/>
      <c r="BB187" s="1002"/>
      <c r="BC187" s="1003"/>
      <c r="BD187" s="1004"/>
      <c r="BE187" s="1004"/>
      <c r="BF187" s="1017"/>
      <c r="BG187" s="1018"/>
      <c r="BH187" s="1019"/>
      <c r="BI187" s="1001"/>
      <c r="BJ187" s="1001"/>
      <c r="BK187" s="1001"/>
      <c r="BL187" s="1001"/>
      <c r="BM187" s="1001"/>
      <c r="BN187" s="1001"/>
      <c r="BO187" s="1001"/>
      <c r="BP187" s="1001"/>
      <c r="BQ187" s="1001"/>
      <c r="BR187" s="1001"/>
      <c r="BS187" s="1001"/>
      <c r="BT187" s="1001"/>
      <c r="BU187" s="1001"/>
      <c r="BV187" s="1001"/>
      <c r="BW187" s="1001"/>
      <c r="BX187" s="1001"/>
      <c r="BY187" s="1001"/>
      <c r="BZ187" s="1001"/>
      <c r="CA187" s="1001"/>
    </row>
    <row r="188" spans="1:79" ht="80.099999999999994" customHeight="1">
      <c r="A188" s="1017"/>
      <c r="B188" s="1018"/>
      <c r="C188" s="1019"/>
      <c r="D188" s="1022"/>
      <c r="E188" s="1022"/>
      <c r="F188" s="1022"/>
      <c r="G188" s="1001"/>
      <c r="H188" s="1001"/>
      <c r="I188" s="1001"/>
      <c r="J188" s="1001"/>
      <c r="K188" s="1001"/>
      <c r="L188" s="1001"/>
      <c r="M188" s="1001"/>
      <c r="N188" s="1001"/>
      <c r="O188" s="1001"/>
      <c r="P188" s="1001"/>
      <c r="Q188" s="1001"/>
      <c r="R188" s="1001"/>
      <c r="S188" s="1001"/>
      <c r="T188" s="1001"/>
      <c r="U188" s="1001"/>
      <c r="V188" s="1001"/>
      <c r="W188" s="1001"/>
      <c r="X188" s="1001"/>
      <c r="Y188" s="1001"/>
      <c r="Z188" s="1002"/>
      <c r="AA188" s="1001"/>
      <c r="AB188" s="1001"/>
      <c r="AC188" s="1001"/>
      <c r="AD188" s="1001"/>
      <c r="AE188" s="1001"/>
      <c r="AF188" s="1001"/>
      <c r="AG188" s="1001"/>
      <c r="AH188" s="1001"/>
      <c r="AI188" s="1021"/>
      <c r="AJ188" s="1001"/>
      <c r="AK188" s="1001"/>
      <c r="AL188" s="1001"/>
      <c r="AM188" s="1001"/>
      <c r="AN188" s="1001"/>
      <c r="AO188" s="1001"/>
      <c r="AP188" s="1001"/>
      <c r="AQ188" s="1001"/>
      <c r="AR188" s="1021"/>
      <c r="AS188" s="1001"/>
      <c r="AT188" s="1001"/>
      <c r="AU188" s="1001"/>
      <c r="AV188" s="1001"/>
      <c r="AW188" s="1001"/>
      <c r="AX188" s="1002"/>
      <c r="AY188" s="1002"/>
      <c r="AZ188" s="1002"/>
      <c r="BA188" s="1002"/>
      <c r="BB188" s="1002"/>
      <c r="BC188" s="1003"/>
      <c r="BD188" s="1004"/>
      <c r="BE188" s="1004"/>
      <c r="BF188" s="1017"/>
      <c r="BG188" s="1018"/>
      <c r="BH188" s="1019"/>
      <c r="BI188" s="1001"/>
      <c r="BJ188" s="1001"/>
      <c r="BK188" s="1001"/>
      <c r="BL188" s="1001"/>
      <c r="BM188" s="1001"/>
      <c r="BN188" s="1001"/>
      <c r="BO188" s="1001"/>
      <c r="BP188" s="1001"/>
      <c r="BQ188" s="1001"/>
      <c r="BR188" s="1001"/>
      <c r="BS188" s="1001"/>
      <c r="BT188" s="1001"/>
      <c r="BU188" s="1001"/>
      <c r="BV188" s="1001"/>
      <c r="BW188" s="1001"/>
      <c r="BX188" s="1001"/>
      <c r="BY188" s="1001"/>
      <c r="BZ188" s="1001"/>
      <c r="CA188" s="1001"/>
    </row>
    <row r="189" spans="1:79" ht="80.099999999999994" customHeight="1">
      <c r="A189" s="1017"/>
      <c r="B189" s="1025"/>
      <c r="C189" s="1023"/>
      <c r="D189" s="1024"/>
      <c r="E189" s="1024"/>
      <c r="F189" s="1024"/>
      <c r="G189" s="1001"/>
      <c r="H189" s="1001"/>
      <c r="I189" s="1001"/>
      <c r="J189" s="1001"/>
      <c r="K189" s="1001"/>
      <c r="L189" s="1001"/>
      <c r="M189" s="1001"/>
      <c r="N189" s="1001"/>
      <c r="O189" s="1001"/>
      <c r="P189" s="1001"/>
      <c r="Q189" s="1001"/>
      <c r="R189" s="1001"/>
      <c r="S189" s="1001"/>
      <c r="T189" s="1001"/>
      <c r="U189" s="1001"/>
      <c r="V189" s="1001"/>
      <c r="W189" s="1001"/>
      <c r="X189" s="1001"/>
      <c r="Y189" s="1001"/>
      <c r="Z189" s="1002"/>
      <c r="AA189" s="1001"/>
      <c r="AB189" s="1001"/>
      <c r="AC189" s="1001"/>
      <c r="AD189" s="1001"/>
      <c r="AE189" s="1001"/>
      <c r="AF189" s="1001"/>
      <c r="AG189" s="1001"/>
      <c r="AH189" s="1001"/>
      <c r="AI189" s="1021"/>
      <c r="AJ189" s="1001"/>
      <c r="AK189" s="1001"/>
      <c r="AL189" s="1001"/>
      <c r="AM189" s="1001"/>
      <c r="AN189" s="1001"/>
      <c r="AO189" s="1001"/>
      <c r="AP189" s="1001"/>
      <c r="AQ189" s="1001"/>
      <c r="AR189" s="1021"/>
      <c r="AS189" s="1001"/>
      <c r="AT189" s="1001"/>
      <c r="AU189" s="1001"/>
      <c r="AV189" s="1001"/>
      <c r="AW189" s="1001"/>
      <c r="AX189" s="1002"/>
      <c r="AY189" s="1002"/>
      <c r="AZ189" s="1002"/>
      <c r="BA189" s="1002"/>
      <c r="BB189" s="1002"/>
      <c r="BC189" s="1003"/>
      <c r="BD189" s="1004"/>
      <c r="BE189" s="1004"/>
      <c r="BF189" s="1017"/>
      <c r="BG189" s="1025"/>
      <c r="BH189" s="1023"/>
      <c r="BI189" s="1001"/>
      <c r="BJ189" s="1001"/>
      <c r="BK189" s="1001"/>
      <c r="BL189" s="1001"/>
      <c r="BM189" s="1001"/>
      <c r="BN189" s="1001"/>
      <c r="BO189" s="1001"/>
      <c r="BP189" s="1001"/>
      <c r="BQ189" s="1001"/>
      <c r="BR189" s="1001"/>
      <c r="BS189" s="1001"/>
      <c r="BT189" s="1001"/>
      <c r="BU189" s="1001"/>
      <c r="BV189" s="1001"/>
      <c r="BW189" s="1001"/>
      <c r="BX189" s="1001"/>
      <c r="BY189" s="1001"/>
      <c r="BZ189" s="1001"/>
      <c r="CA189" s="1001"/>
    </row>
    <row r="190" spans="1:79" ht="80.099999999999994" customHeight="1">
      <c r="A190" s="1017"/>
      <c r="B190" s="1018"/>
      <c r="C190" s="1019"/>
      <c r="D190" s="1022"/>
      <c r="E190" s="1022"/>
      <c r="F190" s="1022"/>
      <c r="G190" s="1001"/>
      <c r="H190" s="1001"/>
      <c r="I190" s="1001"/>
      <c r="J190" s="1001"/>
      <c r="K190" s="1001"/>
      <c r="L190" s="1001"/>
      <c r="M190" s="1001"/>
      <c r="N190" s="1001"/>
      <c r="O190" s="1001"/>
      <c r="P190" s="1001"/>
      <c r="Q190" s="1001"/>
      <c r="R190" s="1001"/>
      <c r="S190" s="1001"/>
      <c r="T190" s="1001"/>
      <c r="U190" s="1001"/>
      <c r="V190" s="1001"/>
      <c r="W190" s="1001"/>
      <c r="X190" s="1001"/>
      <c r="Y190" s="1001"/>
      <c r="Z190" s="1002"/>
      <c r="AA190" s="1001"/>
      <c r="AB190" s="1001"/>
      <c r="AC190" s="1001"/>
      <c r="AD190" s="1001"/>
      <c r="AE190" s="1001"/>
      <c r="AF190" s="1001"/>
      <c r="AG190" s="1001"/>
      <c r="AH190" s="1001"/>
      <c r="AI190" s="1021"/>
      <c r="AJ190" s="1001"/>
      <c r="AK190" s="1001"/>
      <c r="AL190" s="1001"/>
      <c r="AM190" s="1001"/>
      <c r="AN190" s="1001"/>
      <c r="AO190" s="1001"/>
      <c r="AP190" s="1001"/>
      <c r="AQ190" s="1001"/>
      <c r="AR190" s="1021"/>
      <c r="AS190" s="1001"/>
      <c r="AT190" s="1001"/>
      <c r="AU190" s="1001"/>
      <c r="AV190" s="1001"/>
      <c r="AW190" s="1001"/>
      <c r="AX190" s="1002"/>
      <c r="AY190" s="1002"/>
      <c r="AZ190" s="1002"/>
      <c r="BA190" s="1002"/>
      <c r="BB190" s="1002"/>
      <c r="BC190" s="1003"/>
      <c r="BD190" s="1004"/>
      <c r="BE190" s="1004"/>
      <c r="BF190" s="1017"/>
      <c r="BG190" s="1018"/>
      <c r="BH190" s="1019"/>
      <c r="BI190" s="1001"/>
      <c r="BJ190" s="1001"/>
      <c r="BK190" s="1001"/>
      <c r="BL190" s="1001"/>
      <c r="BM190" s="1001"/>
      <c r="BN190" s="1001"/>
      <c r="BO190" s="1001"/>
      <c r="BP190" s="1001"/>
      <c r="BQ190" s="1001"/>
      <c r="BR190" s="1001"/>
      <c r="BS190" s="1001"/>
      <c r="BT190" s="1001"/>
      <c r="BU190" s="1001"/>
      <c r="BV190" s="1001"/>
      <c r="BW190" s="1001"/>
      <c r="BX190" s="1001"/>
      <c r="BY190" s="1001"/>
      <c r="BZ190" s="1001"/>
      <c r="CA190" s="1001"/>
    </row>
    <row r="191" spans="1:79" ht="80.099999999999994" customHeight="1">
      <c r="A191" s="1017"/>
      <c r="B191" s="1018"/>
      <c r="C191" s="1019"/>
      <c r="D191" s="1022"/>
      <c r="E191" s="1022"/>
      <c r="F191" s="1022"/>
      <c r="G191" s="1001"/>
      <c r="H191" s="1001"/>
      <c r="I191" s="1001"/>
      <c r="J191" s="1001"/>
      <c r="K191" s="1001"/>
      <c r="L191" s="1001"/>
      <c r="M191" s="1001"/>
      <c r="N191" s="1001"/>
      <c r="O191" s="1001"/>
      <c r="P191" s="1001"/>
      <c r="Q191" s="1001"/>
      <c r="R191" s="1001"/>
      <c r="S191" s="1001"/>
      <c r="T191" s="1001"/>
      <c r="U191" s="1001"/>
      <c r="V191" s="1001"/>
      <c r="W191" s="1001"/>
      <c r="X191" s="1001"/>
      <c r="Y191" s="1001"/>
      <c r="Z191" s="1002"/>
      <c r="AA191" s="1001"/>
      <c r="AB191" s="1001"/>
      <c r="AC191" s="1001"/>
      <c r="AD191" s="1001"/>
      <c r="AE191" s="1001"/>
      <c r="AF191" s="1001"/>
      <c r="AG191" s="1001"/>
      <c r="AH191" s="1001"/>
      <c r="AI191" s="1021"/>
      <c r="AJ191" s="1001"/>
      <c r="AK191" s="1001"/>
      <c r="AL191" s="1001"/>
      <c r="AM191" s="1001"/>
      <c r="AN191" s="1001"/>
      <c r="AO191" s="1001"/>
      <c r="AP191" s="1001"/>
      <c r="AQ191" s="1001"/>
      <c r="AR191" s="1021"/>
      <c r="AS191" s="1001"/>
      <c r="AT191" s="1001"/>
      <c r="AU191" s="1001"/>
      <c r="AV191" s="1001"/>
      <c r="AW191" s="1001"/>
      <c r="AX191" s="1002"/>
      <c r="AY191" s="1002"/>
      <c r="AZ191" s="1002"/>
      <c r="BA191" s="1002"/>
      <c r="BB191" s="1002"/>
      <c r="BC191" s="1003"/>
      <c r="BD191" s="1004"/>
      <c r="BE191" s="1004"/>
      <c r="BF191" s="1017"/>
      <c r="BG191" s="1018"/>
      <c r="BH191" s="1019"/>
      <c r="BI191" s="1001"/>
      <c r="BJ191" s="1001"/>
      <c r="BK191" s="1001"/>
      <c r="BL191" s="1001"/>
      <c r="BM191" s="1001"/>
      <c r="BN191" s="1001"/>
      <c r="BO191" s="1001"/>
      <c r="BP191" s="1001"/>
      <c r="BQ191" s="1001"/>
      <c r="BR191" s="1001"/>
      <c r="BS191" s="1001"/>
      <c r="BT191" s="1001"/>
      <c r="BU191" s="1001"/>
      <c r="BV191" s="1001"/>
      <c r="BW191" s="1001"/>
      <c r="BX191" s="1001"/>
      <c r="BY191" s="1001"/>
      <c r="BZ191" s="1001"/>
      <c r="CA191" s="1001"/>
    </row>
    <row r="192" spans="1:79" ht="80.099999999999994" customHeight="1">
      <c r="A192" s="1017"/>
      <c r="B192" s="1019"/>
      <c r="C192" s="1019"/>
      <c r="D192" s="1024"/>
      <c r="E192" s="1024"/>
      <c r="F192" s="1024"/>
      <c r="G192" s="1001"/>
      <c r="H192" s="1001"/>
      <c r="I192" s="1001"/>
      <c r="J192" s="1001"/>
      <c r="K192" s="1001"/>
      <c r="L192" s="1001"/>
      <c r="M192" s="1001"/>
      <c r="N192" s="1001"/>
      <c r="O192" s="1001"/>
      <c r="P192" s="1001"/>
      <c r="Q192" s="1001"/>
      <c r="R192" s="1001"/>
      <c r="S192" s="1001"/>
      <c r="T192" s="1001"/>
      <c r="U192" s="1001"/>
      <c r="V192" s="1001"/>
      <c r="W192" s="1001"/>
      <c r="X192" s="1001"/>
      <c r="Y192" s="1001"/>
      <c r="Z192" s="1002"/>
      <c r="AA192" s="1001"/>
      <c r="AB192" s="1001"/>
      <c r="AC192" s="1001"/>
      <c r="AD192" s="1001"/>
      <c r="AE192" s="1001"/>
      <c r="AF192" s="1001"/>
      <c r="AG192" s="1001"/>
      <c r="AH192" s="1001"/>
      <c r="AI192" s="1021"/>
      <c r="AJ192" s="1001"/>
      <c r="AK192" s="1001"/>
      <c r="AL192" s="1001"/>
      <c r="AM192" s="1001"/>
      <c r="AN192" s="1001"/>
      <c r="AO192" s="1001"/>
      <c r="AP192" s="1001"/>
      <c r="AQ192" s="1001"/>
      <c r="AR192" s="1021"/>
      <c r="AS192" s="1001"/>
      <c r="AT192" s="1001"/>
      <c r="AU192" s="1001"/>
      <c r="AV192" s="1001"/>
      <c r="AW192" s="1001"/>
      <c r="AX192" s="1002"/>
      <c r="AY192" s="1002"/>
      <c r="AZ192" s="1002"/>
      <c r="BA192" s="1002"/>
      <c r="BB192" s="1002"/>
      <c r="BC192" s="1003"/>
      <c r="BD192" s="1004"/>
      <c r="BE192" s="1004"/>
      <c r="BF192" s="1017"/>
      <c r="BG192" s="1019"/>
      <c r="BH192" s="1019"/>
      <c r="BI192" s="1001"/>
      <c r="BJ192" s="1001"/>
      <c r="BK192" s="1001"/>
      <c r="BL192" s="1001"/>
      <c r="BM192" s="1001"/>
      <c r="BN192" s="1001"/>
      <c r="BO192" s="1001"/>
      <c r="BP192" s="1001"/>
      <c r="BQ192" s="1001"/>
      <c r="BR192" s="1001"/>
      <c r="BS192" s="1001"/>
      <c r="BT192" s="1001"/>
      <c r="BU192" s="1001"/>
      <c r="BV192" s="1001"/>
      <c r="BW192" s="1001"/>
      <c r="BX192" s="1001"/>
      <c r="BY192" s="1001"/>
      <c r="BZ192" s="1001"/>
      <c r="CA192" s="1001"/>
    </row>
    <row r="193" spans="1:79" ht="80.099999999999994" customHeight="1">
      <c r="A193" s="1017"/>
      <c r="B193" s="1019"/>
      <c r="C193" s="1019"/>
      <c r="D193" s="1024"/>
      <c r="E193" s="1020"/>
      <c r="F193" s="1024"/>
      <c r="G193" s="1001"/>
      <c r="H193" s="1001"/>
      <c r="I193" s="1017"/>
      <c r="J193" s="1017"/>
      <c r="K193" s="1017"/>
      <c r="L193" s="1001"/>
      <c r="M193" s="1001"/>
      <c r="N193" s="1017"/>
      <c r="O193" s="1001"/>
      <c r="P193" s="1001"/>
      <c r="Q193" s="1017"/>
      <c r="R193" s="1001"/>
      <c r="S193" s="1001"/>
      <c r="T193" s="1017"/>
      <c r="U193" s="1017"/>
      <c r="V193" s="1017"/>
      <c r="W193" s="1001"/>
      <c r="X193" s="1002"/>
      <c r="Y193" s="1002"/>
      <c r="Z193" s="1002"/>
      <c r="AA193" s="1021"/>
      <c r="AB193" s="1021"/>
      <c r="AC193" s="1021"/>
      <c r="AD193" s="1001"/>
      <c r="AE193" s="1001"/>
      <c r="AF193" s="1001"/>
      <c r="AG193" s="1001"/>
      <c r="AH193" s="1001"/>
      <c r="AI193" s="1021"/>
      <c r="AJ193" s="1021"/>
      <c r="AK193" s="1017"/>
      <c r="AL193" s="1017"/>
      <c r="AM193" s="1001"/>
      <c r="AN193" s="1001"/>
      <c r="AO193" s="1001"/>
      <c r="AP193" s="1001"/>
      <c r="AQ193" s="1001"/>
      <c r="AR193" s="1021"/>
      <c r="AS193" s="1001"/>
      <c r="AT193" s="1001"/>
      <c r="AU193" s="1001"/>
      <c r="AV193" s="1017"/>
      <c r="AW193" s="1017"/>
      <c r="AX193" s="1002"/>
      <c r="AY193" s="1002"/>
      <c r="AZ193" s="1002"/>
      <c r="BA193" s="1002"/>
      <c r="BB193" s="1002"/>
      <c r="BC193" s="1003"/>
      <c r="BD193" s="1004"/>
      <c r="BE193" s="1004"/>
      <c r="BF193" s="1017"/>
      <c r="BG193" s="1019"/>
      <c r="BH193" s="1019"/>
      <c r="BI193" s="1001"/>
      <c r="BJ193" s="1001"/>
      <c r="BK193" s="1001"/>
      <c r="BL193" s="1001"/>
      <c r="BM193" s="1001"/>
      <c r="BN193" s="1001"/>
      <c r="BO193" s="1001"/>
      <c r="BP193" s="1001"/>
      <c r="BQ193" s="1001"/>
      <c r="BR193" s="1001"/>
      <c r="BS193" s="1001"/>
      <c r="BT193" s="1001"/>
      <c r="BU193" s="1001"/>
      <c r="BV193" s="1001"/>
      <c r="BW193" s="1001"/>
      <c r="BX193" s="1001"/>
      <c r="BY193" s="1017"/>
      <c r="BZ193" s="1017"/>
      <c r="CA193" s="1017"/>
    </row>
    <row r="194" spans="1:79" ht="80.099999999999994" customHeight="1">
      <c r="A194" s="1017"/>
      <c r="B194" s="1019"/>
      <c r="C194" s="1019"/>
      <c r="D194" s="1024"/>
      <c r="E194" s="1024"/>
      <c r="F194" s="1024"/>
      <c r="G194" s="1001"/>
      <c r="H194" s="1001"/>
      <c r="I194" s="1001"/>
      <c r="J194" s="1001"/>
      <c r="K194" s="1001"/>
      <c r="L194" s="1001"/>
      <c r="M194" s="1001"/>
      <c r="N194" s="1001"/>
      <c r="O194" s="1001"/>
      <c r="P194" s="1001"/>
      <c r="Q194" s="1001"/>
      <c r="R194" s="1001"/>
      <c r="S194" s="1001"/>
      <c r="T194" s="1001"/>
      <c r="U194" s="1001"/>
      <c r="V194" s="1001"/>
      <c r="W194" s="1001"/>
      <c r="X194" s="1001"/>
      <c r="Y194" s="1001"/>
      <c r="Z194" s="1002"/>
      <c r="AA194" s="1001"/>
      <c r="AB194" s="1001"/>
      <c r="AC194" s="1001"/>
      <c r="AD194" s="1001"/>
      <c r="AE194" s="1001"/>
      <c r="AF194" s="1001"/>
      <c r="AG194" s="1001"/>
      <c r="AH194" s="1001"/>
      <c r="AI194" s="1021"/>
      <c r="AJ194" s="1001"/>
      <c r="AK194" s="1001"/>
      <c r="AL194" s="1001"/>
      <c r="AM194" s="1001"/>
      <c r="AN194" s="1001"/>
      <c r="AO194" s="1001"/>
      <c r="AP194" s="1001"/>
      <c r="AQ194" s="1001"/>
      <c r="AR194" s="1021"/>
      <c r="AS194" s="1001"/>
      <c r="AT194" s="1001"/>
      <c r="AU194" s="1001"/>
      <c r="AV194" s="1001"/>
      <c r="AW194" s="1001"/>
      <c r="AX194" s="1002"/>
      <c r="AY194" s="1002"/>
      <c r="AZ194" s="1002"/>
      <c r="BA194" s="1002"/>
      <c r="BB194" s="1002"/>
      <c r="BC194" s="1003"/>
      <c r="BD194" s="1004"/>
      <c r="BE194" s="1004"/>
      <c r="BF194" s="1017"/>
      <c r="BG194" s="1019"/>
      <c r="BH194" s="1019"/>
      <c r="BI194" s="1001"/>
      <c r="BJ194" s="1001"/>
      <c r="BK194" s="1001"/>
      <c r="BL194" s="1001"/>
      <c r="BM194" s="1001"/>
      <c r="BN194" s="1001"/>
      <c r="BO194" s="1001"/>
      <c r="BP194" s="1001"/>
      <c r="BQ194" s="1001"/>
      <c r="BR194" s="1001"/>
      <c r="BS194" s="1001"/>
      <c r="BT194" s="1001"/>
      <c r="BU194" s="1001"/>
      <c r="BV194" s="1001"/>
      <c r="BW194" s="1001"/>
      <c r="BX194" s="1001"/>
      <c r="BY194" s="1001"/>
      <c r="BZ194" s="1001"/>
      <c r="CA194" s="1001"/>
    </row>
    <row r="195" spans="1:79" ht="80.099999999999994" customHeight="1">
      <c r="A195" s="1017"/>
      <c r="B195" s="1018"/>
      <c r="C195" s="1019"/>
      <c r="D195" s="1022"/>
      <c r="E195" s="1022"/>
      <c r="F195" s="1022"/>
      <c r="G195" s="1001"/>
      <c r="H195" s="1001"/>
      <c r="I195" s="1001"/>
      <c r="J195" s="1001"/>
      <c r="K195" s="1001"/>
      <c r="L195" s="1001"/>
      <c r="M195" s="1001"/>
      <c r="N195" s="1001"/>
      <c r="O195" s="1001"/>
      <c r="P195" s="1001"/>
      <c r="Q195" s="1001"/>
      <c r="R195" s="1001"/>
      <c r="S195" s="1001"/>
      <c r="T195" s="1001"/>
      <c r="U195" s="1001"/>
      <c r="V195" s="1001"/>
      <c r="W195" s="1001"/>
      <c r="X195" s="1001"/>
      <c r="Y195" s="1001"/>
      <c r="Z195" s="1002"/>
      <c r="AA195" s="1001"/>
      <c r="AB195" s="1001"/>
      <c r="AC195" s="1001"/>
      <c r="AD195" s="1001"/>
      <c r="AE195" s="1001"/>
      <c r="AF195" s="1001"/>
      <c r="AG195" s="1001"/>
      <c r="AH195" s="1001"/>
      <c r="AI195" s="1021"/>
      <c r="AJ195" s="1001"/>
      <c r="AK195" s="1001"/>
      <c r="AL195" s="1001"/>
      <c r="AM195" s="1001"/>
      <c r="AN195" s="1001"/>
      <c r="AO195" s="1001"/>
      <c r="AP195" s="1001"/>
      <c r="AQ195" s="1001"/>
      <c r="AR195" s="1021"/>
      <c r="AS195" s="1001"/>
      <c r="AT195" s="1001"/>
      <c r="AU195" s="1001"/>
      <c r="AV195" s="1001"/>
      <c r="AW195" s="1001"/>
      <c r="AX195" s="1002"/>
      <c r="AY195" s="1002"/>
      <c r="AZ195" s="1002"/>
      <c r="BA195" s="1002"/>
      <c r="BB195" s="1002"/>
      <c r="BC195" s="1003"/>
      <c r="BD195" s="1004"/>
      <c r="BE195" s="1004"/>
      <c r="BF195" s="1017"/>
      <c r="BG195" s="1018"/>
      <c r="BH195" s="1019"/>
      <c r="BI195" s="1001"/>
      <c r="BJ195" s="1001"/>
      <c r="BK195" s="1001"/>
      <c r="BL195" s="1001"/>
      <c r="BM195" s="1001"/>
      <c r="BN195" s="1001"/>
      <c r="BO195" s="1001"/>
      <c r="BP195" s="1001"/>
      <c r="BQ195" s="1001"/>
      <c r="BR195" s="1001"/>
      <c r="BS195" s="1001"/>
      <c r="BT195" s="1001"/>
      <c r="BU195" s="1001"/>
      <c r="BV195" s="1001"/>
      <c r="BW195" s="1001"/>
      <c r="BX195" s="1001"/>
      <c r="BY195" s="1001"/>
      <c r="BZ195" s="1001"/>
      <c r="CA195" s="1001"/>
    </row>
    <row r="196" spans="1:79" ht="80.099999999999994" customHeight="1">
      <c r="A196" s="1010"/>
      <c r="B196" s="1018"/>
      <c r="C196" s="1019"/>
      <c r="D196" s="1022"/>
      <c r="E196" s="1022"/>
      <c r="F196" s="1022"/>
      <c r="G196" s="1001"/>
      <c r="H196" s="1001"/>
      <c r="I196" s="1001"/>
      <c r="J196" s="1001"/>
      <c r="K196" s="1001"/>
      <c r="L196" s="1001"/>
      <c r="M196" s="1001"/>
      <c r="N196" s="1001"/>
      <c r="O196" s="1001"/>
      <c r="P196" s="1001"/>
      <c r="Q196" s="1001"/>
      <c r="R196" s="1001"/>
      <c r="S196" s="1001"/>
      <c r="T196" s="1001"/>
      <c r="U196" s="1001"/>
      <c r="V196" s="1001"/>
      <c r="W196" s="1001"/>
      <c r="X196" s="1001"/>
      <c r="Y196" s="1001"/>
      <c r="Z196" s="1026"/>
      <c r="AA196" s="1001"/>
      <c r="AB196" s="1001"/>
      <c r="AC196" s="1001"/>
      <c r="AD196" s="1001"/>
      <c r="AE196" s="1001"/>
      <c r="AF196" s="1001"/>
      <c r="AG196" s="1001"/>
      <c r="AH196" s="1001"/>
      <c r="AI196" s="1021"/>
      <c r="AJ196" s="1001"/>
      <c r="AK196" s="1001"/>
      <c r="AL196" s="1001"/>
      <c r="AM196" s="1001"/>
      <c r="AN196" s="1001"/>
      <c r="AO196" s="1001"/>
      <c r="AP196" s="1001"/>
      <c r="AQ196" s="1001"/>
      <c r="AR196" s="1021"/>
      <c r="AS196" s="1001"/>
      <c r="AT196" s="1001"/>
      <c r="AU196" s="1001"/>
      <c r="AV196" s="1001"/>
      <c r="AW196" s="1001"/>
      <c r="AX196" s="1002"/>
      <c r="AY196" s="1002"/>
      <c r="AZ196" s="1002"/>
      <c r="BA196" s="1002"/>
      <c r="BB196" s="1002"/>
      <c r="BC196" s="1003"/>
      <c r="BD196" s="1004"/>
      <c r="BE196" s="1004"/>
      <c r="BF196" s="1017"/>
      <c r="BG196" s="1026"/>
      <c r="BH196" s="1026"/>
      <c r="BI196" s="1001"/>
      <c r="BJ196" s="1001"/>
      <c r="BK196" s="1001"/>
      <c r="BL196" s="1001"/>
      <c r="BM196" s="1001"/>
      <c r="BN196" s="1001"/>
      <c r="BO196" s="1001"/>
      <c r="BP196" s="1001"/>
      <c r="BQ196" s="1001"/>
      <c r="BR196" s="1001"/>
      <c r="BS196" s="1001"/>
      <c r="BT196" s="1001"/>
      <c r="BU196" s="1001"/>
      <c r="BV196" s="1001"/>
      <c r="BW196" s="1001"/>
      <c r="BX196" s="1001"/>
      <c r="BY196" s="1001"/>
      <c r="BZ196" s="1001"/>
      <c r="CA196" s="1001"/>
    </row>
  </sheetData>
  <mergeCells count="251">
    <mergeCell ref="AL163:AM163"/>
    <mergeCell ref="BC163:BC164"/>
    <mergeCell ref="BD163:BD164"/>
    <mergeCell ref="AN163:AO163"/>
    <mergeCell ref="AR163:AR164"/>
    <mergeCell ref="AS163:AU163"/>
    <mergeCell ref="AX163:AX164"/>
    <mergeCell ref="BW163:BX163"/>
    <mergeCell ref="BY163:CA163"/>
    <mergeCell ref="BK163:BL163"/>
    <mergeCell ref="BM163:BN163"/>
    <mergeCell ref="BO163:BP163"/>
    <mergeCell ref="BQ163:BR163"/>
    <mergeCell ref="BS163:BT163"/>
    <mergeCell ref="BU163:BV163"/>
    <mergeCell ref="BF163:BF164"/>
    <mergeCell ref="BG163:BG164"/>
    <mergeCell ref="BH163:BH164"/>
    <mergeCell ref="BI163:BJ163"/>
    <mergeCell ref="BA163:BA164"/>
    <mergeCell ref="BB163:BB164"/>
    <mergeCell ref="O163:Q163"/>
    <mergeCell ref="R163:T163"/>
    <mergeCell ref="U163:W163"/>
    <mergeCell ref="Z163:Z164"/>
    <mergeCell ref="AA163:AB163"/>
    <mergeCell ref="AC163:AD163"/>
    <mergeCell ref="AE163:AF163"/>
    <mergeCell ref="AI163:AI164"/>
    <mergeCell ref="AJ163:AK163"/>
    <mergeCell ref="BO122:BP122"/>
    <mergeCell ref="BQ122:BR122"/>
    <mergeCell ref="BS122:BT122"/>
    <mergeCell ref="BU122:BV122"/>
    <mergeCell ref="BW122:BX122"/>
    <mergeCell ref="BY122:CA122"/>
    <mergeCell ref="A160:B160"/>
    <mergeCell ref="BF160:BG160"/>
    <mergeCell ref="A161:B161"/>
    <mergeCell ref="G161:T161"/>
    <mergeCell ref="AA161:AI161"/>
    <mergeCell ref="AJ161:AR162"/>
    <mergeCell ref="BF161:BG161"/>
    <mergeCell ref="A162:B162"/>
    <mergeCell ref="G162:I163"/>
    <mergeCell ref="L162:T162"/>
    <mergeCell ref="AA162:AI162"/>
    <mergeCell ref="BF162:BG162"/>
    <mergeCell ref="A163:A164"/>
    <mergeCell ref="B163:B164"/>
    <mergeCell ref="C163:C164"/>
    <mergeCell ref="D163:D164"/>
    <mergeCell ref="F163:F164"/>
    <mergeCell ref="L163:N163"/>
    <mergeCell ref="BB122:BB123"/>
    <mergeCell ref="BC122:BC123"/>
    <mergeCell ref="BD122:BD123"/>
    <mergeCell ref="BF122:BF123"/>
    <mergeCell ref="BG122:BG123"/>
    <mergeCell ref="BH122:BH123"/>
    <mergeCell ref="BI122:BJ122"/>
    <mergeCell ref="BK122:BL122"/>
    <mergeCell ref="BM122:BN122"/>
    <mergeCell ref="AJ122:AK122"/>
    <mergeCell ref="AL122:AM122"/>
    <mergeCell ref="AG122:AH122"/>
    <mergeCell ref="AN122:AO122"/>
    <mergeCell ref="AR122:AR123"/>
    <mergeCell ref="AS122:AU122"/>
    <mergeCell ref="AX122:AX123"/>
    <mergeCell ref="AP122:AQ122"/>
    <mergeCell ref="BA122:BA123"/>
    <mergeCell ref="A120:B120"/>
    <mergeCell ref="G120:T120"/>
    <mergeCell ref="AA120:AI120"/>
    <mergeCell ref="AJ120:AR121"/>
    <mergeCell ref="BF120:BG120"/>
    <mergeCell ref="A121:B121"/>
    <mergeCell ref="G121:I122"/>
    <mergeCell ref="L121:T121"/>
    <mergeCell ref="AA121:AI121"/>
    <mergeCell ref="BF121:BG121"/>
    <mergeCell ref="A122:A123"/>
    <mergeCell ref="B122:B123"/>
    <mergeCell ref="C122:C123"/>
    <mergeCell ref="D122:D123"/>
    <mergeCell ref="F122:F123"/>
    <mergeCell ref="L122:N122"/>
    <mergeCell ref="O122:Q122"/>
    <mergeCell ref="R122:T122"/>
    <mergeCell ref="U122:W122"/>
    <mergeCell ref="Z122:Z123"/>
    <mergeCell ref="AA122:AB122"/>
    <mergeCell ref="AC122:AD122"/>
    <mergeCell ref="AE122:AF122"/>
    <mergeCell ref="AI122:AI123"/>
    <mergeCell ref="BW82:BX82"/>
    <mergeCell ref="BY82:CA82"/>
    <mergeCell ref="A119:B119"/>
    <mergeCell ref="BF119:BG119"/>
    <mergeCell ref="BM82:BN82"/>
    <mergeCell ref="BO82:BP82"/>
    <mergeCell ref="BQ82:BR82"/>
    <mergeCell ref="BS82:BT82"/>
    <mergeCell ref="BG82:BG83"/>
    <mergeCell ref="BA82:BA83"/>
    <mergeCell ref="BH82:BH83"/>
    <mergeCell ref="BI82:BJ82"/>
    <mergeCell ref="BK82:BL82"/>
    <mergeCell ref="BB82:BB83"/>
    <mergeCell ref="BC82:BC83"/>
    <mergeCell ref="BD82:BD83"/>
    <mergeCell ref="BF82:BF83"/>
    <mergeCell ref="BU82:BV82"/>
    <mergeCell ref="AI82:AI83"/>
    <mergeCell ref="AJ82:AK82"/>
    <mergeCell ref="AL82:AM82"/>
    <mergeCell ref="AG82:AH82"/>
    <mergeCell ref="AN82:AO82"/>
    <mergeCell ref="AR82:AR83"/>
    <mergeCell ref="AS82:AU82"/>
    <mergeCell ref="AX82:AX83"/>
    <mergeCell ref="AP82:AQ82"/>
    <mergeCell ref="A80:B80"/>
    <mergeCell ref="G80:T80"/>
    <mergeCell ref="AA80:AI80"/>
    <mergeCell ref="AJ80:AR81"/>
    <mergeCell ref="BF80:BG80"/>
    <mergeCell ref="A81:B81"/>
    <mergeCell ref="G81:I82"/>
    <mergeCell ref="L81:T81"/>
    <mergeCell ref="AA81:AI81"/>
    <mergeCell ref="BF81:BG81"/>
    <mergeCell ref="A82:A83"/>
    <mergeCell ref="B82:B83"/>
    <mergeCell ref="C82:C83"/>
    <mergeCell ref="D82:D83"/>
    <mergeCell ref="F82:F83"/>
    <mergeCell ref="L82:N82"/>
    <mergeCell ref="E82:E83"/>
    <mergeCell ref="O82:Q82"/>
    <mergeCell ref="R82:T82"/>
    <mergeCell ref="U82:W82"/>
    <mergeCell ref="Z82:Z83"/>
    <mergeCell ref="AA82:AB82"/>
    <mergeCell ref="AC82:AD82"/>
    <mergeCell ref="AE82:AF82"/>
    <mergeCell ref="BQ43:BR43"/>
    <mergeCell ref="BS43:BT43"/>
    <mergeCell ref="BU43:BV43"/>
    <mergeCell ref="BW43:BX43"/>
    <mergeCell ref="BY43:CA43"/>
    <mergeCell ref="A79:B79"/>
    <mergeCell ref="BF79:BG79"/>
    <mergeCell ref="BG43:BG44"/>
    <mergeCell ref="BH43:BH44"/>
    <mergeCell ref="BI43:BJ43"/>
    <mergeCell ref="AJ43:AK43"/>
    <mergeCell ref="AL43:AM43"/>
    <mergeCell ref="AN43:AO43"/>
    <mergeCell ref="AR43:AR44"/>
    <mergeCell ref="AS43:AU43"/>
    <mergeCell ref="BK43:BL43"/>
    <mergeCell ref="BM43:BN43"/>
    <mergeCell ref="BO43:BP43"/>
    <mergeCell ref="AX43:AX44"/>
    <mergeCell ref="BA43:BA44"/>
    <mergeCell ref="BB43:BB44"/>
    <mergeCell ref="BC43:BC44"/>
    <mergeCell ref="BD43:BD44"/>
    <mergeCell ref="BF43:BF44"/>
    <mergeCell ref="AZ43:AZ44"/>
    <mergeCell ref="BF42:BG42"/>
    <mergeCell ref="BM4:BN4"/>
    <mergeCell ref="BK4:BL4"/>
    <mergeCell ref="BF4:BF5"/>
    <mergeCell ref="BG4:BG5"/>
    <mergeCell ref="BH4:BH5"/>
    <mergeCell ref="BI4:BJ4"/>
    <mergeCell ref="BA4:BA5"/>
    <mergeCell ref="A40:B40"/>
    <mergeCell ref="BF40:BG40"/>
    <mergeCell ref="A41:B41"/>
    <mergeCell ref="G41:T41"/>
    <mergeCell ref="AA41:AI41"/>
    <mergeCell ref="AJ41:AR42"/>
    <mergeCell ref="BF41:BG41"/>
    <mergeCell ref="A42:B42"/>
    <mergeCell ref="G42:I43"/>
    <mergeCell ref="A43:A44"/>
    <mergeCell ref="B43:B44"/>
    <mergeCell ref="C43:C44"/>
    <mergeCell ref="D43:D44"/>
    <mergeCell ref="F43:F44"/>
    <mergeCell ref="AC43:AD43"/>
    <mergeCell ref="AE43:AF43"/>
    <mergeCell ref="AR4:AR5"/>
    <mergeCell ref="AS4:AU4"/>
    <mergeCell ref="AX4:AX5"/>
    <mergeCell ref="AZ4:AZ5"/>
    <mergeCell ref="BU4:BV4"/>
    <mergeCell ref="BW4:BX4"/>
    <mergeCell ref="BY4:CA4"/>
    <mergeCell ref="BO4:BP4"/>
    <mergeCell ref="BQ4:BR4"/>
    <mergeCell ref="BS4:BT4"/>
    <mergeCell ref="BF1:BG1"/>
    <mergeCell ref="AA2:AI2"/>
    <mergeCell ref="AJ2:AR3"/>
    <mergeCell ref="BF2:BG2"/>
    <mergeCell ref="AA3:AI3"/>
    <mergeCell ref="BF3:BG3"/>
    <mergeCell ref="B4:B5"/>
    <mergeCell ref="C4:C5"/>
    <mergeCell ref="D4:D5"/>
    <mergeCell ref="L4:N4"/>
    <mergeCell ref="F4:F5"/>
    <mergeCell ref="E4:E5"/>
    <mergeCell ref="O4:Q4"/>
    <mergeCell ref="R4:T4"/>
    <mergeCell ref="U4:W4"/>
    <mergeCell ref="Z4:Z5"/>
    <mergeCell ref="BB4:BB5"/>
    <mergeCell ref="BC4:BC5"/>
    <mergeCell ref="AE4:AF4"/>
    <mergeCell ref="AI4:AI5"/>
    <mergeCell ref="AJ4:AK4"/>
    <mergeCell ref="AL4:AM4"/>
    <mergeCell ref="BD4:BD5"/>
    <mergeCell ref="AN4:AO4"/>
    <mergeCell ref="R43:T43"/>
    <mergeCell ref="U43:W43"/>
    <mergeCell ref="Z43:Z44"/>
    <mergeCell ref="AA43:AB43"/>
    <mergeCell ref="A1:B1"/>
    <mergeCell ref="AA4:AB4"/>
    <mergeCell ref="AC4:AD4"/>
    <mergeCell ref="X4:X5"/>
    <mergeCell ref="A2:B2"/>
    <mergeCell ref="G2:T2"/>
    <mergeCell ref="A3:B3"/>
    <mergeCell ref="G3:I4"/>
    <mergeCell ref="L3:T3"/>
    <mergeCell ref="A4:A5"/>
    <mergeCell ref="L42:T42"/>
    <mergeCell ref="AA42:AI42"/>
    <mergeCell ref="E43:E44"/>
    <mergeCell ref="Y43:Y44"/>
    <mergeCell ref="L43:N43"/>
    <mergeCell ref="O43:Q43"/>
    <mergeCell ref="AI43:AI44"/>
  </mergeCells>
  <phoneticPr fontId="19" type="noConversion"/>
  <pageMargins left="0.75" right="0.75" top="1" bottom="1" header="0.5" footer="0.5"/>
  <pageSetup paperSize="9" scale="10" orientation="portrait" r:id="rId1"/>
  <headerFooter alignWithMargins="0"/>
  <colBreaks count="2" manualBreakCount="2">
    <brk id="35" max="1048575" man="1"/>
    <brk id="5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OH142"/>
  <sheetViews>
    <sheetView tabSelected="1" topLeftCell="A106" zoomScale="25" zoomScaleNormal="75" zoomScaleSheetLayoutView="75" workbookViewId="0">
      <selection activeCell="I123" sqref="I123"/>
    </sheetView>
  </sheetViews>
  <sheetFormatPr defaultRowHeight="30" customHeight="1"/>
  <cols>
    <col min="1" max="1" width="20.7109375" style="1" customWidth="1"/>
    <col min="2" max="2" width="113.42578125" style="1" customWidth="1"/>
    <col min="3" max="3" width="49.42578125" style="1" customWidth="1"/>
    <col min="4" max="4" width="37.85546875" style="1" customWidth="1"/>
    <col min="5" max="5" width="59.28515625" style="1" customWidth="1"/>
    <col min="6" max="6" width="38.42578125" style="1" customWidth="1"/>
    <col min="7" max="7" width="31.5703125" style="1" customWidth="1"/>
    <col min="8" max="8" width="23.140625" style="1" customWidth="1"/>
    <col min="9" max="9" width="21.5703125" style="1" customWidth="1"/>
    <col min="10" max="10" width="20.7109375" style="1" customWidth="1"/>
    <col min="11" max="11" width="19.5703125" style="1" customWidth="1"/>
    <col min="12" max="12" width="24.42578125" style="1" customWidth="1"/>
    <col min="13" max="13" width="20.7109375" style="1" customWidth="1"/>
    <col min="14" max="14" width="11.28515625" style="1" customWidth="1"/>
    <col min="15" max="15" width="13" style="1" customWidth="1"/>
    <col min="16" max="16" width="20.7109375" style="1" customWidth="1"/>
    <col min="17" max="17" width="22.140625" style="1" customWidth="1"/>
    <col min="18" max="18" width="12.42578125" style="1" customWidth="1"/>
    <col min="19" max="19" width="20.7109375" style="1" customWidth="1"/>
    <col min="20" max="20" width="10.42578125" style="1" customWidth="1"/>
    <col min="21" max="21" width="9.5703125" style="1" customWidth="1"/>
    <col min="22" max="22" width="20.7109375" style="1" customWidth="1"/>
    <col min="23" max="23" width="36.140625" style="1" customWidth="1"/>
    <col min="24" max="24" width="36.7109375" style="1" customWidth="1"/>
    <col min="25" max="25" width="41.28515625" style="1" customWidth="1"/>
    <col min="26" max="26" width="10.7109375" style="1" customWidth="1"/>
    <col min="27" max="27" width="9" style="1" customWidth="1"/>
    <col min="28" max="28" width="9.5703125" style="1" customWidth="1"/>
    <col min="29" max="29" width="29.28515625" style="1" customWidth="1"/>
    <col min="30" max="30" width="29" style="1" customWidth="1"/>
    <col min="31" max="31" width="28.42578125" style="1" customWidth="1"/>
    <col min="32" max="32" width="30.140625" style="1" customWidth="1"/>
    <col min="33" max="33" width="19.5703125" style="1" customWidth="1"/>
    <col min="34" max="35" width="13.5703125" style="1" customWidth="1"/>
    <col min="36" max="36" width="10.140625" style="1" customWidth="1"/>
    <col min="37" max="37" width="10.42578125" style="1" customWidth="1"/>
    <col min="38" max="38" width="28.140625" style="1" customWidth="1"/>
    <col min="39" max="39" width="29" style="1" customWidth="1"/>
    <col min="40" max="40" width="28.42578125" style="1" customWidth="1"/>
    <col min="41" max="41" width="34.42578125" style="1" customWidth="1"/>
    <col min="42" max="47" width="20.7109375" style="1" customWidth="1"/>
    <col min="48" max="48" width="42.42578125" style="1" customWidth="1"/>
    <col min="49" max="49" width="32.140625" style="1" customWidth="1"/>
    <col min="50" max="50" width="39" style="1" customWidth="1"/>
    <col min="51" max="51" width="35.5703125" style="1" customWidth="1"/>
    <col min="52" max="52" width="45.28515625" style="1" customWidth="1"/>
    <col min="53" max="53" width="31.5703125" style="1" customWidth="1"/>
    <col min="54" max="54" width="35" style="1" customWidth="1"/>
    <col min="55" max="59" width="20.7109375" style="1" customWidth="1"/>
    <col min="60" max="60" width="85.42578125" style="1" customWidth="1"/>
    <col min="61" max="61" width="57.5703125" style="1" bestFit="1" customWidth="1"/>
    <col min="62" max="65" width="20.7109375" style="1" customWidth="1"/>
    <col min="66" max="66" width="22.7109375" style="1" customWidth="1"/>
    <col min="67" max="67" width="14.7109375" style="1" customWidth="1"/>
    <col min="68" max="68" width="21" style="1" customWidth="1"/>
    <col min="69" max="69" width="21.28515625" style="1" customWidth="1"/>
    <col min="70" max="70" width="14.140625" style="1" customWidth="1"/>
    <col min="71" max="71" width="14.7109375" style="1" customWidth="1"/>
    <col min="72" max="72" width="17.85546875" style="1" customWidth="1"/>
    <col min="73" max="73" width="19.85546875" style="1" customWidth="1"/>
    <col min="74" max="74" width="14.7109375" style="1" customWidth="1"/>
    <col min="75" max="75" width="14.140625" style="1" customWidth="1"/>
    <col min="76" max="76" width="21.5703125" style="1" customWidth="1"/>
    <col min="77" max="77" width="13.85546875" style="1" customWidth="1"/>
    <col min="78" max="80" width="20.7109375" style="1" customWidth="1"/>
    <col min="81" max="222" width="9.140625" style="7"/>
    <col min="223" max="16384" width="9.140625" style="6"/>
  </cols>
  <sheetData>
    <row r="1" spans="1:222" ht="30" customHeight="1" thickBot="1">
      <c r="A1" s="928" t="s">
        <v>40</v>
      </c>
      <c r="B1" s="929"/>
      <c r="C1" s="36"/>
      <c r="D1" s="36"/>
      <c r="AE1" s="1">
        <f>10/14</f>
        <v>0.7142857142857143</v>
      </c>
      <c r="BG1" s="916" t="s">
        <v>40</v>
      </c>
      <c r="BH1" s="917"/>
      <c r="BI1" s="36"/>
    </row>
    <row r="2" spans="1:222" s="10" customFormat="1" ht="120" customHeight="1">
      <c r="A2" s="931" t="s">
        <v>24</v>
      </c>
      <c r="B2" s="932"/>
      <c r="C2" s="652"/>
      <c r="D2" s="652"/>
      <c r="E2" s="653"/>
      <c r="F2" s="653"/>
      <c r="G2" s="653"/>
      <c r="H2" s="953" t="s">
        <v>34</v>
      </c>
      <c r="I2" s="953"/>
      <c r="J2" s="953"/>
      <c r="K2" s="953"/>
      <c r="L2" s="953"/>
      <c r="M2" s="953"/>
      <c r="N2" s="953"/>
      <c r="O2" s="953"/>
      <c r="P2" s="953"/>
      <c r="Q2" s="953"/>
      <c r="R2" s="953"/>
      <c r="S2" s="953"/>
      <c r="T2" s="654"/>
      <c r="U2" s="654"/>
      <c r="V2" s="654"/>
      <c r="W2" s="654"/>
      <c r="X2" s="653"/>
      <c r="Y2" s="953" t="s">
        <v>28</v>
      </c>
      <c r="Z2" s="953"/>
      <c r="AA2" s="953"/>
      <c r="AB2" s="953"/>
      <c r="AC2" s="953"/>
      <c r="AD2" s="953"/>
      <c r="AE2" s="953"/>
      <c r="AF2" s="953"/>
      <c r="AG2" s="953"/>
      <c r="AH2" s="953" t="s">
        <v>35</v>
      </c>
      <c r="AI2" s="953"/>
      <c r="AJ2" s="953"/>
      <c r="AK2" s="953"/>
      <c r="AL2" s="953"/>
      <c r="AM2" s="953"/>
      <c r="AN2" s="953"/>
      <c r="AO2" s="953"/>
      <c r="AP2" s="953"/>
      <c r="AQ2" s="655"/>
      <c r="AR2" s="655"/>
      <c r="AS2" s="655"/>
      <c r="AT2" s="655"/>
      <c r="AU2" s="655"/>
      <c r="AV2" s="655"/>
      <c r="AW2" s="655"/>
      <c r="AX2" s="655"/>
      <c r="AY2" s="655"/>
      <c r="AZ2" s="655"/>
      <c r="BA2" s="655"/>
      <c r="BB2" s="655"/>
      <c r="BC2" s="655"/>
      <c r="BD2" s="655"/>
      <c r="BE2" s="655"/>
      <c r="BF2" s="655"/>
      <c r="BG2" s="908" t="s">
        <v>24</v>
      </c>
      <c r="BH2" s="908"/>
      <c r="BI2" s="652"/>
      <c r="BJ2" s="653"/>
      <c r="BK2" s="653"/>
      <c r="BL2" s="653"/>
      <c r="BM2" s="653"/>
      <c r="BN2" s="653"/>
      <c r="BO2" s="653"/>
      <c r="BP2" s="653"/>
      <c r="BQ2" s="653"/>
      <c r="BR2" s="653"/>
      <c r="BS2" s="653"/>
      <c r="BT2" s="653"/>
      <c r="BU2" s="653"/>
      <c r="BV2" s="653"/>
      <c r="BW2" s="653"/>
      <c r="BX2" s="653"/>
      <c r="BY2" s="653"/>
      <c r="BZ2" s="653"/>
      <c r="CA2" s="653"/>
      <c r="CB2" s="656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</row>
    <row r="3" spans="1:222" s="10" customFormat="1" ht="120" customHeight="1">
      <c r="A3" s="930" t="s">
        <v>2</v>
      </c>
      <c r="B3" s="895"/>
      <c r="C3" s="657"/>
      <c r="D3" s="657"/>
      <c r="E3" s="657"/>
      <c r="F3" s="658"/>
      <c r="G3" s="646"/>
      <c r="H3" s="895" t="s">
        <v>10</v>
      </c>
      <c r="I3" s="895"/>
      <c r="J3" s="895"/>
      <c r="K3" s="895" t="s">
        <v>29</v>
      </c>
      <c r="L3" s="895"/>
      <c r="M3" s="895"/>
      <c r="N3" s="895"/>
      <c r="O3" s="895"/>
      <c r="P3" s="895"/>
      <c r="Q3" s="895"/>
      <c r="R3" s="895"/>
      <c r="S3" s="895"/>
      <c r="T3" s="647"/>
      <c r="U3" s="647"/>
      <c r="V3" s="647"/>
      <c r="W3" s="647"/>
      <c r="X3" s="657"/>
      <c r="Y3" s="895" t="s">
        <v>12</v>
      </c>
      <c r="Z3" s="895"/>
      <c r="AA3" s="895"/>
      <c r="AB3" s="895"/>
      <c r="AC3" s="895"/>
      <c r="AD3" s="895"/>
      <c r="AE3" s="895"/>
      <c r="AF3" s="895"/>
      <c r="AG3" s="895"/>
      <c r="AH3" s="895"/>
      <c r="AI3" s="895"/>
      <c r="AJ3" s="895"/>
      <c r="AK3" s="895"/>
      <c r="AL3" s="895"/>
      <c r="AM3" s="895"/>
      <c r="AN3" s="895"/>
      <c r="AO3" s="895"/>
      <c r="AP3" s="895"/>
      <c r="AQ3" s="657"/>
      <c r="AR3" s="657"/>
      <c r="AS3" s="657"/>
      <c r="AT3" s="657"/>
      <c r="AU3" s="657"/>
      <c r="AV3" s="659"/>
      <c r="AW3" s="659"/>
      <c r="AX3" s="659"/>
      <c r="AY3" s="659"/>
      <c r="AZ3" s="659"/>
      <c r="BA3" s="659"/>
      <c r="BB3" s="659"/>
      <c r="BC3" s="659"/>
      <c r="BD3" s="659"/>
      <c r="BE3" s="659"/>
      <c r="BF3" s="659"/>
      <c r="BG3" s="895" t="s">
        <v>3</v>
      </c>
      <c r="BH3" s="895"/>
      <c r="BI3" s="657"/>
      <c r="BJ3" s="659"/>
      <c r="BK3" s="659"/>
      <c r="BL3" s="659"/>
      <c r="BM3" s="659"/>
      <c r="BN3" s="659"/>
      <c r="BO3" s="659"/>
      <c r="BP3" s="659"/>
      <c r="BQ3" s="659"/>
      <c r="BR3" s="659"/>
      <c r="BS3" s="659"/>
      <c r="BT3" s="659"/>
      <c r="BU3" s="659"/>
      <c r="BV3" s="659"/>
      <c r="BW3" s="659"/>
      <c r="BX3" s="659"/>
      <c r="BY3" s="659"/>
      <c r="BZ3" s="659"/>
      <c r="CA3" s="659"/>
      <c r="CB3" s="660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</row>
    <row r="4" spans="1:222" s="10" customFormat="1" ht="120" customHeight="1">
      <c r="A4" s="930" t="s">
        <v>0</v>
      </c>
      <c r="B4" s="898" t="s">
        <v>42</v>
      </c>
      <c r="C4" s="898" t="s">
        <v>43</v>
      </c>
      <c r="D4" s="651">
        <v>50</v>
      </c>
      <c r="E4" s="895" t="s">
        <v>44</v>
      </c>
      <c r="F4" s="895" t="s">
        <v>136</v>
      </c>
      <c r="G4" s="895" t="s">
        <v>129</v>
      </c>
      <c r="H4" s="895"/>
      <c r="I4" s="895"/>
      <c r="J4" s="895"/>
      <c r="K4" s="895" t="s">
        <v>11</v>
      </c>
      <c r="L4" s="895"/>
      <c r="M4" s="895"/>
      <c r="N4" s="895" t="s">
        <v>38</v>
      </c>
      <c r="O4" s="895"/>
      <c r="P4" s="895"/>
      <c r="Q4" s="895" t="s">
        <v>39</v>
      </c>
      <c r="R4" s="895"/>
      <c r="S4" s="895"/>
      <c r="T4" s="895" t="s">
        <v>47</v>
      </c>
      <c r="U4" s="895"/>
      <c r="V4" s="895"/>
      <c r="W4" s="895" t="s">
        <v>126</v>
      </c>
      <c r="X4" s="895" t="s">
        <v>127</v>
      </c>
      <c r="Y4" s="895" t="s">
        <v>30</v>
      </c>
      <c r="Z4" s="895"/>
      <c r="AA4" s="895" t="s">
        <v>23</v>
      </c>
      <c r="AB4" s="895"/>
      <c r="AC4" s="895" t="s">
        <v>31</v>
      </c>
      <c r="AD4" s="895"/>
      <c r="AE4" s="895" t="s">
        <v>1</v>
      </c>
      <c r="AF4" s="895"/>
      <c r="AG4" s="895" t="s">
        <v>32</v>
      </c>
      <c r="AH4" s="895" t="s">
        <v>30</v>
      </c>
      <c r="AI4" s="895"/>
      <c r="AJ4" s="895" t="s">
        <v>23</v>
      </c>
      <c r="AK4" s="895"/>
      <c r="AL4" s="895" t="s">
        <v>31</v>
      </c>
      <c r="AM4" s="895"/>
      <c r="AN4" s="895" t="s">
        <v>1</v>
      </c>
      <c r="AO4" s="895"/>
      <c r="AP4" s="895" t="s">
        <v>32</v>
      </c>
      <c r="AQ4" s="895" t="s">
        <v>33</v>
      </c>
      <c r="AR4" s="895"/>
      <c r="AS4" s="895"/>
      <c r="AT4" s="895"/>
      <c r="AU4" s="895"/>
      <c r="AV4" s="926" t="s">
        <v>22</v>
      </c>
      <c r="AW4" s="648"/>
      <c r="AX4" s="926" t="s">
        <v>132</v>
      </c>
      <c r="AY4" s="895" t="s">
        <v>14</v>
      </c>
      <c r="AZ4" s="895" t="s">
        <v>18</v>
      </c>
      <c r="BA4" s="895" t="s">
        <v>19</v>
      </c>
      <c r="BB4" s="895" t="s">
        <v>20</v>
      </c>
      <c r="BC4" s="647"/>
      <c r="BD4" s="647"/>
      <c r="BE4" s="647"/>
      <c r="BF4" s="647"/>
      <c r="BG4" s="895" t="s">
        <v>0</v>
      </c>
      <c r="BH4" s="898" t="s">
        <v>42</v>
      </c>
      <c r="BI4" s="898" t="s">
        <v>43</v>
      </c>
      <c r="BJ4" s="895" t="s">
        <v>140</v>
      </c>
      <c r="BK4" s="895"/>
      <c r="BL4" s="927" t="s">
        <v>141</v>
      </c>
      <c r="BM4" s="927"/>
      <c r="BN4" s="895" t="s">
        <v>4</v>
      </c>
      <c r="BO4" s="895"/>
      <c r="BP4" s="895" t="s">
        <v>5</v>
      </c>
      <c r="BQ4" s="895"/>
      <c r="BR4" s="895" t="s">
        <v>6</v>
      </c>
      <c r="BS4" s="895"/>
      <c r="BT4" s="895" t="s">
        <v>7</v>
      </c>
      <c r="BU4" s="895"/>
      <c r="BV4" s="895" t="s">
        <v>8</v>
      </c>
      <c r="BW4" s="895"/>
      <c r="BX4" s="895" t="s">
        <v>9</v>
      </c>
      <c r="BY4" s="895"/>
      <c r="BZ4" s="895" t="s">
        <v>21</v>
      </c>
      <c r="CA4" s="895"/>
      <c r="CB4" s="907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</row>
    <row r="5" spans="1:222" s="23" customFormat="1" ht="120" customHeight="1">
      <c r="A5" s="930"/>
      <c r="B5" s="898"/>
      <c r="C5" s="898"/>
      <c r="D5" s="651"/>
      <c r="E5" s="895"/>
      <c r="F5" s="895"/>
      <c r="G5" s="895"/>
      <c r="H5" s="647" t="s">
        <v>16</v>
      </c>
      <c r="I5" s="647" t="s">
        <v>17</v>
      </c>
      <c r="J5" s="647" t="s">
        <v>32</v>
      </c>
      <c r="K5" s="647" t="s">
        <v>16</v>
      </c>
      <c r="L5" s="647" t="s">
        <v>17</v>
      </c>
      <c r="M5" s="647" t="s">
        <v>32</v>
      </c>
      <c r="N5" s="647" t="s">
        <v>16</v>
      </c>
      <c r="O5" s="647" t="s">
        <v>17</v>
      </c>
      <c r="P5" s="647" t="s">
        <v>32</v>
      </c>
      <c r="Q5" s="647" t="s">
        <v>16</v>
      </c>
      <c r="R5" s="647" t="s">
        <v>17</v>
      </c>
      <c r="S5" s="647" t="s">
        <v>32</v>
      </c>
      <c r="T5" s="647" t="s">
        <v>16</v>
      </c>
      <c r="U5" s="647" t="s">
        <v>17</v>
      </c>
      <c r="V5" s="647" t="s">
        <v>32</v>
      </c>
      <c r="W5" s="895"/>
      <c r="X5" s="895"/>
      <c r="Y5" s="647" t="s">
        <v>16</v>
      </c>
      <c r="Z5" s="647" t="s">
        <v>17</v>
      </c>
      <c r="AA5" s="647" t="s">
        <v>16</v>
      </c>
      <c r="AB5" s="647" t="s">
        <v>17</v>
      </c>
      <c r="AC5" s="647" t="s">
        <v>16</v>
      </c>
      <c r="AD5" s="647" t="s">
        <v>17</v>
      </c>
      <c r="AE5" s="647" t="s">
        <v>16</v>
      </c>
      <c r="AF5" s="647" t="s">
        <v>17</v>
      </c>
      <c r="AG5" s="895"/>
      <c r="AH5" s="647" t="s">
        <v>16</v>
      </c>
      <c r="AI5" s="647" t="s">
        <v>17</v>
      </c>
      <c r="AJ5" s="647" t="s">
        <v>16</v>
      </c>
      <c r="AK5" s="647" t="s">
        <v>17</v>
      </c>
      <c r="AL5" s="647" t="s">
        <v>16</v>
      </c>
      <c r="AM5" s="647" t="s">
        <v>17</v>
      </c>
      <c r="AN5" s="647" t="s">
        <v>16</v>
      </c>
      <c r="AO5" s="647" t="s">
        <v>17</v>
      </c>
      <c r="AP5" s="895"/>
      <c r="AQ5" s="647" t="s">
        <v>16</v>
      </c>
      <c r="AR5" s="647" t="s">
        <v>17</v>
      </c>
      <c r="AS5" s="647"/>
      <c r="AT5" s="647"/>
      <c r="AU5" s="647" t="s">
        <v>32</v>
      </c>
      <c r="AV5" s="926"/>
      <c r="AW5" s="648"/>
      <c r="AX5" s="926"/>
      <c r="AY5" s="895"/>
      <c r="AZ5" s="895"/>
      <c r="BA5" s="895"/>
      <c r="BB5" s="895"/>
      <c r="BC5" s="647"/>
      <c r="BD5" s="647"/>
      <c r="BE5" s="647"/>
      <c r="BF5" s="647"/>
      <c r="BG5" s="895"/>
      <c r="BH5" s="898"/>
      <c r="BI5" s="898"/>
      <c r="BJ5" s="647" t="s">
        <v>16</v>
      </c>
      <c r="BK5" s="647" t="s">
        <v>17</v>
      </c>
      <c r="BL5" s="647" t="s">
        <v>16</v>
      </c>
      <c r="BM5" s="647" t="s">
        <v>17</v>
      </c>
      <c r="BN5" s="647" t="s">
        <v>16</v>
      </c>
      <c r="BO5" s="647" t="s">
        <v>17</v>
      </c>
      <c r="BP5" s="647" t="s">
        <v>16</v>
      </c>
      <c r="BQ5" s="647" t="s">
        <v>17</v>
      </c>
      <c r="BR5" s="647" t="s">
        <v>16</v>
      </c>
      <c r="BS5" s="647" t="s">
        <v>17</v>
      </c>
      <c r="BT5" s="647" t="s">
        <v>16</v>
      </c>
      <c r="BU5" s="647" t="s">
        <v>17</v>
      </c>
      <c r="BV5" s="647" t="s">
        <v>16</v>
      </c>
      <c r="BW5" s="647" t="s">
        <v>17</v>
      </c>
      <c r="BX5" s="647" t="s">
        <v>16</v>
      </c>
      <c r="BY5" s="647" t="s">
        <v>17</v>
      </c>
      <c r="BZ5" s="647" t="s">
        <v>16</v>
      </c>
      <c r="CA5" s="647" t="s">
        <v>17</v>
      </c>
      <c r="CB5" s="661" t="s">
        <v>32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</row>
    <row r="6" spans="1:222" s="29" customFormat="1" ht="120" customHeight="1">
      <c r="A6" s="662">
        <v>1</v>
      </c>
      <c r="B6" s="663" t="str">
        <f>[1]TB07!C7</f>
        <v xml:space="preserve">CDG-UHC BALDIA </v>
      </c>
      <c r="C6" s="663" t="str">
        <f>[1]TB07!D7</f>
        <v>BALDIA</v>
      </c>
      <c r="D6" s="663"/>
      <c r="E6" s="658">
        <f>[1]TB07!E7</f>
        <v>250000</v>
      </c>
      <c r="F6" s="658">
        <f>(G6*2)+G6*0.25</f>
        <v>56.25</v>
      </c>
      <c r="G6" s="646">
        <v>25</v>
      </c>
      <c r="H6" s="663">
        <v>3</v>
      </c>
      <c r="I6" s="663">
        <v>5</v>
      </c>
      <c r="J6" s="664">
        <f>H6+I6</f>
        <v>8</v>
      </c>
      <c r="K6" s="663">
        <v>0</v>
      </c>
      <c r="L6" s="663">
        <v>3</v>
      </c>
      <c r="M6" s="664">
        <f>SUM(K6:L6)</f>
        <v>3</v>
      </c>
      <c r="N6" s="663">
        <v>0</v>
      </c>
      <c r="O6" s="663">
        <v>0</v>
      </c>
      <c r="P6" s="664">
        <f>SUM(N6:O6)</f>
        <v>0</v>
      </c>
      <c r="Q6" s="663">
        <v>0</v>
      </c>
      <c r="R6" s="663">
        <v>0</v>
      </c>
      <c r="S6" s="664">
        <f t="shared" ref="S6:S25" si="0">SUM(Q6:R6)</f>
        <v>0</v>
      </c>
      <c r="T6" s="664"/>
      <c r="U6" s="664"/>
      <c r="V6" s="664">
        <f t="shared" ref="V6:V27" si="1">SUM(T6:U6)</f>
        <v>0</v>
      </c>
      <c r="W6" s="665">
        <f>J6/G6</f>
        <v>0.32</v>
      </c>
      <c r="X6" s="666">
        <f>J6*4/(E6*0.0008)</f>
        <v>0.16</v>
      </c>
      <c r="Y6" s="667">
        <v>0</v>
      </c>
      <c r="Z6" s="667">
        <v>0</v>
      </c>
      <c r="AA6" s="667">
        <v>0</v>
      </c>
      <c r="AB6" s="663">
        <v>0</v>
      </c>
      <c r="AC6" s="663">
        <v>4</v>
      </c>
      <c r="AD6" s="663">
        <v>11</v>
      </c>
      <c r="AE6" s="663">
        <f>Y6+AA6+AC6</f>
        <v>4</v>
      </c>
      <c r="AF6" s="663">
        <f>Z6+AB6+AD6</f>
        <v>11</v>
      </c>
      <c r="AG6" s="668">
        <f>AF6+AE6</f>
        <v>15</v>
      </c>
      <c r="AH6" s="667"/>
      <c r="AI6" s="669"/>
      <c r="AJ6" s="669"/>
      <c r="AK6" s="663"/>
      <c r="AL6" s="663">
        <v>0</v>
      </c>
      <c r="AM6" s="663">
        <v>2</v>
      </c>
      <c r="AN6" s="663">
        <f>AH6+AJ6+AL6</f>
        <v>0</v>
      </c>
      <c r="AO6" s="663">
        <f>AI6+AK6+AM6</f>
        <v>2</v>
      </c>
      <c r="AP6" s="668">
        <f>AO6+AN6</f>
        <v>2</v>
      </c>
      <c r="AQ6" s="669">
        <f t="shared" ref="AQ6:AQ25" si="2">AL6+AJ6+AH6+AC6+AA6+Y6+T6+Q6+N6+K6+H6</f>
        <v>7</v>
      </c>
      <c r="AR6" s="669">
        <f t="shared" ref="AR6:AR25" si="3">AM6+AK6+AI6+AD6+AB6+Z6+U6+R6+O6+L6+I6</f>
        <v>21</v>
      </c>
      <c r="AS6" s="669">
        <v>7</v>
      </c>
      <c r="AT6" s="669">
        <v>21</v>
      </c>
      <c r="AU6" s="664">
        <f>AQ6+AR6</f>
        <v>28</v>
      </c>
      <c r="AV6" s="666">
        <f>J6/(J6+AG6)</f>
        <v>0.34782608695652173</v>
      </c>
      <c r="AW6" s="666">
        <v>0.35</v>
      </c>
      <c r="AX6" s="666">
        <f>AU6/F6</f>
        <v>0.49777777777777776</v>
      </c>
      <c r="AY6" s="666">
        <f t="shared" ref="AY6:AY27" si="4">AU6*4/(E6*0.00177)</f>
        <v>0.25310734463276835</v>
      </c>
      <c r="AZ6" s="666">
        <f t="shared" ref="AZ6:AZ27" si="5">(M6+P6+S6)/AU6</f>
        <v>0.10714285714285714</v>
      </c>
      <c r="BA6" s="670">
        <f>J6*4/E6*100000</f>
        <v>12.799999999999999</v>
      </c>
      <c r="BB6" s="671">
        <f t="shared" ref="BB6:BB27" si="6">AU6*4/E6*100000</f>
        <v>44.8</v>
      </c>
      <c r="BC6" s="671"/>
      <c r="BD6" s="671"/>
      <c r="BE6" s="671"/>
      <c r="BF6" s="671"/>
      <c r="BG6" s="664">
        <v>1</v>
      </c>
      <c r="BH6" s="663">
        <f t="shared" ref="BH6:BI20" si="7">BH121</f>
        <v>0</v>
      </c>
      <c r="BI6" s="663">
        <f t="shared" si="7"/>
        <v>0</v>
      </c>
      <c r="BJ6" s="672">
        <v>0</v>
      </c>
      <c r="BK6" s="672"/>
      <c r="BL6" s="663">
        <v>0</v>
      </c>
      <c r="BM6" s="663">
        <v>0</v>
      </c>
      <c r="BN6" s="663">
        <v>1</v>
      </c>
      <c r="BO6" s="663">
        <v>3</v>
      </c>
      <c r="BP6" s="663">
        <v>0</v>
      </c>
      <c r="BQ6" s="663">
        <v>2</v>
      </c>
      <c r="BR6" s="663">
        <v>1</v>
      </c>
      <c r="BS6" s="663">
        <v>0</v>
      </c>
      <c r="BT6" s="663">
        <v>0</v>
      </c>
      <c r="BU6" s="663">
        <v>0</v>
      </c>
      <c r="BV6" s="663">
        <v>0</v>
      </c>
      <c r="BW6" s="663">
        <v>0</v>
      </c>
      <c r="BX6" s="663">
        <v>1</v>
      </c>
      <c r="BY6" s="663"/>
      <c r="BZ6" s="669">
        <f>BL6+BN6+BP6+BR6+BT6+BV6+BX6</f>
        <v>3</v>
      </c>
      <c r="CA6" s="669">
        <f>BM6+BO6+BQ6+BS6+BU6+BW6+BY6</f>
        <v>5</v>
      </c>
      <c r="CB6" s="673">
        <f>CA6+BZ6</f>
        <v>8</v>
      </c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</row>
    <row r="7" spans="1:222" s="31" customFormat="1" ht="120" customHeight="1">
      <c r="A7" s="662">
        <v>2</v>
      </c>
      <c r="B7" s="675" t="str">
        <f>[1]TB07!C10</f>
        <v xml:space="preserve">CDG-SGH I.HAIDERI </v>
      </c>
      <c r="C7" s="675" t="str">
        <f>[1]TB07!D10</f>
        <v>BIN-QASIM</v>
      </c>
      <c r="D7" s="675"/>
      <c r="E7" s="676">
        <v>250000</v>
      </c>
      <c r="F7" s="658">
        <f t="shared" ref="F7:F25" si="8">(G7*2)+G7*0.25</f>
        <v>67.5</v>
      </c>
      <c r="G7" s="649">
        <v>30</v>
      </c>
      <c r="H7" s="675">
        <v>6</v>
      </c>
      <c r="I7" s="675">
        <v>4</v>
      </c>
      <c r="J7" s="664">
        <f t="shared" ref="J7:J26" si="9">H7+I7</f>
        <v>10</v>
      </c>
      <c r="K7" s="675">
        <v>0</v>
      </c>
      <c r="L7" s="675">
        <v>0</v>
      </c>
      <c r="M7" s="674">
        <f t="shared" ref="M7:M25" si="10">SUM(K7:L7)</f>
        <v>0</v>
      </c>
      <c r="N7" s="675">
        <v>0</v>
      </c>
      <c r="O7" s="675">
        <v>0</v>
      </c>
      <c r="P7" s="664">
        <f t="shared" ref="P7:P25" si="11">SUM(N7:O7)</f>
        <v>0</v>
      </c>
      <c r="Q7" s="675">
        <v>2</v>
      </c>
      <c r="R7" s="675">
        <v>1</v>
      </c>
      <c r="S7" s="664">
        <f>SUM(S6:S6)</f>
        <v>0</v>
      </c>
      <c r="T7" s="664"/>
      <c r="U7" s="664"/>
      <c r="V7" s="664">
        <f t="shared" si="1"/>
        <v>0</v>
      </c>
      <c r="W7" s="665">
        <f t="shared" ref="W7:W27" si="12">J7/G7</f>
        <v>0.33333333333333331</v>
      </c>
      <c r="X7" s="665">
        <f t="shared" ref="X7:X25" si="13">J7*4/(E7*0.0008)</f>
        <v>0.2</v>
      </c>
      <c r="Y7" s="668"/>
      <c r="Z7" s="668"/>
      <c r="AA7" s="668"/>
      <c r="AB7" s="675"/>
      <c r="AC7" s="675">
        <v>3</v>
      </c>
      <c r="AD7" s="675">
        <v>1</v>
      </c>
      <c r="AE7" s="663">
        <f t="shared" ref="AE7:AE25" si="14">Y7+AA7+AC7</f>
        <v>3</v>
      </c>
      <c r="AF7" s="663">
        <f t="shared" ref="AF7:AF25" si="15">Z7+AB7+AD7</f>
        <v>1</v>
      </c>
      <c r="AG7" s="668">
        <f t="shared" ref="AG7:AG25" si="16">AF7+AE7</f>
        <v>4</v>
      </c>
      <c r="AH7" s="668"/>
      <c r="AI7" s="664"/>
      <c r="AJ7" s="664"/>
      <c r="AK7" s="675"/>
      <c r="AL7" s="675">
        <v>2</v>
      </c>
      <c r="AM7" s="675">
        <v>3</v>
      </c>
      <c r="AN7" s="663">
        <f t="shared" ref="AN7:AN25" si="17">AH7+AJ7+AL7</f>
        <v>2</v>
      </c>
      <c r="AO7" s="663">
        <f t="shared" ref="AO7:AO25" si="18">AI7+AK7+AM7</f>
        <v>3</v>
      </c>
      <c r="AP7" s="668">
        <f t="shared" ref="AP7:AP25" si="19">AO7+AN7</f>
        <v>5</v>
      </c>
      <c r="AQ7" s="669">
        <f t="shared" si="2"/>
        <v>13</v>
      </c>
      <c r="AR7" s="669">
        <f t="shared" si="3"/>
        <v>9</v>
      </c>
      <c r="AS7" s="669">
        <v>13</v>
      </c>
      <c r="AT7" s="669">
        <v>9</v>
      </c>
      <c r="AU7" s="664">
        <f t="shared" ref="AU7:AU27" si="20">AQ7+AR7</f>
        <v>22</v>
      </c>
      <c r="AV7" s="666">
        <f t="shared" ref="AV7:AV27" si="21">J7/(J7+AG7)</f>
        <v>0.7142857142857143</v>
      </c>
      <c r="AW7" s="666">
        <v>0.71</v>
      </c>
      <c r="AX7" s="666">
        <f t="shared" ref="AX7:AX27" si="22">AU7/F7</f>
        <v>0.32592592592592595</v>
      </c>
      <c r="AY7" s="665">
        <f t="shared" si="4"/>
        <v>0.19887005649717515</v>
      </c>
      <c r="AZ7" s="665">
        <f t="shared" si="5"/>
        <v>0</v>
      </c>
      <c r="BA7" s="677">
        <f t="shared" ref="BA7:BA25" si="23">J7*4/E7*100000</f>
        <v>16</v>
      </c>
      <c r="BB7" s="678">
        <f t="shared" si="6"/>
        <v>35.199999999999996</v>
      </c>
      <c r="BC7" s="678"/>
      <c r="BD7" s="678"/>
      <c r="BE7" s="678"/>
      <c r="BF7" s="678"/>
      <c r="BG7" s="664">
        <v>4</v>
      </c>
      <c r="BH7" s="675">
        <f t="shared" si="7"/>
        <v>0</v>
      </c>
      <c r="BI7" s="675">
        <f t="shared" si="7"/>
        <v>0</v>
      </c>
      <c r="BJ7" s="672"/>
      <c r="BK7" s="672"/>
      <c r="BL7" s="675">
        <v>0</v>
      </c>
      <c r="BM7" s="675">
        <v>0</v>
      </c>
      <c r="BN7" s="675">
        <v>0</v>
      </c>
      <c r="BO7" s="675">
        <v>2</v>
      </c>
      <c r="BP7" s="675">
        <v>4</v>
      </c>
      <c r="BQ7" s="675">
        <v>0</v>
      </c>
      <c r="BR7" s="675">
        <v>0</v>
      </c>
      <c r="BS7" s="675">
        <v>0</v>
      </c>
      <c r="BT7" s="675">
        <v>0</v>
      </c>
      <c r="BU7" s="675">
        <v>1</v>
      </c>
      <c r="BV7" s="675">
        <v>2</v>
      </c>
      <c r="BW7" s="675">
        <v>0</v>
      </c>
      <c r="BX7" s="675">
        <v>0</v>
      </c>
      <c r="BY7" s="675">
        <v>1</v>
      </c>
      <c r="BZ7" s="669">
        <f t="shared" ref="BZ7:BZ26" si="24">BL7+BN7+BP7+BR7+BT7+BV7+BX7</f>
        <v>6</v>
      </c>
      <c r="CA7" s="669">
        <f t="shared" ref="CA7:CA26" si="25">BM7+BO7+BQ7+BS7+BU7+BW7+BY7</f>
        <v>4</v>
      </c>
      <c r="CB7" s="673">
        <f t="shared" ref="CB7:CB26" si="26">CA7+BZ7</f>
        <v>10</v>
      </c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</row>
    <row r="8" spans="1:222" s="29" customFormat="1" ht="120" customHeight="1">
      <c r="A8" s="662">
        <v>3</v>
      </c>
      <c r="B8" s="663" t="str">
        <f>[1]TB07!C11</f>
        <v>CDG- LEPROSY HOSPITAL</v>
      </c>
      <c r="C8" s="663" t="str">
        <f>[1]TB07!D11</f>
        <v>GADAP</v>
      </c>
      <c r="D8" s="663"/>
      <c r="E8" s="658">
        <f>[1]TB07!E11</f>
        <v>100000</v>
      </c>
      <c r="F8" s="658">
        <f t="shared" si="8"/>
        <v>67.5</v>
      </c>
      <c r="G8" s="649">
        <v>30</v>
      </c>
      <c r="H8" s="663">
        <v>1</v>
      </c>
      <c r="I8" s="663">
        <v>8</v>
      </c>
      <c r="J8" s="664">
        <f t="shared" si="9"/>
        <v>9</v>
      </c>
      <c r="K8" s="663">
        <v>0</v>
      </c>
      <c r="L8" s="663">
        <v>0</v>
      </c>
      <c r="M8" s="664">
        <f t="shared" si="10"/>
        <v>0</v>
      </c>
      <c r="N8" s="663">
        <v>0</v>
      </c>
      <c r="O8" s="663">
        <v>0</v>
      </c>
      <c r="P8" s="664">
        <f t="shared" si="11"/>
        <v>0</v>
      </c>
      <c r="Q8" s="663">
        <v>0</v>
      </c>
      <c r="R8" s="663">
        <v>0</v>
      </c>
      <c r="S8" s="664">
        <f t="shared" si="0"/>
        <v>0</v>
      </c>
      <c r="T8" s="664"/>
      <c r="U8" s="664"/>
      <c r="V8" s="664">
        <f t="shared" si="1"/>
        <v>0</v>
      </c>
      <c r="W8" s="665">
        <f t="shared" si="12"/>
        <v>0.3</v>
      </c>
      <c r="X8" s="666">
        <f t="shared" si="13"/>
        <v>0.45</v>
      </c>
      <c r="Y8" s="667"/>
      <c r="Z8" s="667"/>
      <c r="AA8" s="667"/>
      <c r="AB8" s="663"/>
      <c r="AC8" s="663">
        <v>2</v>
      </c>
      <c r="AD8" s="663">
        <v>1</v>
      </c>
      <c r="AE8" s="663">
        <f t="shared" si="14"/>
        <v>2</v>
      </c>
      <c r="AF8" s="663">
        <f t="shared" si="15"/>
        <v>1</v>
      </c>
      <c r="AG8" s="668">
        <f t="shared" si="16"/>
        <v>3</v>
      </c>
      <c r="AH8" s="667"/>
      <c r="AI8" s="669"/>
      <c r="AJ8" s="669"/>
      <c r="AK8" s="663"/>
      <c r="AL8" s="663">
        <v>1</v>
      </c>
      <c r="AM8" s="663">
        <v>1</v>
      </c>
      <c r="AN8" s="663">
        <f t="shared" si="17"/>
        <v>1</v>
      </c>
      <c r="AO8" s="663">
        <f t="shared" si="18"/>
        <v>1</v>
      </c>
      <c r="AP8" s="668">
        <f t="shared" si="19"/>
        <v>2</v>
      </c>
      <c r="AQ8" s="669">
        <f t="shared" si="2"/>
        <v>4</v>
      </c>
      <c r="AR8" s="669">
        <f t="shared" si="3"/>
        <v>10</v>
      </c>
      <c r="AS8" s="669">
        <v>4</v>
      </c>
      <c r="AT8" s="669">
        <v>10</v>
      </c>
      <c r="AU8" s="664">
        <f t="shared" si="20"/>
        <v>14</v>
      </c>
      <c r="AV8" s="666">
        <f t="shared" si="21"/>
        <v>0.75</v>
      </c>
      <c r="AW8" s="666">
        <v>0.75</v>
      </c>
      <c r="AX8" s="666">
        <f t="shared" si="22"/>
        <v>0.2074074074074074</v>
      </c>
      <c r="AY8" s="666">
        <f t="shared" si="4"/>
        <v>0.31638418079096048</v>
      </c>
      <c r="AZ8" s="666">
        <f t="shared" si="5"/>
        <v>0</v>
      </c>
      <c r="BA8" s="670">
        <f t="shared" si="23"/>
        <v>36</v>
      </c>
      <c r="BB8" s="671">
        <f t="shared" si="6"/>
        <v>55.999999999999993</v>
      </c>
      <c r="BC8" s="671"/>
      <c r="BD8" s="671"/>
      <c r="BE8" s="671"/>
      <c r="BF8" s="671"/>
      <c r="BG8" s="664">
        <v>5</v>
      </c>
      <c r="BH8" s="663">
        <f t="shared" si="7"/>
        <v>0</v>
      </c>
      <c r="BI8" s="663">
        <f t="shared" si="7"/>
        <v>0</v>
      </c>
      <c r="BJ8" s="672"/>
      <c r="BK8" s="672"/>
      <c r="BL8" s="663">
        <v>0</v>
      </c>
      <c r="BM8" s="663">
        <v>2</v>
      </c>
      <c r="BN8" s="663">
        <v>0</v>
      </c>
      <c r="BO8" s="663">
        <v>1</v>
      </c>
      <c r="BP8" s="663">
        <v>0</v>
      </c>
      <c r="BQ8" s="663">
        <v>0</v>
      </c>
      <c r="BR8" s="663">
        <v>0</v>
      </c>
      <c r="BS8" s="663">
        <v>4</v>
      </c>
      <c r="BT8" s="663">
        <v>0</v>
      </c>
      <c r="BU8" s="663">
        <v>0</v>
      </c>
      <c r="BV8" s="663">
        <v>1</v>
      </c>
      <c r="BW8" s="663">
        <v>0</v>
      </c>
      <c r="BX8" s="663">
        <v>0</v>
      </c>
      <c r="BY8" s="663">
        <v>1</v>
      </c>
      <c r="BZ8" s="669">
        <f t="shared" si="24"/>
        <v>1</v>
      </c>
      <c r="CA8" s="669">
        <f t="shared" si="25"/>
        <v>8</v>
      </c>
      <c r="CB8" s="673">
        <f t="shared" si="26"/>
        <v>9</v>
      </c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</row>
    <row r="9" spans="1:222" s="31" customFormat="1" ht="120" customHeight="1">
      <c r="A9" s="662">
        <v>4</v>
      </c>
      <c r="B9" s="675" t="str">
        <f>[1]TB07!C12</f>
        <v xml:space="preserve">CDG-RHC MURAD MEMON GOTH </v>
      </c>
      <c r="C9" s="675" t="str">
        <f>[1]TB07!D12</f>
        <v>GADAP</v>
      </c>
      <c r="D9" s="675"/>
      <c r="E9" s="676">
        <f>[1]TB07!E12</f>
        <v>100000</v>
      </c>
      <c r="F9" s="658">
        <f t="shared" si="8"/>
        <v>56.25</v>
      </c>
      <c r="G9" s="649">
        <v>25</v>
      </c>
      <c r="H9" s="675">
        <v>4</v>
      </c>
      <c r="I9" s="675">
        <v>2</v>
      </c>
      <c r="J9" s="664">
        <f t="shared" si="9"/>
        <v>6</v>
      </c>
      <c r="K9" s="675">
        <v>3</v>
      </c>
      <c r="L9" s="675">
        <v>1</v>
      </c>
      <c r="M9" s="664">
        <f t="shared" si="10"/>
        <v>4</v>
      </c>
      <c r="N9" s="675">
        <v>0</v>
      </c>
      <c r="O9" s="675">
        <v>1</v>
      </c>
      <c r="P9" s="664">
        <f t="shared" si="11"/>
        <v>1</v>
      </c>
      <c r="Q9" s="675">
        <v>0</v>
      </c>
      <c r="R9" s="675">
        <v>0</v>
      </c>
      <c r="S9" s="664">
        <f t="shared" si="0"/>
        <v>0</v>
      </c>
      <c r="T9" s="664"/>
      <c r="U9" s="664"/>
      <c r="V9" s="664">
        <f t="shared" si="1"/>
        <v>0</v>
      </c>
      <c r="W9" s="665">
        <f t="shared" si="12"/>
        <v>0.24</v>
      </c>
      <c r="X9" s="665">
        <f t="shared" si="13"/>
        <v>0.3</v>
      </c>
      <c r="Y9" s="668"/>
      <c r="Z9" s="668"/>
      <c r="AA9" s="668"/>
      <c r="AB9" s="675"/>
      <c r="AC9" s="675">
        <v>0</v>
      </c>
      <c r="AD9" s="675">
        <v>2</v>
      </c>
      <c r="AE9" s="663">
        <f t="shared" si="14"/>
        <v>0</v>
      </c>
      <c r="AF9" s="663">
        <f t="shared" si="15"/>
        <v>2</v>
      </c>
      <c r="AG9" s="668">
        <f t="shared" si="16"/>
        <v>2</v>
      </c>
      <c r="AH9" s="668"/>
      <c r="AI9" s="664"/>
      <c r="AJ9" s="664"/>
      <c r="AK9" s="675"/>
      <c r="AL9" s="675">
        <v>1</v>
      </c>
      <c r="AM9" s="675">
        <v>1</v>
      </c>
      <c r="AN9" s="663">
        <f t="shared" si="17"/>
        <v>1</v>
      </c>
      <c r="AO9" s="663">
        <f t="shared" si="18"/>
        <v>1</v>
      </c>
      <c r="AP9" s="668">
        <f t="shared" si="19"/>
        <v>2</v>
      </c>
      <c r="AQ9" s="669">
        <f t="shared" si="2"/>
        <v>8</v>
      </c>
      <c r="AR9" s="669">
        <f t="shared" si="3"/>
        <v>7</v>
      </c>
      <c r="AS9" s="669">
        <v>8</v>
      </c>
      <c r="AT9" s="669">
        <v>7</v>
      </c>
      <c r="AU9" s="664">
        <f t="shared" si="20"/>
        <v>15</v>
      </c>
      <c r="AV9" s="666">
        <f t="shared" si="21"/>
        <v>0.75</v>
      </c>
      <c r="AW9" s="666">
        <v>0.75</v>
      </c>
      <c r="AX9" s="666">
        <f t="shared" si="22"/>
        <v>0.26666666666666666</v>
      </c>
      <c r="AY9" s="665">
        <f t="shared" si="4"/>
        <v>0.33898305084745761</v>
      </c>
      <c r="AZ9" s="665">
        <f t="shared" si="5"/>
        <v>0.33333333333333331</v>
      </c>
      <c r="BA9" s="677">
        <f t="shared" si="23"/>
        <v>24</v>
      </c>
      <c r="BB9" s="678">
        <f t="shared" si="6"/>
        <v>59.999999999999993</v>
      </c>
      <c r="BC9" s="678"/>
      <c r="BD9" s="678"/>
      <c r="BE9" s="678"/>
      <c r="BF9" s="678"/>
      <c r="BG9" s="664">
        <v>6</v>
      </c>
      <c r="BH9" s="675">
        <f t="shared" si="7"/>
        <v>0</v>
      </c>
      <c r="BI9" s="675">
        <f t="shared" si="7"/>
        <v>0</v>
      </c>
      <c r="BJ9" s="672"/>
      <c r="BK9" s="672"/>
      <c r="BL9" s="675">
        <v>0</v>
      </c>
      <c r="BM9" s="675">
        <v>0</v>
      </c>
      <c r="BN9" s="675">
        <v>1</v>
      </c>
      <c r="BO9" s="675">
        <v>2</v>
      </c>
      <c r="BP9" s="675">
        <v>2</v>
      </c>
      <c r="BQ9" s="675">
        <v>0</v>
      </c>
      <c r="BR9" s="675">
        <v>0</v>
      </c>
      <c r="BS9" s="675">
        <v>0</v>
      </c>
      <c r="BT9" s="675">
        <v>0</v>
      </c>
      <c r="BU9" s="675">
        <v>0</v>
      </c>
      <c r="BV9" s="675">
        <v>1</v>
      </c>
      <c r="BW9" s="675">
        <v>0</v>
      </c>
      <c r="BX9" s="675">
        <v>0</v>
      </c>
      <c r="BY9" s="675">
        <v>0</v>
      </c>
      <c r="BZ9" s="669">
        <f t="shared" si="24"/>
        <v>4</v>
      </c>
      <c r="CA9" s="669">
        <f t="shared" si="25"/>
        <v>2</v>
      </c>
      <c r="CB9" s="673">
        <f t="shared" si="26"/>
        <v>6</v>
      </c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</row>
    <row r="10" spans="1:222" s="29" customFormat="1" ht="120" customHeight="1">
      <c r="A10" s="662">
        <v>5</v>
      </c>
      <c r="B10" s="663" t="s">
        <v>138</v>
      </c>
      <c r="C10" s="663" t="str">
        <f>[1]TB07!D13</f>
        <v>GULBERG</v>
      </c>
      <c r="D10" s="663"/>
      <c r="E10" s="658">
        <f>[1]TB07!E13</f>
        <v>500000</v>
      </c>
      <c r="F10" s="658">
        <f t="shared" si="8"/>
        <v>56.25</v>
      </c>
      <c r="G10" s="646">
        <v>25</v>
      </c>
      <c r="H10" s="663">
        <v>4</v>
      </c>
      <c r="I10" s="663">
        <v>3</v>
      </c>
      <c r="J10" s="664">
        <f t="shared" si="9"/>
        <v>7</v>
      </c>
      <c r="K10" s="663">
        <v>0</v>
      </c>
      <c r="L10" s="663">
        <v>0</v>
      </c>
      <c r="M10" s="664">
        <f t="shared" si="10"/>
        <v>0</v>
      </c>
      <c r="N10" s="663">
        <v>0</v>
      </c>
      <c r="O10" s="663">
        <v>0</v>
      </c>
      <c r="P10" s="664">
        <f t="shared" si="11"/>
        <v>0</v>
      </c>
      <c r="Q10" s="663">
        <v>0</v>
      </c>
      <c r="R10" s="663">
        <v>0</v>
      </c>
      <c r="S10" s="664">
        <f>SUM(S8:S9)</f>
        <v>0</v>
      </c>
      <c r="T10" s="664"/>
      <c r="U10" s="664"/>
      <c r="V10" s="664">
        <f t="shared" si="1"/>
        <v>0</v>
      </c>
      <c r="W10" s="665">
        <f t="shared" si="12"/>
        <v>0.28000000000000003</v>
      </c>
      <c r="X10" s="666">
        <f t="shared" si="13"/>
        <v>7.0000000000000007E-2</v>
      </c>
      <c r="Y10" s="667"/>
      <c r="Z10" s="667"/>
      <c r="AA10" s="667"/>
      <c r="AB10" s="663"/>
      <c r="AC10" s="663">
        <v>1</v>
      </c>
      <c r="AD10" s="663">
        <v>4</v>
      </c>
      <c r="AE10" s="663">
        <v>1</v>
      </c>
      <c r="AF10" s="663">
        <f t="shared" si="15"/>
        <v>4</v>
      </c>
      <c r="AG10" s="668">
        <f t="shared" si="16"/>
        <v>5</v>
      </c>
      <c r="AH10" s="667"/>
      <c r="AI10" s="669"/>
      <c r="AJ10" s="669"/>
      <c r="AK10" s="663"/>
      <c r="AL10" s="663">
        <v>0</v>
      </c>
      <c r="AM10" s="663">
        <v>4</v>
      </c>
      <c r="AN10" s="663">
        <f t="shared" si="17"/>
        <v>0</v>
      </c>
      <c r="AO10" s="663">
        <f t="shared" si="18"/>
        <v>4</v>
      </c>
      <c r="AP10" s="668">
        <f t="shared" si="19"/>
        <v>4</v>
      </c>
      <c r="AQ10" s="669">
        <f t="shared" si="2"/>
        <v>5</v>
      </c>
      <c r="AR10" s="669">
        <f t="shared" si="3"/>
        <v>11</v>
      </c>
      <c r="AS10" s="669">
        <v>5</v>
      </c>
      <c r="AT10" s="669">
        <v>11</v>
      </c>
      <c r="AU10" s="664">
        <f t="shared" si="20"/>
        <v>16</v>
      </c>
      <c r="AV10" s="666">
        <f t="shared" si="21"/>
        <v>0.58333333333333337</v>
      </c>
      <c r="AW10" s="666">
        <v>0.57999999999999996</v>
      </c>
      <c r="AX10" s="666">
        <f t="shared" si="22"/>
        <v>0.28444444444444444</v>
      </c>
      <c r="AY10" s="666">
        <f t="shared" si="4"/>
        <v>7.2316384180790963E-2</v>
      </c>
      <c r="AZ10" s="666">
        <f t="shared" si="5"/>
        <v>0</v>
      </c>
      <c r="BA10" s="670">
        <f t="shared" si="23"/>
        <v>5.6</v>
      </c>
      <c r="BB10" s="671">
        <f t="shared" si="6"/>
        <v>12.799999999999999</v>
      </c>
      <c r="BC10" s="671"/>
      <c r="BD10" s="671"/>
      <c r="BE10" s="671"/>
      <c r="BF10" s="671"/>
      <c r="BG10" s="664">
        <v>7</v>
      </c>
      <c r="BH10" s="663">
        <f t="shared" si="7"/>
        <v>0</v>
      </c>
      <c r="BI10" s="663">
        <f t="shared" si="7"/>
        <v>0</v>
      </c>
      <c r="BJ10" s="672"/>
      <c r="BK10" s="672"/>
      <c r="BL10" s="663">
        <v>0</v>
      </c>
      <c r="BM10" s="663">
        <v>0</v>
      </c>
      <c r="BN10" s="663">
        <v>2</v>
      </c>
      <c r="BO10" s="663">
        <v>1</v>
      </c>
      <c r="BP10" s="663">
        <v>1</v>
      </c>
      <c r="BQ10" s="663">
        <v>0</v>
      </c>
      <c r="BR10" s="663">
        <v>0</v>
      </c>
      <c r="BS10" s="663">
        <v>2</v>
      </c>
      <c r="BT10" s="663">
        <v>0</v>
      </c>
      <c r="BU10" s="663">
        <v>0</v>
      </c>
      <c r="BV10" s="663">
        <v>0</v>
      </c>
      <c r="BW10" s="663">
        <v>0</v>
      </c>
      <c r="BX10" s="663">
        <v>1</v>
      </c>
      <c r="BY10" s="663">
        <v>0</v>
      </c>
      <c r="BZ10" s="669">
        <f t="shared" si="24"/>
        <v>4</v>
      </c>
      <c r="CA10" s="669">
        <f t="shared" si="25"/>
        <v>3</v>
      </c>
      <c r="CB10" s="673">
        <f t="shared" si="26"/>
        <v>7</v>
      </c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</row>
    <row r="11" spans="1:222" s="29" customFormat="1" ht="120" customHeight="1">
      <c r="A11" s="662">
        <v>6</v>
      </c>
      <c r="B11" s="663" t="str">
        <f>[1]TB07!C15</f>
        <v xml:space="preserve">CDG-MEHMOODAABAD MAT.HOME </v>
      </c>
      <c r="C11" s="663" t="str">
        <f>[1]TB07!D15</f>
        <v>JAMSHED</v>
      </c>
      <c r="D11" s="663"/>
      <c r="E11" s="658">
        <f>[1]TB07!E15</f>
        <v>250000</v>
      </c>
      <c r="F11" s="658">
        <f t="shared" si="8"/>
        <v>56.25</v>
      </c>
      <c r="G11" s="649">
        <v>25</v>
      </c>
      <c r="H11" s="663">
        <v>2</v>
      </c>
      <c r="I11" s="663">
        <v>0</v>
      </c>
      <c r="J11" s="664">
        <f t="shared" si="9"/>
        <v>2</v>
      </c>
      <c r="K11" s="663">
        <v>0</v>
      </c>
      <c r="L11" s="663">
        <v>0</v>
      </c>
      <c r="M11" s="664">
        <f t="shared" si="10"/>
        <v>0</v>
      </c>
      <c r="N11" s="663">
        <v>0</v>
      </c>
      <c r="O11" s="663">
        <v>0</v>
      </c>
      <c r="P11" s="664">
        <f t="shared" si="11"/>
        <v>0</v>
      </c>
      <c r="Q11" s="663">
        <v>0</v>
      </c>
      <c r="R11" s="663">
        <v>0</v>
      </c>
      <c r="S11" s="664">
        <f t="shared" si="0"/>
        <v>0</v>
      </c>
      <c r="T11" s="664"/>
      <c r="U11" s="664"/>
      <c r="V11" s="664">
        <f t="shared" si="1"/>
        <v>0</v>
      </c>
      <c r="W11" s="665">
        <f t="shared" si="12"/>
        <v>0.08</v>
      </c>
      <c r="X11" s="666">
        <f t="shared" si="13"/>
        <v>0.04</v>
      </c>
      <c r="Y11" s="667"/>
      <c r="Z11" s="667"/>
      <c r="AA11" s="667"/>
      <c r="AB11" s="663"/>
      <c r="AC11" s="663">
        <v>0</v>
      </c>
      <c r="AD11" s="663">
        <v>1</v>
      </c>
      <c r="AE11" s="663">
        <f t="shared" si="14"/>
        <v>0</v>
      </c>
      <c r="AF11" s="663">
        <f t="shared" si="15"/>
        <v>1</v>
      </c>
      <c r="AG11" s="668">
        <f t="shared" si="16"/>
        <v>1</v>
      </c>
      <c r="AH11" s="667"/>
      <c r="AI11" s="669"/>
      <c r="AJ11" s="669"/>
      <c r="AK11" s="663"/>
      <c r="AL11" s="663">
        <v>1</v>
      </c>
      <c r="AM11" s="663">
        <v>2</v>
      </c>
      <c r="AN11" s="663">
        <f t="shared" si="17"/>
        <v>1</v>
      </c>
      <c r="AO11" s="663">
        <f t="shared" si="18"/>
        <v>2</v>
      </c>
      <c r="AP11" s="668">
        <f t="shared" si="19"/>
        <v>3</v>
      </c>
      <c r="AQ11" s="669">
        <f t="shared" si="2"/>
        <v>3</v>
      </c>
      <c r="AR11" s="669">
        <f t="shared" si="3"/>
        <v>3</v>
      </c>
      <c r="AS11" s="669">
        <v>3</v>
      </c>
      <c r="AT11" s="669">
        <v>3</v>
      </c>
      <c r="AU11" s="664">
        <f t="shared" si="20"/>
        <v>6</v>
      </c>
      <c r="AV11" s="666">
        <f t="shared" si="21"/>
        <v>0.66666666666666663</v>
      </c>
      <c r="AW11" s="666">
        <v>0.67</v>
      </c>
      <c r="AX11" s="666">
        <f t="shared" si="22"/>
        <v>0.10666666666666667</v>
      </c>
      <c r="AY11" s="666">
        <f t="shared" si="4"/>
        <v>5.4237288135593219E-2</v>
      </c>
      <c r="AZ11" s="666">
        <f t="shared" si="5"/>
        <v>0</v>
      </c>
      <c r="BA11" s="670">
        <f t="shared" si="23"/>
        <v>3.1999999999999997</v>
      </c>
      <c r="BB11" s="671">
        <f t="shared" si="6"/>
        <v>9.6</v>
      </c>
      <c r="BC11" s="671"/>
      <c r="BD11" s="671"/>
      <c r="BE11" s="671"/>
      <c r="BF11" s="671"/>
      <c r="BG11" s="664">
        <v>9</v>
      </c>
      <c r="BH11" s="663">
        <f t="shared" si="7"/>
        <v>0</v>
      </c>
      <c r="BI11" s="663">
        <f t="shared" si="7"/>
        <v>0</v>
      </c>
      <c r="BJ11" s="672">
        <v>0</v>
      </c>
      <c r="BK11" s="672">
        <v>0</v>
      </c>
      <c r="BL11" s="663">
        <v>0</v>
      </c>
      <c r="BM11" s="663">
        <v>0</v>
      </c>
      <c r="BN11" s="663">
        <v>0</v>
      </c>
      <c r="BO11" s="663">
        <v>0</v>
      </c>
      <c r="BP11" s="663">
        <v>2</v>
      </c>
      <c r="BQ11" s="663">
        <v>0</v>
      </c>
      <c r="BR11" s="663">
        <v>0</v>
      </c>
      <c r="BS11" s="663">
        <v>0</v>
      </c>
      <c r="BT11" s="663">
        <v>0</v>
      </c>
      <c r="BU11" s="663">
        <v>0</v>
      </c>
      <c r="BV11" s="663">
        <v>0</v>
      </c>
      <c r="BW11" s="663">
        <v>0</v>
      </c>
      <c r="BX11" s="663">
        <v>0</v>
      </c>
      <c r="BY11" s="663">
        <v>0</v>
      </c>
      <c r="BZ11" s="669">
        <f t="shared" si="24"/>
        <v>2</v>
      </c>
      <c r="CA11" s="669">
        <f t="shared" si="25"/>
        <v>0</v>
      </c>
      <c r="CB11" s="673">
        <f t="shared" si="26"/>
        <v>2</v>
      </c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</row>
    <row r="12" spans="1:222" s="31" customFormat="1" ht="120" customHeight="1">
      <c r="A12" s="662">
        <v>7</v>
      </c>
      <c r="B12" s="675" t="str">
        <f>[1]TB07!C16</f>
        <v xml:space="preserve">CDG-SGD ABESENA-LINE </v>
      </c>
      <c r="C12" s="675" t="str">
        <f>[1]TB07!D16</f>
        <v>JAMSHED</v>
      </c>
      <c r="D12" s="675"/>
      <c r="E12" s="676">
        <f>[1]TB07!E16</f>
        <v>200000</v>
      </c>
      <c r="F12" s="658">
        <f t="shared" si="8"/>
        <v>56.25</v>
      </c>
      <c r="G12" s="649">
        <v>25</v>
      </c>
      <c r="H12" s="675">
        <v>0</v>
      </c>
      <c r="I12" s="675">
        <v>0</v>
      </c>
      <c r="J12" s="664">
        <f t="shared" si="9"/>
        <v>0</v>
      </c>
      <c r="K12" s="675">
        <v>0</v>
      </c>
      <c r="L12" s="675">
        <v>0</v>
      </c>
      <c r="M12" s="664">
        <f t="shared" si="10"/>
        <v>0</v>
      </c>
      <c r="N12" s="675">
        <v>0</v>
      </c>
      <c r="O12" s="675">
        <v>0</v>
      </c>
      <c r="P12" s="664">
        <f t="shared" si="11"/>
        <v>0</v>
      </c>
      <c r="Q12" s="675">
        <v>1</v>
      </c>
      <c r="R12" s="675">
        <v>0</v>
      </c>
      <c r="S12" s="664">
        <f>SUM(S11:S11)</f>
        <v>0</v>
      </c>
      <c r="T12" s="664"/>
      <c r="U12" s="664"/>
      <c r="V12" s="664">
        <f t="shared" si="1"/>
        <v>0</v>
      </c>
      <c r="W12" s="665">
        <f t="shared" si="12"/>
        <v>0</v>
      </c>
      <c r="X12" s="665">
        <f t="shared" si="13"/>
        <v>0</v>
      </c>
      <c r="Y12" s="668"/>
      <c r="Z12" s="668"/>
      <c r="AA12" s="668"/>
      <c r="AB12" s="675"/>
      <c r="AC12" s="675">
        <v>6</v>
      </c>
      <c r="AD12" s="675">
        <v>2</v>
      </c>
      <c r="AE12" s="663">
        <f t="shared" si="14"/>
        <v>6</v>
      </c>
      <c r="AF12" s="663">
        <f t="shared" si="15"/>
        <v>2</v>
      </c>
      <c r="AG12" s="668">
        <f t="shared" si="16"/>
        <v>8</v>
      </c>
      <c r="AH12" s="668"/>
      <c r="AI12" s="664"/>
      <c r="AJ12" s="664"/>
      <c r="AK12" s="675"/>
      <c r="AL12" s="675">
        <v>0</v>
      </c>
      <c r="AM12" s="675">
        <v>0</v>
      </c>
      <c r="AN12" s="663">
        <f t="shared" si="17"/>
        <v>0</v>
      </c>
      <c r="AO12" s="663">
        <f t="shared" si="18"/>
        <v>0</v>
      </c>
      <c r="AP12" s="668">
        <f t="shared" si="19"/>
        <v>0</v>
      </c>
      <c r="AQ12" s="669">
        <f t="shared" si="2"/>
        <v>7</v>
      </c>
      <c r="AR12" s="669">
        <f t="shared" si="3"/>
        <v>2</v>
      </c>
      <c r="AS12" s="669">
        <v>7</v>
      </c>
      <c r="AT12" s="669">
        <v>2</v>
      </c>
      <c r="AU12" s="664">
        <f t="shared" si="20"/>
        <v>9</v>
      </c>
      <c r="AV12" s="666">
        <f t="shared" si="21"/>
        <v>0</v>
      </c>
      <c r="AW12" s="666">
        <v>0</v>
      </c>
      <c r="AX12" s="666">
        <f t="shared" si="22"/>
        <v>0.16</v>
      </c>
      <c r="AY12" s="665">
        <f t="shared" si="4"/>
        <v>0.10169491525423729</v>
      </c>
      <c r="AZ12" s="665">
        <f t="shared" si="5"/>
        <v>0</v>
      </c>
      <c r="BA12" s="677">
        <f t="shared" si="23"/>
        <v>0</v>
      </c>
      <c r="BB12" s="678">
        <f t="shared" si="6"/>
        <v>18</v>
      </c>
      <c r="BC12" s="678"/>
      <c r="BD12" s="678"/>
      <c r="BE12" s="678"/>
      <c r="BF12" s="678"/>
      <c r="BG12" s="664">
        <v>10</v>
      </c>
      <c r="BH12" s="675">
        <f t="shared" si="7"/>
        <v>0</v>
      </c>
      <c r="BI12" s="675">
        <f t="shared" si="7"/>
        <v>0</v>
      </c>
      <c r="BJ12" s="672">
        <v>0</v>
      </c>
      <c r="BK12" s="672">
        <v>0</v>
      </c>
      <c r="BL12" s="663">
        <v>0</v>
      </c>
      <c r="BM12" s="663">
        <v>0</v>
      </c>
      <c r="BN12" s="663">
        <v>0</v>
      </c>
      <c r="BO12" s="663">
        <v>0</v>
      </c>
      <c r="BP12" s="663">
        <v>0</v>
      </c>
      <c r="BQ12" s="663">
        <v>0</v>
      </c>
      <c r="BR12" s="663">
        <v>0</v>
      </c>
      <c r="BS12" s="663">
        <v>0</v>
      </c>
      <c r="BT12" s="663">
        <v>0</v>
      </c>
      <c r="BU12" s="663">
        <v>0</v>
      </c>
      <c r="BV12" s="663">
        <v>0</v>
      </c>
      <c r="BW12" s="663">
        <v>0</v>
      </c>
      <c r="BX12" s="663">
        <v>0</v>
      </c>
      <c r="BY12" s="663">
        <v>0</v>
      </c>
      <c r="BZ12" s="669">
        <f t="shared" si="24"/>
        <v>0</v>
      </c>
      <c r="CA12" s="669">
        <f t="shared" si="25"/>
        <v>0</v>
      </c>
      <c r="CB12" s="673">
        <f t="shared" si="26"/>
        <v>0</v>
      </c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</row>
    <row r="13" spans="1:222" s="29" customFormat="1" ht="120" customHeight="1">
      <c r="A13" s="662">
        <v>8</v>
      </c>
      <c r="B13" s="679" t="str">
        <f>[1]TB07!C17</f>
        <v xml:space="preserve">CDG-RHC KEMARI </v>
      </c>
      <c r="C13" s="679" t="str">
        <f>[1]TB07!D17</f>
        <v>KEMARI</v>
      </c>
      <c r="D13" s="679"/>
      <c r="E13" s="680">
        <f>[1]TB07!E17</f>
        <v>150000</v>
      </c>
      <c r="F13" s="658">
        <f t="shared" si="8"/>
        <v>56.25</v>
      </c>
      <c r="G13" s="649">
        <v>25</v>
      </c>
      <c r="H13" s="679">
        <v>2</v>
      </c>
      <c r="I13" s="679">
        <v>3</v>
      </c>
      <c r="J13" s="664">
        <f t="shared" si="9"/>
        <v>5</v>
      </c>
      <c r="K13" s="679">
        <v>0</v>
      </c>
      <c r="L13" s="679">
        <v>0</v>
      </c>
      <c r="M13" s="669">
        <f t="shared" si="10"/>
        <v>0</v>
      </c>
      <c r="N13" s="679">
        <v>0</v>
      </c>
      <c r="O13" s="679">
        <v>0</v>
      </c>
      <c r="P13" s="669">
        <f t="shared" si="11"/>
        <v>0</v>
      </c>
      <c r="Q13" s="679">
        <v>0</v>
      </c>
      <c r="R13" s="679">
        <v>0</v>
      </c>
      <c r="S13" s="669">
        <f t="shared" si="0"/>
        <v>0</v>
      </c>
      <c r="T13" s="669"/>
      <c r="U13" s="669"/>
      <c r="V13" s="669">
        <f t="shared" si="1"/>
        <v>0</v>
      </c>
      <c r="W13" s="666">
        <f t="shared" si="12"/>
        <v>0.2</v>
      </c>
      <c r="X13" s="666">
        <f t="shared" si="13"/>
        <v>0.16666666666666666</v>
      </c>
      <c r="Y13" s="667"/>
      <c r="Z13" s="667"/>
      <c r="AA13" s="667"/>
      <c r="AB13" s="679"/>
      <c r="AC13" s="679">
        <v>3</v>
      </c>
      <c r="AD13" s="679">
        <v>4</v>
      </c>
      <c r="AE13" s="663">
        <f t="shared" si="14"/>
        <v>3</v>
      </c>
      <c r="AF13" s="663">
        <f t="shared" si="15"/>
        <v>4</v>
      </c>
      <c r="AG13" s="668">
        <f t="shared" si="16"/>
        <v>7</v>
      </c>
      <c r="AH13" s="667"/>
      <c r="AI13" s="669"/>
      <c r="AJ13" s="669"/>
      <c r="AK13" s="679"/>
      <c r="AL13" s="679">
        <v>2</v>
      </c>
      <c r="AM13" s="679">
        <v>3</v>
      </c>
      <c r="AN13" s="663">
        <f t="shared" si="17"/>
        <v>2</v>
      </c>
      <c r="AO13" s="663">
        <f t="shared" si="18"/>
        <v>3</v>
      </c>
      <c r="AP13" s="668">
        <f t="shared" si="19"/>
        <v>5</v>
      </c>
      <c r="AQ13" s="669">
        <f t="shared" si="2"/>
        <v>7</v>
      </c>
      <c r="AR13" s="669">
        <f t="shared" si="3"/>
        <v>10</v>
      </c>
      <c r="AS13" s="669">
        <v>7</v>
      </c>
      <c r="AT13" s="669">
        <v>10</v>
      </c>
      <c r="AU13" s="664">
        <f t="shared" si="20"/>
        <v>17</v>
      </c>
      <c r="AV13" s="666">
        <f t="shared" si="21"/>
        <v>0.41666666666666669</v>
      </c>
      <c r="AW13" s="666">
        <v>0.42</v>
      </c>
      <c r="AX13" s="666">
        <f t="shared" si="22"/>
        <v>0.30222222222222223</v>
      </c>
      <c r="AY13" s="666">
        <f t="shared" si="4"/>
        <v>0.25612052730696799</v>
      </c>
      <c r="AZ13" s="666">
        <f t="shared" si="5"/>
        <v>0</v>
      </c>
      <c r="BA13" s="670">
        <f t="shared" si="23"/>
        <v>13.333333333333334</v>
      </c>
      <c r="BB13" s="671">
        <f t="shared" si="6"/>
        <v>45.333333333333329</v>
      </c>
      <c r="BC13" s="671"/>
      <c r="BD13" s="671"/>
      <c r="BE13" s="671"/>
      <c r="BF13" s="671"/>
      <c r="BG13" s="669">
        <v>11</v>
      </c>
      <c r="BH13" s="679">
        <f t="shared" si="7"/>
        <v>0</v>
      </c>
      <c r="BI13" s="679">
        <f t="shared" si="7"/>
        <v>0</v>
      </c>
      <c r="BJ13" s="672"/>
      <c r="BK13" s="672"/>
      <c r="BL13" s="679">
        <v>0</v>
      </c>
      <c r="BM13" s="679">
        <v>1</v>
      </c>
      <c r="BN13" s="679">
        <v>1</v>
      </c>
      <c r="BO13" s="679">
        <v>0</v>
      </c>
      <c r="BP13" s="679">
        <v>1</v>
      </c>
      <c r="BQ13" s="679">
        <v>2</v>
      </c>
      <c r="BR13" s="679">
        <v>0</v>
      </c>
      <c r="BS13" s="679">
        <v>0</v>
      </c>
      <c r="BT13" s="679">
        <v>0</v>
      </c>
      <c r="BU13" s="679">
        <v>0</v>
      </c>
      <c r="BV13" s="679">
        <v>0</v>
      </c>
      <c r="BW13" s="679">
        <v>0</v>
      </c>
      <c r="BX13" s="679">
        <v>0</v>
      </c>
      <c r="BY13" s="679">
        <v>0</v>
      </c>
      <c r="BZ13" s="669">
        <f t="shared" si="24"/>
        <v>2</v>
      </c>
      <c r="CA13" s="669">
        <f t="shared" si="25"/>
        <v>3</v>
      </c>
      <c r="CB13" s="673">
        <f t="shared" si="26"/>
        <v>5</v>
      </c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</row>
    <row r="14" spans="1:222" s="31" customFormat="1" ht="120" customHeight="1">
      <c r="A14" s="662">
        <v>9</v>
      </c>
      <c r="B14" s="675" t="str">
        <f>[1]TB07!C18</f>
        <v xml:space="preserve">CDG-SHER SHAH </v>
      </c>
      <c r="C14" s="675" t="str">
        <f>[1]TB07!D18</f>
        <v>KEMARI</v>
      </c>
      <c r="D14" s="675"/>
      <c r="E14" s="676">
        <f>[1]TB07!E18</f>
        <v>200000</v>
      </c>
      <c r="F14" s="658">
        <f t="shared" si="8"/>
        <v>56.25</v>
      </c>
      <c r="G14" s="649">
        <v>25</v>
      </c>
      <c r="H14" s="675">
        <v>3</v>
      </c>
      <c r="I14" s="675">
        <v>5</v>
      </c>
      <c r="J14" s="664">
        <f t="shared" si="9"/>
        <v>8</v>
      </c>
      <c r="K14" s="675">
        <v>0</v>
      </c>
      <c r="L14" s="675">
        <v>0</v>
      </c>
      <c r="M14" s="664">
        <f t="shared" si="10"/>
        <v>0</v>
      </c>
      <c r="N14" s="675">
        <v>0</v>
      </c>
      <c r="O14" s="675">
        <v>0</v>
      </c>
      <c r="P14" s="664">
        <f t="shared" si="11"/>
        <v>0</v>
      </c>
      <c r="Q14" s="675">
        <v>0</v>
      </c>
      <c r="R14" s="675">
        <v>0</v>
      </c>
      <c r="S14" s="664">
        <f t="shared" si="0"/>
        <v>0</v>
      </c>
      <c r="T14" s="664"/>
      <c r="U14" s="664"/>
      <c r="V14" s="664">
        <f t="shared" si="1"/>
        <v>0</v>
      </c>
      <c r="W14" s="665">
        <f t="shared" si="12"/>
        <v>0.32</v>
      </c>
      <c r="X14" s="665">
        <f t="shared" si="13"/>
        <v>0.2</v>
      </c>
      <c r="Y14" s="668"/>
      <c r="Z14" s="668"/>
      <c r="AA14" s="668"/>
      <c r="AB14" s="675"/>
      <c r="AC14" s="675">
        <v>2</v>
      </c>
      <c r="AD14" s="675">
        <v>2</v>
      </c>
      <c r="AE14" s="663">
        <f t="shared" si="14"/>
        <v>2</v>
      </c>
      <c r="AF14" s="663">
        <f t="shared" si="15"/>
        <v>2</v>
      </c>
      <c r="AG14" s="668">
        <f t="shared" si="16"/>
        <v>4</v>
      </c>
      <c r="AH14" s="668"/>
      <c r="AI14" s="664"/>
      <c r="AJ14" s="664"/>
      <c r="AK14" s="675"/>
      <c r="AL14" s="675">
        <v>1</v>
      </c>
      <c r="AM14" s="675">
        <v>2</v>
      </c>
      <c r="AN14" s="663">
        <f t="shared" si="17"/>
        <v>1</v>
      </c>
      <c r="AO14" s="663">
        <f t="shared" si="18"/>
        <v>2</v>
      </c>
      <c r="AP14" s="668">
        <f t="shared" si="19"/>
        <v>3</v>
      </c>
      <c r="AQ14" s="669">
        <f t="shared" si="2"/>
        <v>6</v>
      </c>
      <c r="AR14" s="669">
        <f t="shared" si="3"/>
        <v>9</v>
      </c>
      <c r="AS14" s="669">
        <v>6</v>
      </c>
      <c r="AT14" s="669">
        <v>9</v>
      </c>
      <c r="AU14" s="664">
        <f t="shared" si="20"/>
        <v>15</v>
      </c>
      <c r="AV14" s="666">
        <f t="shared" si="21"/>
        <v>0.66666666666666663</v>
      </c>
      <c r="AW14" s="666">
        <v>0.67</v>
      </c>
      <c r="AX14" s="666">
        <f t="shared" si="22"/>
        <v>0.26666666666666666</v>
      </c>
      <c r="AY14" s="665">
        <f t="shared" si="4"/>
        <v>0.16949152542372881</v>
      </c>
      <c r="AZ14" s="665">
        <f t="shared" si="5"/>
        <v>0</v>
      </c>
      <c r="BA14" s="677">
        <f t="shared" si="23"/>
        <v>16</v>
      </c>
      <c r="BB14" s="678">
        <f t="shared" si="6"/>
        <v>29.999999999999996</v>
      </c>
      <c r="BC14" s="678"/>
      <c r="BD14" s="678"/>
      <c r="BE14" s="678"/>
      <c r="BF14" s="678"/>
      <c r="BG14" s="664">
        <v>12</v>
      </c>
      <c r="BH14" s="675">
        <f t="shared" si="7"/>
        <v>0</v>
      </c>
      <c r="BI14" s="675">
        <f t="shared" si="7"/>
        <v>0</v>
      </c>
      <c r="BJ14" s="672"/>
      <c r="BK14" s="672"/>
      <c r="BL14" s="675">
        <v>0</v>
      </c>
      <c r="BM14" s="675">
        <v>0</v>
      </c>
      <c r="BN14" s="675">
        <v>2</v>
      </c>
      <c r="BO14" s="675">
        <v>2</v>
      </c>
      <c r="BP14" s="675">
        <v>0</v>
      </c>
      <c r="BQ14" s="675">
        <v>0</v>
      </c>
      <c r="BR14" s="675">
        <v>0</v>
      </c>
      <c r="BS14" s="675">
        <v>1</v>
      </c>
      <c r="BT14" s="675">
        <v>1</v>
      </c>
      <c r="BU14" s="675">
        <v>0</v>
      </c>
      <c r="BV14" s="675">
        <v>0</v>
      </c>
      <c r="BW14" s="675">
        <v>1</v>
      </c>
      <c r="BX14" s="675">
        <v>0</v>
      </c>
      <c r="BY14" s="675">
        <v>1</v>
      </c>
      <c r="BZ14" s="669">
        <f t="shared" si="24"/>
        <v>3</v>
      </c>
      <c r="CA14" s="669">
        <f t="shared" si="25"/>
        <v>5</v>
      </c>
      <c r="CB14" s="673">
        <f t="shared" si="26"/>
        <v>8</v>
      </c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</row>
    <row r="15" spans="1:222" s="29" customFormat="1" ht="120" customHeight="1">
      <c r="A15" s="662">
        <v>10</v>
      </c>
      <c r="B15" s="663" t="str">
        <f>[1]TB07!C19</f>
        <v>CDG-THO OFFICE CUM MAT HOME</v>
      </c>
      <c r="C15" s="663" t="str">
        <f>[1]TB07!D19</f>
        <v>KORANGI</v>
      </c>
      <c r="D15" s="663"/>
      <c r="E15" s="658">
        <f>[1]TB07!E19</f>
        <v>300000</v>
      </c>
      <c r="F15" s="658">
        <f t="shared" si="8"/>
        <v>112.5</v>
      </c>
      <c r="G15" s="649">
        <v>50</v>
      </c>
      <c r="H15" s="663">
        <v>16</v>
      </c>
      <c r="I15" s="663">
        <v>27</v>
      </c>
      <c r="J15" s="664">
        <f t="shared" si="9"/>
        <v>43</v>
      </c>
      <c r="K15" s="663">
        <v>1</v>
      </c>
      <c r="L15" s="663">
        <v>1</v>
      </c>
      <c r="M15" s="664">
        <f t="shared" si="10"/>
        <v>2</v>
      </c>
      <c r="N15" s="663">
        <v>0</v>
      </c>
      <c r="O15" s="663">
        <v>0</v>
      </c>
      <c r="P15" s="664">
        <f t="shared" si="11"/>
        <v>0</v>
      </c>
      <c r="Q15" s="663">
        <v>2</v>
      </c>
      <c r="R15" s="663">
        <v>0</v>
      </c>
      <c r="S15" s="664">
        <f>SUM(S13:S14)</f>
        <v>0</v>
      </c>
      <c r="T15" s="664"/>
      <c r="U15" s="664"/>
      <c r="V15" s="664">
        <f t="shared" si="1"/>
        <v>0</v>
      </c>
      <c r="W15" s="665">
        <f t="shared" si="12"/>
        <v>0.86</v>
      </c>
      <c r="X15" s="666">
        <f t="shared" si="13"/>
        <v>0.71666666666666667</v>
      </c>
      <c r="Y15" s="667"/>
      <c r="Z15" s="667"/>
      <c r="AA15" s="667"/>
      <c r="AB15" s="663"/>
      <c r="AC15" s="663">
        <v>7</v>
      </c>
      <c r="AD15" s="663">
        <v>10</v>
      </c>
      <c r="AE15" s="663">
        <f t="shared" si="14"/>
        <v>7</v>
      </c>
      <c r="AF15" s="663">
        <f t="shared" si="15"/>
        <v>10</v>
      </c>
      <c r="AG15" s="668">
        <f t="shared" si="16"/>
        <v>17</v>
      </c>
      <c r="AH15" s="667"/>
      <c r="AI15" s="669"/>
      <c r="AJ15" s="669"/>
      <c r="AK15" s="663"/>
      <c r="AL15" s="663">
        <v>10</v>
      </c>
      <c r="AM15" s="663">
        <v>14</v>
      </c>
      <c r="AN15" s="663">
        <f t="shared" si="17"/>
        <v>10</v>
      </c>
      <c r="AO15" s="663">
        <f t="shared" si="18"/>
        <v>14</v>
      </c>
      <c r="AP15" s="668">
        <f t="shared" si="19"/>
        <v>24</v>
      </c>
      <c r="AQ15" s="669">
        <f t="shared" si="2"/>
        <v>36</v>
      </c>
      <c r="AR15" s="669">
        <f t="shared" si="3"/>
        <v>52</v>
      </c>
      <c r="AS15" s="669">
        <v>36</v>
      </c>
      <c r="AT15" s="669">
        <v>52</v>
      </c>
      <c r="AU15" s="664">
        <f t="shared" si="20"/>
        <v>88</v>
      </c>
      <c r="AV15" s="666">
        <f t="shared" si="21"/>
        <v>0.71666666666666667</v>
      </c>
      <c r="AW15" s="666">
        <v>0.72</v>
      </c>
      <c r="AX15" s="666">
        <f t="shared" si="22"/>
        <v>0.78222222222222226</v>
      </c>
      <c r="AY15" s="666">
        <f t="shared" si="4"/>
        <v>0.66290018832391717</v>
      </c>
      <c r="AZ15" s="666">
        <f t="shared" si="5"/>
        <v>2.2727272727272728E-2</v>
      </c>
      <c r="BA15" s="670">
        <f t="shared" si="23"/>
        <v>57.333333333333336</v>
      </c>
      <c r="BB15" s="671">
        <f t="shared" si="6"/>
        <v>117.33333333333333</v>
      </c>
      <c r="BC15" s="671"/>
      <c r="BD15" s="671"/>
      <c r="BE15" s="671"/>
      <c r="BF15" s="671"/>
      <c r="BG15" s="664">
        <v>13</v>
      </c>
      <c r="BH15" s="663">
        <f t="shared" si="7"/>
        <v>0</v>
      </c>
      <c r="BI15" s="663">
        <f t="shared" si="7"/>
        <v>0</v>
      </c>
      <c r="BJ15" s="672">
        <v>0</v>
      </c>
      <c r="BK15" s="672">
        <v>0</v>
      </c>
      <c r="BL15" s="663">
        <v>1</v>
      </c>
      <c r="BM15" s="663">
        <v>1</v>
      </c>
      <c r="BN15" s="663">
        <v>7</v>
      </c>
      <c r="BO15" s="663">
        <v>16</v>
      </c>
      <c r="BP15" s="663">
        <v>3</v>
      </c>
      <c r="BQ15" s="663">
        <v>7</v>
      </c>
      <c r="BR15" s="663">
        <v>2</v>
      </c>
      <c r="BS15" s="663">
        <v>0</v>
      </c>
      <c r="BT15" s="663">
        <v>1</v>
      </c>
      <c r="BU15" s="663">
        <v>2</v>
      </c>
      <c r="BV15" s="663">
        <v>1</v>
      </c>
      <c r="BW15" s="663">
        <v>0</v>
      </c>
      <c r="BX15" s="663">
        <v>1</v>
      </c>
      <c r="BY15" s="663">
        <v>1</v>
      </c>
      <c r="BZ15" s="669">
        <f t="shared" si="24"/>
        <v>16</v>
      </c>
      <c r="CA15" s="669">
        <f t="shared" si="25"/>
        <v>27</v>
      </c>
      <c r="CB15" s="673">
        <f t="shared" si="26"/>
        <v>43</v>
      </c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</row>
    <row r="16" spans="1:222" s="31" customFormat="1" ht="120" customHeight="1">
      <c r="A16" s="662">
        <v>11</v>
      </c>
      <c r="B16" s="675" t="str">
        <f>[1]TB07!C20</f>
        <v>CDG-LANDHI MEDICAL COMPLEX</v>
      </c>
      <c r="C16" s="675" t="str">
        <f>[1]TB07!D20</f>
        <v>LANDHI</v>
      </c>
      <c r="D16" s="675"/>
      <c r="E16" s="676">
        <f>[1]TB07!E20</f>
        <v>200000</v>
      </c>
      <c r="F16" s="658">
        <f t="shared" si="8"/>
        <v>56.25</v>
      </c>
      <c r="G16" s="650">
        <v>25</v>
      </c>
      <c r="H16" s="675">
        <v>3</v>
      </c>
      <c r="I16" s="675">
        <v>6</v>
      </c>
      <c r="J16" s="664">
        <f t="shared" si="9"/>
        <v>9</v>
      </c>
      <c r="K16" s="675">
        <v>0</v>
      </c>
      <c r="L16" s="675">
        <v>0</v>
      </c>
      <c r="M16" s="664">
        <f t="shared" si="10"/>
        <v>0</v>
      </c>
      <c r="N16" s="675">
        <v>0</v>
      </c>
      <c r="O16" s="675">
        <v>0</v>
      </c>
      <c r="P16" s="664">
        <f t="shared" si="11"/>
        <v>0</v>
      </c>
      <c r="Q16" s="675">
        <v>0</v>
      </c>
      <c r="R16" s="675">
        <v>0</v>
      </c>
      <c r="S16" s="664">
        <f t="shared" si="0"/>
        <v>0</v>
      </c>
      <c r="T16" s="664"/>
      <c r="U16" s="664"/>
      <c r="V16" s="664">
        <f t="shared" si="1"/>
        <v>0</v>
      </c>
      <c r="W16" s="665">
        <f t="shared" si="12"/>
        <v>0.36</v>
      </c>
      <c r="X16" s="665">
        <f t="shared" si="13"/>
        <v>0.22500000000000001</v>
      </c>
      <c r="Y16" s="668"/>
      <c r="Z16" s="668"/>
      <c r="AA16" s="668"/>
      <c r="AB16" s="675"/>
      <c r="AC16" s="675">
        <v>0</v>
      </c>
      <c r="AD16" s="675">
        <v>2</v>
      </c>
      <c r="AE16" s="663">
        <f t="shared" si="14"/>
        <v>0</v>
      </c>
      <c r="AF16" s="663">
        <f t="shared" si="15"/>
        <v>2</v>
      </c>
      <c r="AG16" s="668">
        <f t="shared" si="16"/>
        <v>2</v>
      </c>
      <c r="AH16" s="668"/>
      <c r="AI16" s="664"/>
      <c r="AJ16" s="664"/>
      <c r="AK16" s="675"/>
      <c r="AL16" s="675">
        <v>0</v>
      </c>
      <c r="AM16" s="675">
        <v>7</v>
      </c>
      <c r="AN16" s="663">
        <f t="shared" si="17"/>
        <v>0</v>
      </c>
      <c r="AO16" s="663">
        <f t="shared" si="18"/>
        <v>7</v>
      </c>
      <c r="AP16" s="668">
        <f t="shared" si="19"/>
        <v>7</v>
      </c>
      <c r="AQ16" s="669">
        <f t="shared" si="2"/>
        <v>3</v>
      </c>
      <c r="AR16" s="669">
        <f t="shared" si="3"/>
        <v>15</v>
      </c>
      <c r="AS16" s="669">
        <v>3</v>
      </c>
      <c r="AT16" s="669">
        <v>15</v>
      </c>
      <c r="AU16" s="664">
        <f t="shared" si="20"/>
        <v>18</v>
      </c>
      <c r="AV16" s="666">
        <f t="shared" si="21"/>
        <v>0.81818181818181823</v>
      </c>
      <c r="AW16" s="666">
        <v>0.82</v>
      </c>
      <c r="AX16" s="666">
        <f t="shared" si="22"/>
        <v>0.32</v>
      </c>
      <c r="AY16" s="665">
        <f t="shared" si="4"/>
        <v>0.20338983050847459</v>
      </c>
      <c r="AZ16" s="665">
        <f t="shared" si="5"/>
        <v>0</v>
      </c>
      <c r="BA16" s="677">
        <f t="shared" si="23"/>
        <v>18</v>
      </c>
      <c r="BB16" s="678">
        <f t="shared" si="6"/>
        <v>36</v>
      </c>
      <c r="BC16" s="678"/>
      <c r="BD16" s="678"/>
      <c r="BE16" s="678"/>
      <c r="BF16" s="678"/>
      <c r="BG16" s="664">
        <v>14</v>
      </c>
      <c r="BH16" s="675">
        <f t="shared" si="7"/>
        <v>0</v>
      </c>
      <c r="BI16" s="675">
        <f t="shared" si="7"/>
        <v>0</v>
      </c>
      <c r="BJ16" s="672">
        <v>0</v>
      </c>
      <c r="BK16" s="672">
        <v>0</v>
      </c>
      <c r="BL16" s="675">
        <v>0</v>
      </c>
      <c r="BM16" s="675">
        <v>0</v>
      </c>
      <c r="BN16" s="675">
        <v>3</v>
      </c>
      <c r="BO16" s="675">
        <v>3</v>
      </c>
      <c r="BP16" s="675">
        <v>0</v>
      </c>
      <c r="BQ16" s="675">
        <v>1</v>
      </c>
      <c r="BR16" s="675">
        <v>0</v>
      </c>
      <c r="BS16" s="675">
        <v>1</v>
      </c>
      <c r="BT16" s="675">
        <v>0</v>
      </c>
      <c r="BU16" s="675">
        <v>0</v>
      </c>
      <c r="BV16" s="675">
        <v>0</v>
      </c>
      <c r="BW16" s="675">
        <v>1</v>
      </c>
      <c r="BX16" s="675">
        <v>0</v>
      </c>
      <c r="BY16" s="675">
        <v>0</v>
      </c>
      <c r="BZ16" s="669">
        <f t="shared" si="24"/>
        <v>3</v>
      </c>
      <c r="CA16" s="669">
        <f t="shared" si="25"/>
        <v>6</v>
      </c>
      <c r="CB16" s="673">
        <f t="shared" si="26"/>
        <v>9</v>
      </c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</row>
    <row r="17" spans="1:222" s="29" customFormat="1" ht="120" customHeight="1">
      <c r="A17" s="662">
        <v>12</v>
      </c>
      <c r="B17" s="663" t="str">
        <f>[1]TB07!C21</f>
        <v xml:space="preserve">CDG-UHC LAUNDHI </v>
      </c>
      <c r="C17" s="663" t="str">
        <f>[1]TB07!D21</f>
        <v>LANDHI</v>
      </c>
      <c r="D17" s="663"/>
      <c r="E17" s="658">
        <f>[1]TB07!E21</f>
        <v>450000</v>
      </c>
      <c r="F17" s="658">
        <f t="shared" si="8"/>
        <v>67.5</v>
      </c>
      <c r="G17" s="649">
        <v>30</v>
      </c>
      <c r="H17" s="663">
        <v>6</v>
      </c>
      <c r="I17" s="663">
        <v>5</v>
      </c>
      <c r="J17" s="664">
        <f t="shared" si="9"/>
        <v>11</v>
      </c>
      <c r="K17" s="663">
        <v>0</v>
      </c>
      <c r="L17" s="663">
        <v>4</v>
      </c>
      <c r="M17" s="664">
        <f t="shared" si="10"/>
        <v>4</v>
      </c>
      <c r="N17" s="663">
        <v>0</v>
      </c>
      <c r="O17" s="663">
        <v>0</v>
      </c>
      <c r="P17" s="664">
        <f t="shared" si="11"/>
        <v>0</v>
      </c>
      <c r="Q17" s="663">
        <v>0</v>
      </c>
      <c r="R17" s="663">
        <v>1</v>
      </c>
      <c r="S17" s="664">
        <f t="shared" si="0"/>
        <v>1</v>
      </c>
      <c r="T17" s="664"/>
      <c r="U17" s="664"/>
      <c r="V17" s="664">
        <f t="shared" si="1"/>
        <v>0</v>
      </c>
      <c r="W17" s="665">
        <f t="shared" si="12"/>
        <v>0.36666666666666664</v>
      </c>
      <c r="X17" s="666">
        <f t="shared" si="13"/>
        <v>0.12222222222222222</v>
      </c>
      <c r="Y17" s="667"/>
      <c r="Z17" s="667"/>
      <c r="AA17" s="667"/>
      <c r="AB17" s="663"/>
      <c r="AC17" s="663">
        <v>5</v>
      </c>
      <c r="AD17" s="663">
        <v>10</v>
      </c>
      <c r="AE17" s="663">
        <f t="shared" si="14"/>
        <v>5</v>
      </c>
      <c r="AF17" s="663">
        <f t="shared" si="15"/>
        <v>10</v>
      </c>
      <c r="AG17" s="668">
        <f t="shared" si="16"/>
        <v>15</v>
      </c>
      <c r="AH17" s="667"/>
      <c r="AI17" s="669"/>
      <c r="AJ17" s="669"/>
      <c r="AK17" s="663"/>
      <c r="AL17" s="663">
        <v>2</v>
      </c>
      <c r="AM17" s="663">
        <v>8</v>
      </c>
      <c r="AN17" s="663">
        <f t="shared" si="17"/>
        <v>2</v>
      </c>
      <c r="AO17" s="663">
        <f t="shared" si="18"/>
        <v>8</v>
      </c>
      <c r="AP17" s="668">
        <f t="shared" si="19"/>
        <v>10</v>
      </c>
      <c r="AQ17" s="669">
        <f t="shared" si="2"/>
        <v>13</v>
      </c>
      <c r="AR17" s="669">
        <f t="shared" si="3"/>
        <v>28</v>
      </c>
      <c r="AS17" s="669">
        <v>13</v>
      </c>
      <c r="AT17" s="669">
        <v>28</v>
      </c>
      <c r="AU17" s="664">
        <f t="shared" si="20"/>
        <v>41</v>
      </c>
      <c r="AV17" s="666">
        <f t="shared" si="21"/>
        <v>0.42307692307692307</v>
      </c>
      <c r="AW17" s="666">
        <v>0.42</v>
      </c>
      <c r="AX17" s="666">
        <f t="shared" si="22"/>
        <v>0.6074074074074074</v>
      </c>
      <c r="AY17" s="666">
        <f t="shared" si="4"/>
        <v>0.20590081607030761</v>
      </c>
      <c r="AZ17" s="666">
        <f t="shared" si="5"/>
        <v>0.12195121951219512</v>
      </c>
      <c r="BA17" s="670">
        <f t="shared" si="23"/>
        <v>9.7777777777777786</v>
      </c>
      <c r="BB17" s="671">
        <f t="shared" si="6"/>
        <v>36.444444444444443</v>
      </c>
      <c r="BC17" s="671"/>
      <c r="BD17" s="671"/>
      <c r="BE17" s="671"/>
      <c r="BF17" s="671"/>
      <c r="BG17" s="664">
        <v>15</v>
      </c>
      <c r="BH17" s="663">
        <f t="shared" si="7"/>
        <v>0</v>
      </c>
      <c r="BI17" s="663">
        <f t="shared" si="7"/>
        <v>0</v>
      </c>
      <c r="BJ17" s="672"/>
      <c r="BK17" s="672"/>
      <c r="BL17" s="663">
        <v>0</v>
      </c>
      <c r="BM17" s="663">
        <v>1</v>
      </c>
      <c r="BN17" s="663">
        <v>4</v>
      </c>
      <c r="BO17" s="663">
        <v>3</v>
      </c>
      <c r="BP17" s="663">
        <v>2</v>
      </c>
      <c r="BQ17" s="663">
        <v>1</v>
      </c>
      <c r="BR17" s="663">
        <v>0</v>
      </c>
      <c r="BS17" s="663">
        <v>0</v>
      </c>
      <c r="BT17" s="663">
        <v>0</v>
      </c>
      <c r="BU17" s="663">
        <v>0</v>
      </c>
      <c r="BV17" s="663">
        <v>0</v>
      </c>
      <c r="BW17" s="663">
        <v>0</v>
      </c>
      <c r="BX17" s="663">
        <v>0</v>
      </c>
      <c r="BY17" s="663">
        <v>0</v>
      </c>
      <c r="BZ17" s="669">
        <f t="shared" si="24"/>
        <v>6</v>
      </c>
      <c r="CA17" s="669">
        <f t="shared" si="25"/>
        <v>5</v>
      </c>
      <c r="CB17" s="673">
        <f t="shared" si="26"/>
        <v>11</v>
      </c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</row>
    <row r="18" spans="1:222" s="31" customFormat="1" ht="120" customHeight="1">
      <c r="A18" s="662">
        <v>13</v>
      </c>
      <c r="B18" s="675" t="str">
        <f>[1]TB07!C22</f>
        <v>CDG-GHAZI QAYUM DISPENSARY</v>
      </c>
      <c r="C18" s="675" t="str">
        <f>[1]TB07!D22</f>
        <v>LYARI</v>
      </c>
      <c r="D18" s="675"/>
      <c r="E18" s="676">
        <f>[1]TB07!E22</f>
        <v>150000</v>
      </c>
      <c r="F18" s="658">
        <f t="shared" si="8"/>
        <v>56.25</v>
      </c>
      <c r="G18" s="649">
        <v>25</v>
      </c>
      <c r="H18" s="675">
        <v>4</v>
      </c>
      <c r="I18" s="675">
        <v>12</v>
      </c>
      <c r="J18" s="664">
        <f t="shared" si="9"/>
        <v>16</v>
      </c>
      <c r="K18" s="675">
        <v>0</v>
      </c>
      <c r="L18" s="675">
        <v>0</v>
      </c>
      <c r="M18" s="664">
        <f t="shared" si="10"/>
        <v>0</v>
      </c>
      <c r="N18" s="675">
        <v>0</v>
      </c>
      <c r="O18" s="675">
        <v>0</v>
      </c>
      <c r="P18" s="664">
        <f t="shared" si="11"/>
        <v>0</v>
      </c>
      <c r="Q18" s="675">
        <v>0</v>
      </c>
      <c r="R18" s="675">
        <v>0</v>
      </c>
      <c r="S18" s="664">
        <f>SUM(S16:S17)</f>
        <v>1</v>
      </c>
      <c r="T18" s="664"/>
      <c r="U18" s="664"/>
      <c r="V18" s="664">
        <f t="shared" si="1"/>
        <v>0</v>
      </c>
      <c r="W18" s="665">
        <f t="shared" si="12"/>
        <v>0.64</v>
      </c>
      <c r="X18" s="665">
        <f t="shared" si="13"/>
        <v>0.53333333333333333</v>
      </c>
      <c r="Y18" s="668"/>
      <c r="Z18" s="668"/>
      <c r="AA18" s="668"/>
      <c r="AB18" s="675"/>
      <c r="AC18" s="675">
        <v>5</v>
      </c>
      <c r="AD18" s="675">
        <v>17</v>
      </c>
      <c r="AE18" s="663">
        <f t="shared" si="14"/>
        <v>5</v>
      </c>
      <c r="AF18" s="663">
        <f t="shared" si="15"/>
        <v>17</v>
      </c>
      <c r="AG18" s="668">
        <f t="shared" si="16"/>
        <v>22</v>
      </c>
      <c r="AH18" s="668"/>
      <c r="AI18" s="664"/>
      <c r="AJ18" s="664"/>
      <c r="AK18" s="675"/>
      <c r="AL18" s="675">
        <v>3</v>
      </c>
      <c r="AM18" s="675">
        <v>8</v>
      </c>
      <c r="AN18" s="663">
        <f t="shared" si="17"/>
        <v>3</v>
      </c>
      <c r="AO18" s="663">
        <f t="shared" si="18"/>
        <v>8</v>
      </c>
      <c r="AP18" s="668">
        <f t="shared" si="19"/>
        <v>11</v>
      </c>
      <c r="AQ18" s="669">
        <f t="shared" si="2"/>
        <v>12</v>
      </c>
      <c r="AR18" s="669">
        <f t="shared" si="3"/>
        <v>37</v>
      </c>
      <c r="AS18" s="669">
        <v>12</v>
      </c>
      <c r="AT18" s="669">
        <v>37</v>
      </c>
      <c r="AU18" s="664">
        <f t="shared" si="20"/>
        <v>49</v>
      </c>
      <c r="AV18" s="666">
        <f t="shared" si="21"/>
        <v>0.42105263157894735</v>
      </c>
      <c r="AW18" s="666">
        <v>0.42</v>
      </c>
      <c r="AX18" s="666">
        <f t="shared" si="22"/>
        <v>0.87111111111111106</v>
      </c>
      <c r="AY18" s="665">
        <f t="shared" si="4"/>
        <v>0.73822975517890776</v>
      </c>
      <c r="AZ18" s="665">
        <f t="shared" si="5"/>
        <v>2.0408163265306121E-2</v>
      </c>
      <c r="BA18" s="677">
        <f t="shared" si="23"/>
        <v>42.666666666666664</v>
      </c>
      <c r="BB18" s="678">
        <f t="shared" si="6"/>
        <v>130.66666666666666</v>
      </c>
      <c r="BC18" s="678"/>
      <c r="BD18" s="678"/>
      <c r="BE18" s="678"/>
      <c r="BF18" s="678"/>
      <c r="BG18" s="664">
        <v>16</v>
      </c>
      <c r="BH18" s="675">
        <f t="shared" si="7"/>
        <v>0</v>
      </c>
      <c r="BI18" s="675">
        <f t="shared" si="7"/>
        <v>0</v>
      </c>
      <c r="BJ18" s="672"/>
      <c r="BK18" s="672"/>
      <c r="BL18" s="675">
        <v>0</v>
      </c>
      <c r="BM18" s="675">
        <v>0</v>
      </c>
      <c r="BN18" s="675">
        <v>4</v>
      </c>
      <c r="BO18" s="675">
        <v>3</v>
      </c>
      <c r="BP18" s="675">
        <v>0</v>
      </c>
      <c r="BQ18" s="675">
        <v>4</v>
      </c>
      <c r="BR18" s="675">
        <v>0</v>
      </c>
      <c r="BS18" s="675">
        <v>2</v>
      </c>
      <c r="BT18" s="675">
        <v>0</v>
      </c>
      <c r="BU18" s="675">
        <v>1</v>
      </c>
      <c r="BV18" s="675">
        <v>0</v>
      </c>
      <c r="BW18" s="675">
        <v>1</v>
      </c>
      <c r="BX18" s="675">
        <v>0</v>
      </c>
      <c r="BY18" s="675">
        <v>1</v>
      </c>
      <c r="BZ18" s="669">
        <f t="shared" si="24"/>
        <v>4</v>
      </c>
      <c r="CA18" s="669">
        <f t="shared" si="25"/>
        <v>12</v>
      </c>
      <c r="CB18" s="673">
        <f t="shared" si="26"/>
        <v>16</v>
      </c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</row>
    <row r="19" spans="1:222" s="29" customFormat="1" ht="120" customHeight="1">
      <c r="A19" s="662">
        <v>14</v>
      </c>
      <c r="B19" s="663" t="str">
        <f>[1]TB07!C23</f>
        <v xml:space="preserve">CDG-MCH CENTER </v>
      </c>
      <c r="C19" s="663" t="str">
        <f>[1]TB07!D23</f>
        <v>NORTH KARACHI</v>
      </c>
      <c r="D19" s="663"/>
      <c r="E19" s="658">
        <f>[1]TB07!E23</f>
        <v>150000</v>
      </c>
      <c r="F19" s="658">
        <f t="shared" si="8"/>
        <v>56.25</v>
      </c>
      <c r="G19" s="649">
        <v>25</v>
      </c>
      <c r="H19" s="663">
        <v>1</v>
      </c>
      <c r="I19" s="663">
        <v>6</v>
      </c>
      <c r="J19" s="664">
        <f t="shared" si="9"/>
        <v>7</v>
      </c>
      <c r="K19" s="663">
        <v>0</v>
      </c>
      <c r="L19" s="663">
        <v>0</v>
      </c>
      <c r="M19" s="664">
        <f t="shared" si="10"/>
        <v>0</v>
      </c>
      <c r="N19" s="663">
        <v>0</v>
      </c>
      <c r="O19" s="663">
        <v>0</v>
      </c>
      <c r="P19" s="664">
        <f t="shared" si="11"/>
        <v>0</v>
      </c>
      <c r="Q19" s="663">
        <v>0</v>
      </c>
      <c r="R19" s="663">
        <v>0</v>
      </c>
      <c r="S19" s="664">
        <f t="shared" si="0"/>
        <v>0</v>
      </c>
      <c r="T19" s="664"/>
      <c r="U19" s="664"/>
      <c r="V19" s="664">
        <f t="shared" si="1"/>
        <v>0</v>
      </c>
      <c r="W19" s="665">
        <f t="shared" si="12"/>
        <v>0.28000000000000003</v>
      </c>
      <c r="X19" s="666">
        <f t="shared" si="13"/>
        <v>0.23333333333333334</v>
      </c>
      <c r="Y19" s="667"/>
      <c r="Z19" s="667"/>
      <c r="AA19" s="667"/>
      <c r="AB19" s="663"/>
      <c r="AC19" s="663">
        <v>1</v>
      </c>
      <c r="AD19" s="663">
        <v>1</v>
      </c>
      <c r="AE19" s="663">
        <f t="shared" si="14"/>
        <v>1</v>
      </c>
      <c r="AF19" s="663">
        <f t="shared" si="15"/>
        <v>1</v>
      </c>
      <c r="AG19" s="668">
        <f t="shared" si="16"/>
        <v>2</v>
      </c>
      <c r="AH19" s="667"/>
      <c r="AI19" s="669"/>
      <c r="AJ19" s="669"/>
      <c r="AK19" s="663"/>
      <c r="AL19" s="663">
        <v>1</v>
      </c>
      <c r="AM19" s="663">
        <v>1</v>
      </c>
      <c r="AN19" s="663">
        <f t="shared" si="17"/>
        <v>1</v>
      </c>
      <c r="AO19" s="663">
        <f t="shared" si="18"/>
        <v>1</v>
      </c>
      <c r="AP19" s="668">
        <f t="shared" si="19"/>
        <v>2</v>
      </c>
      <c r="AQ19" s="669">
        <f t="shared" si="2"/>
        <v>3</v>
      </c>
      <c r="AR19" s="669">
        <f t="shared" si="3"/>
        <v>8</v>
      </c>
      <c r="AS19" s="669">
        <v>3</v>
      </c>
      <c r="AT19" s="669">
        <v>8</v>
      </c>
      <c r="AU19" s="664">
        <f t="shared" si="20"/>
        <v>11</v>
      </c>
      <c r="AV19" s="666">
        <f t="shared" si="21"/>
        <v>0.77777777777777779</v>
      </c>
      <c r="AW19" s="666">
        <v>0.78</v>
      </c>
      <c r="AX19" s="666">
        <f t="shared" si="22"/>
        <v>0.19555555555555557</v>
      </c>
      <c r="AY19" s="666">
        <f t="shared" si="4"/>
        <v>0.16572504708097929</v>
      </c>
      <c r="AZ19" s="666">
        <f t="shared" si="5"/>
        <v>0</v>
      </c>
      <c r="BA19" s="670">
        <f t="shared" si="23"/>
        <v>18.666666666666664</v>
      </c>
      <c r="BB19" s="671">
        <f t="shared" si="6"/>
        <v>29.333333333333332</v>
      </c>
      <c r="BC19" s="671"/>
      <c r="BD19" s="671"/>
      <c r="BE19" s="671"/>
      <c r="BF19" s="671"/>
      <c r="BG19" s="664">
        <v>17</v>
      </c>
      <c r="BH19" s="663">
        <f t="shared" si="7"/>
        <v>0</v>
      </c>
      <c r="BI19" s="663">
        <f t="shared" si="7"/>
        <v>0</v>
      </c>
      <c r="BJ19" s="672"/>
      <c r="BK19" s="672"/>
      <c r="BL19" s="663">
        <v>0</v>
      </c>
      <c r="BM19" s="663">
        <v>0</v>
      </c>
      <c r="BN19" s="663">
        <v>0</v>
      </c>
      <c r="BO19" s="663">
        <v>1</v>
      </c>
      <c r="BP19" s="663">
        <v>1</v>
      </c>
      <c r="BQ19" s="663">
        <v>2</v>
      </c>
      <c r="BR19" s="663">
        <v>0</v>
      </c>
      <c r="BS19" s="663">
        <v>1</v>
      </c>
      <c r="BT19" s="663">
        <v>0</v>
      </c>
      <c r="BU19" s="663">
        <v>1</v>
      </c>
      <c r="BV19" s="663">
        <v>0</v>
      </c>
      <c r="BW19" s="663">
        <v>1</v>
      </c>
      <c r="BX19" s="663">
        <v>0</v>
      </c>
      <c r="BY19" s="663">
        <v>0</v>
      </c>
      <c r="BZ19" s="669">
        <f t="shared" si="24"/>
        <v>1</v>
      </c>
      <c r="CA19" s="669">
        <f t="shared" si="25"/>
        <v>6</v>
      </c>
      <c r="CB19" s="673">
        <f t="shared" si="26"/>
        <v>7</v>
      </c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</row>
    <row r="20" spans="1:222" s="31" customFormat="1" ht="120" customHeight="1">
      <c r="A20" s="662">
        <v>15</v>
      </c>
      <c r="B20" s="675" t="str">
        <f>[1]TB07!C24</f>
        <v>CDG-N. BHUTTO COLONY DISPENSARY</v>
      </c>
      <c r="C20" s="675" t="str">
        <f>[1]TB07!D24</f>
        <v>NORTH NAZIMABAD</v>
      </c>
      <c r="D20" s="675"/>
      <c r="E20" s="676">
        <f>[1]TB07!E24</f>
        <v>580000</v>
      </c>
      <c r="F20" s="658">
        <f t="shared" si="8"/>
        <v>67.5</v>
      </c>
      <c r="G20" s="649">
        <v>30</v>
      </c>
      <c r="H20" s="675">
        <v>8</v>
      </c>
      <c r="I20" s="675">
        <v>4</v>
      </c>
      <c r="J20" s="664">
        <f t="shared" si="9"/>
        <v>12</v>
      </c>
      <c r="K20" s="675">
        <v>1</v>
      </c>
      <c r="L20" s="675">
        <v>1</v>
      </c>
      <c r="M20" s="664">
        <f t="shared" si="10"/>
        <v>2</v>
      </c>
      <c r="N20" s="675">
        <v>0</v>
      </c>
      <c r="O20" s="675">
        <v>0</v>
      </c>
      <c r="P20" s="664">
        <f t="shared" si="11"/>
        <v>0</v>
      </c>
      <c r="Q20" s="675">
        <v>0</v>
      </c>
      <c r="R20" s="675">
        <v>0</v>
      </c>
      <c r="S20" s="664">
        <f t="shared" si="0"/>
        <v>0</v>
      </c>
      <c r="T20" s="664"/>
      <c r="U20" s="664"/>
      <c r="V20" s="664">
        <f t="shared" si="1"/>
        <v>0</v>
      </c>
      <c r="W20" s="665">
        <f t="shared" si="12"/>
        <v>0.4</v>
      </c>
      <c r="X20" s="665">
        <f t="shared" si="13"/>
        <v>0.10344827586206896</v>
      </c>
      <c r="Y20" s="668"/>
      <c r="Z20" s="668"/>
      <c r="AA20" s="668"/>
      <c r="AB20" s="675"/>
      <c r="AC20" s="675">
        <v>5</v>
      </c>
      <c r="AD20" s="675">
        <v>1</v>
      </c>
      <c r="AE20" s="663">
        <f t="shared" si="14"/>
        <v>5</v>
      </c>
      <c r="AF20" s="663">
        <f t="shared" si="15"/>
        <v>1</v>
      </c>
      <c r="AG20" s="668">
        <f t="shared" si="16"/>
        <v>6</v>
      </c>
      <c r="AH20" s="668"/>
      <c r="AI20" s="664"/>
      <c r="AJ20" s="664"/>
      <c r="AK20" s="675"/>
      <c r="AL20" s="675">
        <v>0</v>
      </c>
      <c r="AM20" s="675">
        <v>3</v>
      </c>
      <c r="AN20" s="663">
        <f t="shared" si="17"/>
        <v>0</v>
      </c>
      <c r="AO20" s="663">
        <f t="shared" si="18"/>
        <v>3</v>
      </c>
      <c r="AP20" s="668">
        <f t="shared" si="19"/>
        <v>3</v>
      </c>
      <c r="AQ20" s="669">
        <f t="shared" si="2"/>
        <v>14</v>
      </c>
      <c r="AR20" s="669">
        <f t="shared" si="3"/>
        <v>9</v>
      </c>
      <c r="AS20" s="669">
        <v>14</v>
      </c>
      <c r="AT20" s="669">
        <v>9</v>
      </c>
      <c r="AU20" s="664">
        <f t="shared" si="20"/>
        <v>23</v>
      </c>
      <c r="AV20" s="666">
        <f t="shared" si="21"/>
        <v>0.66666666666666663</v>
      </c>
      <c r="AW20" s="666">
        <v>0.67</v>
      </c>
      <c r="AX20" s="666">
        <f t="shared" si="22"/>
        <v>0.34074074074074073</v>
      </c>
      <c r="AY20" s="665">
        <f t="shared" si="4"/>
        <v>8.9616208844730164E-2</v>
      </c>
      <c r="AZ20" s="665">
        <f t="shared" si="5"/>
        <v>8.6956521739130432E-2</v>
      </c>
      <c r="BA20" s="677">
        <f t="shared" si="23"/>
        <v>8.2758620689655178</v>
      </c>
      <c r="BB20" s="678">
        <f t="shared" si="6"/>
        <v>15.86206896551724</v>
      </c>
      <c r="BC20" s="678"/>
      <c r="BD20" s="678"/>
      <c r="BE20" s="678"/>
      <c r="BF20" s="678"/>
      <c r="BG20" s="664">
        <v>18</v>
      </c>
      <c r="BH20" s="675">
        <f t="shared" si="7"/>
        <v>0</v>
      </c>
      <c r="BI20" s="675">
        <f t="shared" si="7"/>
        <v>0</v>
      </c>
      <c r="BJ20" s="672"/>
      <c r="BK20" s="672"/>
      <c r="BL20" s="675">
        <v>0</v>
      </c>
      <c r="BM20" s="675">
        <v>0</v>
      </c>
      <c r="BN20" s="675">
        <v>3</v>
      </c>
      <c r="BO20" s="675">
        <v>2</v>
      </c>
      <c r="BP20" s="675">
        <v>1</v>
      </c>
      <c r="BQ20" s="675">
        <v>2</v>
      </c>
      <c r="BR20" s="675">
        <v>0</v>
      </c>
      <c r="BS20" s="675">
        <v>0</v>
      </c>
      <c r="BT20" s="675">
        <v>2</v>
      </c>
      <c r="BU20" s="675">
        <v>0</v>
      </c>
      <c r="BV20" s="675">
        <v>0</v>
      </c>
      <c r="BW20" s="675">
        <v>0</v>
      </c>
      <c r="BX20" s="675">
        <v>2</v>
      </c>
      <c r="BY20" s="675">
        <v>0</v>
      </c>
      <c r="BZ20" s="669">
        <f t="shared" si="24"/>
        <v>8</v>
      </c>
      <c r="CA20" s="669">
        <f t="shared" si="25"/>
        <v>4</v>
      </c>
      <c r="CB20" s="673">
        <f t="shared" si="26"/>
        <v>12</v>
      </c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</row>
    <row r="21" spans="1:222" s="29" customFormat="1" ht="120" customHeight="1">
      <c r="A21" s="662">
        <v>16</v>
      </c>
      <c r="B21" s="663" t="str">
        <f>[1]TB07!C27</f>
        <v xml:space="preserve">CDG-STAFF CLINIC </v>
      </c>
      <c r="C21" s="663" t="str">
        <f>[1]TB07!D27</f>
        <v>SADDAR</v>
      </c>
      <c r="D21" s="663"/>
      <c r="E21" s="658">
        <v>100000</v>
      </c>
      <c r="F21" s="658">
        <f t="shared" si="8"/>
        <v>56.25</v>
      </c>
      <c r="G21" s="649">
        <v>25</v>
      </c>
      <c r="H21" s="663">
        <v>4</v>
      </c>
      <c r="I21" s="663">
        <v>5</v>
      </c>
      <c r="J21" s="664">
        <f t="shared" si="9"/>
        <v>9</v>
      </c>
      <c r="K21" s="663">
        <v>0</v>
      </c>
      <c r="L21" s="663">
        <v>0</v>
      </c>
      <c r="M21" s="664">
        <f t="shared" si="10"/>
        <v>0</v>
      </c>
      <c r="N21" s="663">
        <v>0</v>
      </c>
      <c r="O21" s="663">
        <v>0</v>
      </c>
      <c r="P21" s="664">
        <f t="shared" si="11"/>
        <v>0</v>
      </c>
      <c r="Q21" s="663">
        <v>0</v>
      </c>
      <c r="R21" s="663">
        <v>0</v>
      </c>
      <c r="S21" s="664">
        <f>SUM(S19:S20)</f>
        <v>0</v>
      </c>
      <c r="T21" s="664"/>
      <c r="U21" s="664"/>
      <c r="V21" s="664">
        <f t="shared" si="1"/>
        <v>0</v>
      </c>
      <c r="W21" s="665">
        <f t="shared" si="12"/>
        <v>0.36</v>
      </c>
      <c r="X21" s="666">
        <f t="shared" si="13"/>
        <v>0.45</v>
      </c>
      <c r="Y21" s="667"/>
      <c r="Z21" s="667"/>
      <c r="AA21" s="667"/>
      <c r="AB21" s="663"/>
      <c r="AC21" s="663">
        <v>3</v>
      </c>
      <c r="AD21" s="663">
        <v>8</v>
      </c>
      <c r="AE21" s="663">
        <f t="shared" si="14"/>
        <v>3</v>
      </c>
      <c r="AF21" s="663">
        <f t="shared" si="15"/>
        <v>8</v>
      </c>
      <c r="AG21" s="668">
        <f t="shared" si="16"/>
        <v>11</v>
      </c>
      <c r="AH21" s="667"/>
      <c r="AI21" s="669"/>
      <c r="AJ21" s="669"/>
      <c r="AK21" s="663"/>
      <c r="AL21" s="663">
        <v>0</v>
      </c>
      <c r="AM21" s="663">
        <v>3</v>
      </c>
      <c r="AN21" s="663">
        <f t="shared" si="17"/>
        <v>0</v>
      </c>
      <c r="AO21" s="663">
        <f t="shared" si="18"/>
        <v>3</v>
      </c>
      <c r="AP21" s="668">
        <f t="shared" si="19"/>
        <v>3</v>
      </c>
      <c r="AQ21" s="669">
        <f t="shared" si="2"/>
        <v>7</v>
      </c>
      <c r="AR21" s="669">
        <f t="shared" si="3"/>
        <v>16</v>
      </c>
      <c r="AS21" s="669">
        <v>7</v>
      </c>
      <c r="AT21" s="669">
        <v>16</v>
      </c>
      <c r="AU21" s="664">
        <f t="shared" si="20"/>
        <v>23</v>
      </c>
      <c r="AV21" s="666">
        <f t="shared" si="21"/>
        <v>0.45</v>
      </c>
      <c r="AW21" s="666">
        <v>0.45</v>
      </c>
      <c r="AX21" s="666">
        <f t="shared" si="22"/>
        <v>0.40888888888888891</v>
      </c>
      <c r="AY21" s="666">
        <f t="shared" si="4"/>
        <v>0.51977401129943501</v>
      </c>
      <c r="AZ21" s="666">
        <f t="shared" si="5"/>
        <v>0</v>
      </c>
      <c r="BA21" s="670">
        <f t="shared" si="23"/>
        <v>36</v>
      </c>
      <c r="BB21" s="671">
        <f t="shared" si="6"/>
        <v>92</v>
      </c>
      <c r="BC21" s="671"/>
      <c r="BD21" s="671"/>
      <c r="BE21" s="671"/>
      <c r="BF21" s="671"/>
      <c r="BG21" s="664">
        <v>21</v>
      </c>
      <c r="BH21" s="663">
        <f t="shared" ref="BH21:BI26" si="27">BH136</f>
        <v>0</v>
      </c>
      <c r="BI21" s="663">
        <f t="shared" si="27"/>
        <v>0</v>
      </c>
      <c r="BJ21" s="672"/>
      <c r="BK21" s="672"/>
      <c r="BL21" s="663">
        <v>0</v>
      </c>
      <c r="BM21" s="663">
        <v>1</v>
      </c>
      <c r="BN21" s="663">
        <v>1</v>
      </c>
      <c r="BO21" s="663">
        <v>2</v>
      </c>
      <c r="BP21" s="663">
        <v>1</v>
      </c>
      <c r="BQ21" s="663">
        <v>1</v>
      </c>
      <c r="BR21" s="663">
        <v>1</v>
      </c>
      <c r="BS21" s="663">
        <v>0</v>
      </c>
      <c r="BT21" s="663">
        <v>0</v>
      </c>
      <c r="BU21" s="663">
        <v>1</v>
      </c>
      <c r="BV21" s="663">
        <v>1</v>
      </c>
      <c r="BW21" s="663">
        <v>0</v>
      </c>
      <c r="BX21" s="663">
        <v>0</v>
      </c>
      <c r="BY21" s="663">
        <v>0</v>
      </c>
      <c r="BZ21" s="669">
        <f t="shared" si="24"/>
        <v>4</v>
      </c>
      <c r="CA21" s="669">
        <f t="shared" si="25"/>
        <v>5</v>
      </c>
      <c r="CB21" s="673">
        <f t="shared" si="26"/>
        <v>9</v>
      </c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</row>
    <row r="22" spans="1:222" s="31" customFormat="1" ht="120" customHeight="1">
      <c r="A22" s="662">
        <v>17</v>
      </c>
      <c r="B22" s="675" t="str">
        <f>[1]TB07!C28</f>
        <v xml:space="preserve">CDG-SGD SHAH FAISAL </v>
      </c>
      <c r="C22" s="675" t="str">
        <f>[1]TB07!D28</f>
        <v>SHAH FAISAL</v>
      </c>
      <c r="D22" s="675"/>
      <c r="E22" s="676">
        <f>[1]TB07!E28</f>
        <v>200000</v>
      </c>
      <c r="F22" s="658">
        <f t="shared" si="8"/>
        <v>56.25</v>
      </c>
      <c r="G22" s="649">
        <v>25</v>
      </c>
      <c r="H22" s="675">
        <v>7</v>
      </c>
      <c r="I22" s="675">
        <v>7</v>
      </c>
      <c r="J22" s="664">
        <f t="shared" si="9"/>
        <v>14</v>
      </c>
      <c r="K22" s="675">
        <v>0</v>
      </c>
      <c r="L22" s="675">
        <v>0</v>
      </c>
      <c r="M22" s="664">
        <f t="shared" si="10"/>
        <v>0</v>
      </c>
      <c r="N22" s="675">
        <v>0</v>
      </c>
      <c r="O22" s="675">
        <v>0</v>
      </c>
      <c r="P22" s="664">
        <f t="shared" si="11"/>
        <v>0</v>
      </c>
      <c r="Q22" s="675">
        <v>0</v>
      </c>
      <c r="R22" s="675">
        <v>0</v>
      </c>
      <c r="S22" s="664">
        <f t="shared" si="0"/>
        <v>0</v>
      </c>
      <c r="T22" s="664"/>
      <c r="U22" s="664"/>
      <c r="V22" s="664">
        <f t="shared" si="1"/>
        <v>0</v>
      </c>
      <c r="W22" s="665">
        <f t="shared" si="12"/>
        <v>0.56000000000000005</v>
      </c>
      <c r="X22" s="665">
        <f t="shared" si="13"/>
        <v>0.35</v>
      </c>
      <c r="Y22" s="668"/>
      <c r="Z22" s="668"/>
      <c r="AA22" s="668"/>
      <c r="AB22" s="675"/>
      <c r="AC22" s="675">
        <v>4</v>
      </c>
      <c r="AD22" s="675">
        <v>3</v>
      </c>
      <c r="AE22" s="663">
        <f t="shared" si="14"/>
        <v>4</v>
      </c>
      <c r="AF22" s="663">
        <f t="shared" si="15"/>
        <v>3</v>
      </c>
      <c r="AG22" s="668">
        <f t="shared" si="16"/>
        <v>7</v>
      </c>
      <c r="AH22" s="668"/>
      <c r="AI22" s="664"/>
      <c r="AJ22" s="664"/>
      <c r="AK22" s="675"/>
      <c r="AL22" s="675">
        <v>1</v>
      </c>
      <c r="AM22" s="675">
        <v>2</v>
      </c>
      <c r="AN22" s="663">
        <f t="shared" si="17"/>
        <v>1</v>
      </c>
      <c r="AO22" s="663">
        <f t="shared" si="18"/>
        <v>2</v>
      </c>
      <c r="AP22" s="668">
        <f t="shared" si="19"/>
        <v>3</v>
      </c>
      <c r="AQ22" s="669">
        <f t="shared" si="2"/>
        <v>12</v>
      </c>
      <c r="AR22" s="669">
        <f t="shared" si="3"/>
        <v>12</v>
      </c>
      <c r="AS22" s="669">
        <v>12</v>
      </c>
      <c r="AT22" s="669">
        <v>12</v>
      </c>
      <c r="AU22" s="664">
        <f t="shared" si="20"/>
        <v>24</v>
      </c>
      <c r="AV22" s="666">
        <f t="shared" si="21"/>
        <v>0.66666666666666663</v>
      </c>
      <c r="AW22" s="666">
        <v>0.67</v>
      </c>
      <c r="AX22" s="666">
        <f t="shared" si="22"/>
        <v>0.42666666666666669</v>
      </c>
      <c r="AY22" s="665">
        <f t="shared" si="4"/>
        <v>0.2711864406779661</v>
      </c>
      <c r="AZ22" s="665">
        <f t="shared" si="5"/>
        <v>0</v>
      </c>
      <c r="BA22" s="677">
        <f t="shared" si="23"/>
        <v>27.999999999999996</v>
      </c>
      <c r="BB22" s="678">
        <f t="shared" si="6"/>
        <v>48</v>
      </c>
      <c r="BC22" s="678"/>
      <c r="BD22" s="678"/>
      <c r="BE22" s="678"/>
      <c r="BF22" s="678"/>
      <c r="BG22" s="664">
        <v>22</v>
      </c>
      <c r="BH22" s="675">
        <f t="shared" si="27"/>
        <v>0</v>
      </c>
      <c r="BI22" s="675">
        <f t="shared" si="27"/>
        <v>0</v>
      </c>
      <c r="BJ22" s="672"/>
      <c r="BK22" s="672"/>
      <c r="BL22" s="675">
        <v>0</v>
      </c>
      <c r="BM22" s="675">
        <v>0</v>
      </c>
      <c r="BN22" s="675">
        <v>1</v>
      </c>
      <c r="BO22" s="675">
        <v>5</v>
      </c>
      <c r="BP22" s="675">
        <v>1</v>
      </c>
      <c r="BQ22" s="675">
        <v>1</v>
      </c>
      <c r="BR22" s="675">
        <v>2</v>
      </c>
      <c r="BS22" s="675">
        <v>1</v>
      </c>
      <c r="BT22" s="675">
        <v>0</v>
      </c>
      <c r="BU22" s="675">
        <v>0</v>
      </c>
      <c r="BV22" s="675">
        <v>3</v>
      </c>
      <c r="BW22" s="675">
        <v>0</v>
      </c>
      <c r="BX22" s="675">
        <v>0</v>
      </c>
      <c r="BY22" s="675">
        <v>0</v>
      </c>
      <c r="BZ22" s="669">
        <f t="shared" si="24"/>
        <v>7</v>
      </c>
      <c r="CA22" s="669">
        <f t="shared" si="25"/>
        <v>7</v>
      </c>
      <c r="CB22" s="673">
        <f t="shared" si="26"/>
        <v>14</v>
      </c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</row>
    <row r="23" spans="1:222" s="29" customFormat="1" ht="120" customHeight="1">
      <c r="A23" s="662">
        <v>18</v>
      </c>
      <c r="B23" s="663" t="str">
        <f>[1]TB07!C29</f>
        <v xml:space="preserve">CDG-H.M.COMPLEX </v>
      </c>
      <c r="C23" s="663" t="str">
        <f>[1]TB07!D29</f>
        <v>SITE</v>
      </c>
      <c r="D23" s="663"/>
      <c r="E23" s="658">
        <f>[1]TB07!E29</f>
        <v>423500</v>
      </c>
      <c r="F23" s="658">
        <f t="shared" si="8"/>
        <v>56.25</v>
      </c>
      <c r="G23" s="649">
        <v>25</v>
      </c>
      <c r="H23" s="663">
        <v>1</v>
      </c>
      <c r="I23" s="663">
        <v>0</v>
      </c>
      <c r="J23" s="664">
        <f t="shared" si="9"/>
        <v>1</v>
      </c>
      <c r="K23" s="663">
        <v>1</v>
      </c>
      <c r="L23" s="663">
        <v>0</v>
      </c>
      <c r="M23" s="664">
        <f t="shared" si="10"/>
        <v>1</v>
      </c>
      <c r="N23" s="663">
        <v>0</v>
      </c>
      <c r="O23" s="663">
        <v>0</v>
      </c>
      <c r="P23" s="664">
        <f t="shared" si="11"/>
        <v>0</v>
      </c>
      <c r="Q23" s="663">
        <v>0</v>
      </c>
      <c r="R23" s="663">
        <v>0</v>
      </c>
      <c r="S23" s="664">
        <f t="shared" si="0"/>
        <v>0</v>
      </c>
      <c r="T23" s="664"/>
      <c r="U23" s="664"/>
      <c r="V23" s="664">
        <f t="shared" si="1"/>
        <v>0</v>
      </c>
      <c r="W23" s="665">
        <f t="shared" si="12"/>
        <v>0.04</v>
      </c>
      <c r="X23" s="666">
        <f t="shared" si="13"/>
        <v>1.1806375442739079E-2</v>
      </c>
      <c r="Y23" s="667"/>
      <c r="Z23" s="667"/>
      <c r="AA23" s="667"/>
      <c r="AB23" s="663"/>
      <c r="AC23" s="663">
        <v>3</v>
      </c>
      <c r="AD23" s="663">
        <v>6</v>
      </c>
      <c r="AE23" s="663">
        <f t="shared" si="14"/>
        <v>3</v>
      </c>
      <c r="AF23" s="663">
        <f t="shared" si="15"/>
        <v>6</v>
      </c>
      <c r="AG23" s="668">
        <f t="shared" si="16"/>
        <v>9</v>
      </c>
      <c r="AH23" s="667"/>
      <c r="AI23" s="669"/>
      <c r="AJ23" s="669"/>
      <c r="AK23" s="663"/>
      <c r="AL23" s="663">
        <v>0</v>
      </c>
      <c r="AM23" s="663">
        <v>1</v>
      </c>
      <c r="AN23" s="663">
        <f t="shared" si="17"/>
        <v>0</v>
      </c>
      <c r="AO23" s="663">
        <f t="shared" si="18"/>
        <v>1</v>
      </c>
      <c r="AP23" s="668">
        <f t="shared" si="19"/>
        <v>1</v>
      </c>
      <c r="AQ23" s="669">
        <f t="shared" si="2"/>
        <v>5</v>
      </c>
      <c r="AR23" s="669">
        <f t="shared" si="3"/>
        <v>7</v>
      </c>
      <c r="AS23" s="669">
        <v>5</v>
      </c>
      <c r="AT23" s="669">
        <v>7</v>
      </c>
      <c r="AU23" s="664">
        <f t="shared" si="20"/>
        <v>12</v>
      </c>
      <c r="AV23" s="666">
        <f t="shared" si="21"/>
        <v>0.1</v>
      </c>
      <c r="AW23" s="666">
        <v>0.1</v>
      </c>
      <c r="AX23" s="666">
        <f t="shared" si="22"/>
        <v>0.21333333333333335</v>
      </c>
      <c r="AY23" s="666">
        <f t="shared" si="4"/>
        <v>6.4034578672483133E-2</v>
      </c>
      <c r="AZ23" s="666">
        <f t="shared" si="5"/>
        <v>8.3333333333333329E-2</v>
      </c>
      <c r="BA23" s="670">
        <f t="shared" si="23"/>
        <v>0.94451003541912637</v>
      </c>
      <c r="BB23" s="671">
        <f t="shared" si="6"/>
        <v>11.334120425029516</v>
      </c>
      <c r="BC23" s="671"/>
      <c r="BD23" s="671"/>
      <c r="BE23" s="671"/>
      <c r="BF23" s="671"/>
      <c r="BG23" s="664">
        <v>23</v>
      </c>
      <c r="BH23" s="663">
        <f t="shared" si="27"/>
        <v>0</v>
      </c>
      <c r="BI23" s="663">
        <f t="shared" si="27"/>
        <v>0</v>
      </c>
      <c r="BJ23" s="672"/>
      <c r="BK23" s="672"/>
      <c r="BL23" s="663">
        <v>0</v>
      </c>
      <c r="BM23" s="663">
        <v>0</v>
      </c>
      <c r="BN23" s="663">
        <v>0</v>
      </c>
      <c r="BO23" s="663">
        <v>0</v>
      </c>
      <c r="BP23" s="663">
        <v>0</v>
      </c>
      <c r="BQ23" s="663">
        <v>0</v>
      </c>
      <c r="BR23" s="663">
        <v>0</v>
      </c>
      <c r="BS23" s="663">
        <v>0</v>
      </c>
      <c r="BT23" s="663">
        <v>1</v>
      </c>
      <c r="BU23" s="663">
        <v>0</v>
      </c>
      <c r="BV23" s="663">
        <v>0</v>
      </c>
      <c r="BW23" s="663">
        <v>0</v>
      </c>
      <c r="BX23" s="663">
        <v>0</v>
      </c>
      <c r="BY23" s="663">
        <v>0</v>
      </c>
      <c r="BZ23" s="669">
        <f t="shared" si="24"/>
        <v>1</v>
      </c>
      <c r="CA23" s="669">
        <f t="shared" si="25"/>
        <v>0</v>
      </c>
      <c r="CB23" s="673">
        <f t="shared" si="26"/>
        <v>1</v>
      </c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28"/>
      <c r="HN23" s="28"/>
    </row>
    <row r="24" spans="1:222" s="31" customFormat="1" ht="120" customHeight="1">
      <c r="A24" s="662">
        <v>19</v>
      </c>
      <c r="B24" s="675" t="str">
        <f>[1]TB07!C30</f>
        <v xml:space="preserve">SGH N.KARACHI </v>
      </c>
      <c r="C24" s="675" t="str">
        <f>[1]TB07!D30</f>
        <v>N.KARACHI</v>
      </c>
      <c r="D24" s="675"/>
      <c r="E24" s="676">
        <f>[1]TB07!E30</f>
        <v>450000</v>
      </c>
      <c r="F24" s="658">
        <v>230</v>
      </c>
      <c r="G24" s="649">
        <v>100</v>
      </c>
      <c r="H24" s="675">
        <v>46</v>
      </c>
      <c r="I24" s="675">
        <v>50</v>
      </c>
      <c r="J24" s="664">
        <f t="shared" si="9"/>
        <v>96</v>
      </c>
      <c r="K24" s="675">
        <v>3</v>
      </c>
      <c r="L24" s="675">
        <v>7</v>
      </c>
      <c r="M24" s="664">
        <f t="shared" si="10"/>
        <v>10</v>
      </c>
      <c r="N24" s="675">
        <v>0</v>
      </c>
      <c r="O24" s="675">
        <v>0</v>
      </c>
      <c r="P24" s="664">
        <f t="shared" si="11"/>
        <v>0</v>
      </c>
      <c r="Q24" s="675">
        <v>7</v>
      </c>
      <c r="R24" s="675">
        <v>5</v>
      </c>
      <c r="S24" s="664">
        <f>SUM(S22:S23)</f>
        <v>0</v>
      </c>
      <c r="T24" s="664"/>
      <c r="U24" s="664"/>
      <c r="V24" s="664">
        <f t="shared" si="1"/>
        <v>0</v>
      </c>
      <c r="W24" s="665">
        <f t="shared" si="12"/>
        <v>0.96</v>
      </c>
      <c r="X24" s="665">
        <f t="shared" si="13"/>
        <v>1.0666666666666667</v>
      </c>
      <c r="Y24" s="668"/>
      <c r="Z24" s="668"/>
      <c r="AA24" s="668"/>
      <c r="AB24" s="675"/>
      <c r="AC24" s="675">
        <v>22</v>
      </c>
      <c r="AD24" s="675">
        <v>38</v>
      </c>
      <c r="AE24" s="663">
        <f t="shared" si="14"/>
        <v>22</v>
      </c>
      <c r="AF24" s="663">
        <f t="shared" si="15"/>
        <v>38</v>
      </c>
      <c r="AG24" s="668">
        <f t="shared" si="16"/>
        <v>60</v>
      </c>
      <c r="AH24" s="668"/>
      <c r="AI24" s="664"/>
      <c r="AJ24" s="664"/>
      <c r="AK24" s="675"/>
      <c r="AL24" s="675">
        <v>29</v>
      </c>
      <c r="AM24" s="675">
        <v>50</v>
      </c>
      <c r="AN24" s="663">
        <f t="shared" si="17"/>
        <v>29</v>
      </c>
      <c r="AO24" s="663">
        <f t="shared" si="18"/>
        <v>50</v>
      </c>
      <c r="AP24" s="668">
        <f t="shared" si="19"/>
        <v>79</v>
      </c>
      <c r="AQ24" s="669">
        <f t="shared" si="2"/>
        <v>107</v>
      </c>
      <c r="AR24" s="669">
        <f t="shared" si="3"/>
        <v>150</v>
      </c>
      <c r="AS24" s="669">
        <v>107</v>
      </c>
      <c r="AT24" s="669">
        <v>150</v>
      </c>
      <c r="AU24" s="664">
        <f t="shared" si="20"/>
        <v>257</v>
      </c>
      <c r="AV24" s="666">
        <f t="shared" si="21"/>
        <v>0.61538461538461542</v>
      </c>
      <c r="AW24" s="666">
        <v>0.62</v>
      </c>
      <c r="AX24" s="666">
        <f t="shared" si="22"/>
        <v>1.1173913043478261</v>
      </c>
      <c r="AY24" s="665">
        <f t="shared" si="4"/>
        <v>1.2906465787821719</v>
      </c>
      <c r="AZ24" s="665">
        <f t="shared" si="5"/>
        <v>3.8910505836575876E-2</v>
      </c>
      <c r="BA24" s="677">
        <f t="shared" si="23"/>
        <v>85.333333333333329</v>
      </c>
      <c r="BB24" s="678">
        <f t="shared" si="6"/>
        <v>228.44444444444443</v>
      </c>
      <c r="BC24" s="678"/>
      <c r="BD24" s="678"/>
      <c r="BE24" s="678"/>
      <c r="BF24" s="678"/>
      <c r="BG24" s="664">
        <v>24</v>
      </c>
      <c r="BH24" s="675">
        <f t="shared" si="27"/>
        <v>0</v>
      </c>
      <c r="BI24" s="675">
        <f t="shared" si="27"/>
        <v>0</v>
      </c>
      <c r="BJ24" s="672"/>
      <c r="BK24" s="672"/>
      <c r="BL24" s="675">
        <v>5</v>
      </c>
      <c r="BM24" s="675">
        <v>5</v>
      </c>
      <c r="BN24" s="675">
        <v>13</v>
      </c>
      <c r="BO24" s="675">
        <v>28</v>
      </c>
      <c r="BP24" s="675">
        <v>8</v>
      </c>
      <c r="BQ24" s="675">
        <v>9</v>
      </c>
      <c r="BR24" s="675">
        <v>7</v>
      </c>
      <c r="BS24" s="675">
        <v>2</v>
      </c>
      <c r="BT24" s="675">
        <v>7</v>
      </c>
      <c r="BU24" s="675">
        <v>2</v>
      </c>
      <c r="BV24" s="675">
        <v>3</v>
      </c>
      <c r="BW24" s="675">
        <v>3</v>
      </c>
      <c r="BX24" s="675">
        <v>3</v>
      </c>
      <c r="BY24" s="675">
        <v>1</v>
      </c>
      <c r="BZ24" s="669">
        <f t="shared" si="24"/>
        <v>46</v>
      </c>
      <c r="CA24" s="669">
        <f t="shared" si="25"/>
        <v>50</v>
      </c>
      <c r="CB24" s="673">
        <f t="shared" si="26"/>
        <v>96</v>
      </c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</row>
    <row r="25" spans="1:222" s="29" customFormat="1" ht="120" customHeight="1">
      <c r="A25" s="662">
        <v>20</v>
      </c>
      <c r="B25" s="663" t="s">
        <v>139</v>
      </c>
      <c r="C25" s="663" t="str">
        <f>[1]TB07!D31</f>
        <v>N.KARACHI</v>
      </c>
      <c r="D25" s="663"/>
      <c r="E25" s="658">
        <v>137000</v>
      </c>
      <c r="F25" s="658">
        <f t="shared" si="8"/>
        <v>56.25</v>
      </c>
      <c r="G25" s="649">
        <v>25</v>
      </c>
      <c r="H25" s="663">
        <v>6</v>
      </c>
      <c r="I25" s="663">
        <v>6</v>
      </c>
      <c r="J25" s="664">
        <f t="shared" si="9"/>
        <v>12</v>
      </c>
      <c r="K25" s="663">
        <v>0</v>
      </c>
      <c r="L25" s="663">
        <v>0</v>
      </c>
      <c r="M25" s="664">
        <f t="shared" si="10"/>
        <v>0</v>
      </c>
      <c r="N25" s="663">
        <v>1</v>
      </c>
      <c r="O25" s="663">
        <v>0</v>
      </c>
      <c r="P25" s="664">
        <f t="shared" si="11"/>
        <v>1</v>
      </c>
      <c r="Q25" s="663">
        <v>1</v>
      </c>
      <c r="R25" s="663">
        <v>0</v>
      </c>
      <c r="S25" s="664">
        <f t="shared" si="0"/>
        <v>1</v>
      </c>
      <c r="T25" s="664"/>
      <c r="U25" s="664"/>
      <c r="V25" s="664">
        <f t="shared" si="1"/>
        <v>0</v>
      </c>
      <c r="W25" s="665">
        <f t="shared" si="12"/>
        <v>0.48</v>
      </c>
      <c r="X25" s="666">
        <f t="shared" si="13"/>
        <v>0.43795620437956201</v>
      </c>
      <c r="Y25" s="667"/>
      <c r="Z25" s="667"/>
      <c r="AA25" s="667"/>
      <c r="AB25" s="663"/>
      <c r="AC25" s="663">
        <v>2</v>
      </c>
      <c r="AD25" s="663">
        <v>1</v>
      </c>
      <c r="AE25" s="663">
        <f t="shared" si="14"/>
        <v>2</v>
      </c>
      <c r="AF25" s="663">
        <f t="shared" si="15"/>
        <v>1</v>
      </c>
      <c r="AG25" s="668">
        <f t="shared" si="16"/>
        <v>3</v>
      </c>
      <c r="AH25" s="667"/>
      <c r="AI25" s="669"/>
      <c r="AJ25" s="669"/>
      <c r="AK25" s="663"/>
      <c r="AL25" s="663">
        <v>3</v>
      </c>
      <c r="AM25" s="663">
        <v>4</v>
      </c>
      <c r="AN25" s="663">
        <f t="shared" si="17"/>
        <v>3</v>
      </c>
      <c r="AO25" s="663">
        <f t="shared" si="18"/>
        <v>4</v>
      </c>
      <c r="AP25" s="668">
        <f t="shared" si="19"/>
        <v>7</v>
      </c>
      <c r="AQ25" s="669">
        <f t="shared" si="2"/>
        <v>13</v>
      </c>
      <c r="AR25" s="669">
        <f t="shared" si="3"/>
        <v>11</v>
      </c>
      <c r="AS25" s="669">
        <v>13</v>
      </c>
      <c r="AT25" s="669">
        <v>11</v>
      </c>
      <c r="AU25" s="664">
        <f t="shared" si="20"/>
        <v>24</v>
      </c>
      <c r="AV25" s="666">
        <f t="shared" si="21"/>
        <v>0.8</v>
      </c>
      <c r="AW25" s="666">
        <v>0.8</v>
      </c>
      <c r="AX25" s="666">
        <f t="shared" si="22"/>
        <v>0.42666666666666669</v>
      </c>
      <c r="AY25" s="666">
        <f t="shared" si="4"/>
        <v>0.39589261412841764</v>
      </c>
      <c r="AZ25" s="666">
        <f t="shared" si="5"/>
        <v>8.3333333333333329E-2</v>
      </c>
      <c r="BA25" s="670">
        <f t="shared" si="23"/>
        <v>35.036496350364963</v>
      </c>
      <c r="BB25" s="671">
        <f t="shared" si="6"/>
        <v>70.072992700729927</v>
      </c>
      <c r="BC25" s="671"/>
      <c r="BD25" s="671"/>
      <c r="BE25" s="671"/>
      <c r="BF25" s="671"/>
      <c r="BG25" s="664">
        <v>25</v>
      </c>
      <c r="BH25" s="663">
        <f t="shared" si="27"/>
        <v>0</v>
      </c>
      <c r="BI25" s="663">
        <f t="shared" si="27"/>
        <v>0</v>
      </c>
      <c r="BJ25" s="672"/>
      <c r="BK25" s="672"/>
      <c r="BL25" s="675">
        <v>0</v>
      </c>
      <c r="BM25" s="675">
        <v>0</v>
      </c>
      <c r="BN25" s="675">
        <v>1</v>
      </c>
      <c r="BO25" s="675">
        <v>2</v>
      </c>
      <c r="BP25" s="675">
        <v>1</v>
      </c>
      <c r="BQ25" s="675">
        <v>3</v>
      </c>
      <c r="BR25" s="675">
        <v>0</v>
      </c>
      <c r="BS25" s="675">
        <v>1</v>
      </c>
      <c r="BT25" s="675">
        <v>1</v>
      </c>
      <c r="BU25" s="675">
        <v>0</v>
      </c>
      <c r="BV25" s="675">
        <v>0</v>
      </c>
      <c r="BW25" s="675">
        <v>0</v>
      </c>
      <c r="BX25" s="675">
        <v>3</v>
      </c>
      <c r="BY25" s="675">
        <v>0</v>
      </c>
      <c r="BZ25" s="669">
        <f t="shared" si="24"/>
        <v>6</v>
      </c>
      <c r="CA25" s="669">
        <f t="shared" si="25"/>
        <v>6</v>
      </c>
      <c r="CB25" s="673">
        <f t="shared" si="26"/>
        <v>12</v>
      </c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</row>
    <row r="26" spans="1:222" s="29" customFormat="1" ht="120" customHeight="1">
      <c r="A26" s="662">
        <v>21</v>
      </c>
      <c r="B26" s="663" t="s">
        <v>123</v>
      </c>
      <c r="C26" s="663" t="s">
        <v>53</v>
      </c>
      <c r="D26" s="663"/>
      <c r="E26" s="658">
        <v>400000</v>
      </c>
      <c r="F26" s="658">
        <v>154</v>
      </c>
      <c r="G26" s="649">
        <v>65</v>
      </c>
      <c r="H26" s="663">
        <v>9</v>
      </c>
      <c r="I26" s="663">
        <v>18</v>
      </c>
      <c r="J26" s="664">
        <f t="shared" si="9"/>
        <v>27</v>
      </c>
      <c r="K26" s="663">
        <v>1</v>
      </c>
      <c r="L26" s="663">
        <v>0</v>
      </c>
      <c r="M26" s="664">
        <f>SUM(K26:L26)</f>
        <v>1</v>
      </c>
      <c r="N26" s="663">
        <v>0</v>
      </c>
      <c r="O26" s="663">
        <v>1</v>
      </c>
      <c r="P26" s="664">
        <f>SUM(N26:O26)</f>
        <v>1</v>
      </c>
      <c r="Q26" s="663">
        <v>0</v>
      </c>
      <c r="R26" s="663">
        <v>0</v>
      </c>
      <c r="S26" s="664">
        <f>SUM(Q26:R26)</f>
        <v>0</v>
      </c>
      <c r="T26" s="664"/>
      <c r="U26" s="664"/>
      <c r="V26" s="664">
        <f>SUM(T26:U26)</f>
        <v>0</v>
      </c>
      <c r="W26" s="665">
        <f>J26/G26</f>
        <v>0.41538461538461541</v>
      </c>
      <c r="X26" s="666">
        <f>J26*4/(E26*0.0008)</f>
        <v>0.33750000000000002</v>
      </c>
      <c r="Y26" s="667"/>
      <c r="Z26" s="667"/>
      <c r="AA26" s="667"/>
      <c r="AB26" s="663"/>
      <c r="AC26" s="663">
        <v>12</v>
      </c>
      <c r="AD26" s="663">
        <v>7</v>
      </c>
      <c r="AE26" s="663">
        <f>Y26+AA26+AC26</f>
        <v>12</v>
      </c>
      <c r="AF26" s="663">
        <f>Z26+AB26+AD26</f>
        <v>7</v>
      </c>
      <c r="AG26" s="668">
        <f>AF26+AE26</f>
        <v>19</v>
      </c>
      <c r="AH26" s="667"/>
      <c r="AI26" s="669"/>
      <c r="AJ26" s="669"/>
      <c r="AK26" s="663"/>
      <c r="AL26" s="663">
        <v>5</v>
      </c>
      <c r="AM26" s="663">
        <v>6</v>
      </c>
      <c r="AN26" s="663">
        <f>AH26+AJ26+AL26</f>
        <v>5</v>
      </c>
      <c r="AO26" s="663">
        <f>AI26+AK26+AM26</f>
        <v>6</v>
      </c>
      <c r="AP26" s="668">
        <f>AO26+AN26</f>
        <v>11</v>
      </c>
      <c r="AQ26" s="669">
        <f>AL26+AJ26+AH26+AC26+AA26+Y26+T26+Q26+N26+K26+H26</f>
        <v>27</v>
      </c>
      <c r="AR26" s="669">
        <f>AM26+AK26+AI26+AD26+AB26+Z26+U26+R26+O26+L26+I26</f>
        <v>32</v>
      </c>
      <c r="AS26" s="669">
        <v>27</v>
      </c>
      <c r="AT26" s="669">
        <v>32</v>
      </c>
      <c r="AU26" s="664">
        <f t="shared" si="20"/>
        <v>59</v>
      </c>
      <c r="AV26" s="666">
        <f>J26/(J26+AG26)</f>
        <v>0.58695652173913049</v>
      </c>
      <c r="AW26" s="666">
        <v>0.59</v>
      </c>
      <c r="AX26" s="666">
        <f>AU26/F26</f>
        <v>0.38311688311688313</v>
      </c>
      <c r="AY26" s="666">
        <f>AU26*4/(E26*0.00177)</f>
        <v>0.33333333333333331</v>
      </c>
      <c r="AZ26" s="666">
        <f>(M26+P26+S26)/AU26</f>
        <v>3.3898305084745763E-2</v>
      </c>
      <c r="BA26" s="670">
        <f>J26*4/E26*100000</f>
        <v>27</v>
      </c>
      <c r="BB26" s="671">
        <f>AU26*4/E26*100000</f>
        <v>59</v>
      </c>
      <c r="BC26" s="671"/>
      <c r="BD26" s="671"/>
      <c r="BE26" s="671"/>
      <c r="BF26" s="671"/>
      <c r="BG26" s="664">
        <v>19</v>
      </c>
      <c r="BH26" s="663">
        <f t="shared" si="27"/>
        <v>0</v>
      </c>
      <c r="BI26" s="663">
        <f t="shared" si="27"/>
        <v>0</v>
      </c>
      <c r="BJ26" s="672"/>
      <c r="BK26" s="672"/>
      <c r="BL26" s="663">
        <v>0</v>
      </c>
      <c r="BM26" s="663">
        <v>1</v>
      </c>
      <c r="BN26" s="663">
        <v>3</v>
      </c>
      <c r="BO26" s="663">
        <v>8</v>
      </c>
      <c r="BP26" s="663">
        <v>2</v>
      </c>
      <c r="BQ26" s="663">
        <v>4</v>
      </c>
      <c r="BR26" s="663">
        <v>3</v>
      </c>
      <c r="BS26" s="663">
        <v>3</v>
      </c>
      <c r="BT26" s="663">
        <v>1</v>
      </c>
      <c r="BU26" s="663">
        <v>2</v>
      </c>
      <c r="BV26" s="663">
        <v>0</v>
      </c>
      <c r="BW26" s="663">
        <v>0</v>
      </c>
      <c r="BX26" s="663">
        <v>0</v>
      </c>
      <c r="BY26" s="663">
        <v>0</v>
      </c>
      <c r="BZ26" s="669">
        <f t="shared" si="24"/>
        <v>9</v>
      </c>
      <c r="CA26" s="669">
        <f t="shared" si="25"/>
        <v>18</v>
      </c>
      <c r="CB26" s="673">
        <f t="shared" si="26"/>
        <v>27</v>
      </c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</row>
    <row r="27" spans="1:222" s="37" customFormat="1" ht="120" customHeight="1" thickBot="1">
      <c r="A27" s="681" t="s">
        <v>32</v>
      </c>
      <c r="B27" s="682" t="s">
        <v>178</v>
      </c>
      <c r="C27" s="683" t="s">
        <v>46</v>
      </c>
      <c r="D27" s="683"/>
      <c r="E27" s="684">
        <f>SUM(E6:E26)</f>
        <v>5540500</v>
      </c>
      <c r="F27" s="685">
        <f t="shared" ref="F27:R27" si="28">SUM(F6:F26)</f>
        <v>1554</v>
      </c>
      <c r="G27" s="684">
        <f t="shared" si="28"/>
        <v>685</v>
      </c>
      <c r="H27" s="682">
        <f t="shared" si="28"/>
        <v>136</v>
      </c>
      <c r="I27" s="682">
        <f t="shared" si="28"/>
        <v>176</v>
      </c>
      <c r="J27" s="686">
        <f t="shared" si="28"/>
        <v>312</v>
      </c>
      <c r="K27" s="682">
        <f t="shared" si="28"/>
        <v>10</v>
      </c>
      <c r="L27" s="682">
        <f t="shared" si="28"/>
        <v>17</v>
      </c>
      <c r="M27" s="682">
        <f t="shared" si="28"/>
        <v>27</v>
      </c>
      <c r="N27" s="682">
        <f t="shared" si="28"/>
        <v>1</v>
      </c>
      <c r="O27" s="682">
        <f t="shared" si="28"/>
        <v>2</v>
      </c>
      <c r="P27" s="682">
        <f t="shared" si="28"/>
        <v>3</v>
      </c>
      <c r="Q27" s="682">
        <f t="shared" si="28"/>
        <v>13</v>
      </c>
      <c r="R27" s="682">
        <f t="shared" si="28"/>
        <v>7</v>
      </c>
      <c r="S27" s="682">
        <f>SUM(S25:S26)</f>
        <v>1</v>
      </c>
      <c r="T27" s="687"/>
      <c r="U27" s="687"/>
      <c r="V27" s="686">
        <f t="shared" si="1"/>
        <v>0</v>
      </c>
      <c r="W27" s="688">
        <f t="shared" si="12"/>
        <v>0.4554744525547445</v>
      </c>
      <c r="X27" s="689">
        <f>J27*4/(E27*0.0008)</f>
        <v>0.28156303582709136</v>
      </c>
      <c r="Y27" s="682"/>
      <c r="Z27" s="682"/>
      <c r="AA27" s="682"/>
      <c r="AB27" s="682"/>
      <c r="AC27" s="682">
        <f>SUM(AC6:AC26)</f>
        <v>90</v>
      </c>
      <c r="AD27" s="682">
        <f>SUM(AD6:AD26)</f>
        <v>132</v>
      </c>
      <c r="AE27" s="690">
        <f>SUM(AE6:AE26)</f>
        <v>90</v>
      </c>
      <c r="AF27" s="690">
        <f>SUM(AF6:AF26)</f>
        <v>132</v>
      </c>
      <c r="AG27" s="691">
        <f>SUM(AG6:AG26)</f>
        <v>222</v>
      </c>
      <c r="AH27" s="682"/>
      <c r="AI27" s="682"/>
      <c r="AJ27" s="682"/>
      <c r="AK27" s="682"/>
      <c r="AL27" s="682">
        <f t="shared" ref="AL27:AR27" si="29">SUM(AL6:AL26)</f>
        <v>62</v>
      </c>
      <c r="AM27" s="682">
        <f t="shared" si="29"/>
        <v>125</v>
      </c>
      <c r="AN27" s="690">
        <f t="shared" si="29"/>
        <v>62</v>
      </c>
      <c r="AO27" s="690">
        <f t="shared" si="29"/>
        <v>125</v>
      </c>
      <c r="AP27" s="691">
        <f t="shared" si="29"/>
        <v>187</v>
      </c>
      <c r="AQ27" s="692">
        <f t="shared" si="29"/>
        <v>312</v>
      </c>
      <c r="AR27" s="692">
        <f t="shared" si="29"/>
        <v>459</v>
      </c>
      <c r="AS27" s="692">
        <v>312</v>
      </c>
      <c r="AT27" s="692">
        <v>459</v>
      </c>
      <c r="AU27" s="686">
        <f t="shared" si="20"/>
        <v>771</v>
      </c>
      <c r="AV27" s="693">
        <f t="shared" si="21"/>
        <v>0.5842696629213483</v>
      </c>
      <c r="AW27" s="693">
        <v>0.57999999999999996</v>
      </c>
      <c r="AX27" s="693">
        <f t="shared" si="22"/>
        <v>0.49613899613899615</v>
      </c>
      <c r="AY27" s="693">
        <f t="shared" si="4"/>
        <v>0.3144793577034441</v>
      </c>
      <c r="AZ27" s="693">
        <f t="shared" si="5"/>
        <v>4.0207522697795074E-2</v>
      </c>
      <c r="BA27" s="694">
        <f>J27*4/E27*100000</f>
        <v>22.525042866167315</v>
      </c>
      <c r="BB27" s="695">
        <f t="shared" si="6"/>
        <v>55.662846313509611</v>
      </c>
      <c r="BC27" s="695"/>
      <c r="BD27" s="695"/>
      <c r="BE27" s="695"/>
      <c r="BF27" s="695"/>
      <c r="BG27" s="922" t="s">
        <v>45</v>
      </c>
      <c r="BH27" s="922"/>
      <c r="BI27" s="696">
        <f>BI142</f>
        <v>0</v>
      </c>
      <c r="BJ27" s="697"/>
      <c r="BK27" s="697"/>
      <c r="BL27" s="682">
        <f t="shared" ref="BL27:CA27" si="30">SUM(BL6:BL26)</f>
        <v>6</v>
      </c>
      <c r="BM27" s="682">
        <f t="shared" si="30"/>
        <v>12</v>
      </c>
      <c r="BN27" s="682">
        <f t="shared" si="30"/>
        <v>47</v>
      </c>
      <c r="BO27" s="682">
        <f t="shared" si="30"/>
        <v>84</v>
      </c>
      <c r="BP27" s="682">
        <f t="shared" si="30"/>
        <v>30</v>
      </c>
      <c r="BQ27" s="682">
        <f t="shared" si="30"/>
        <v>39</v>
      </c>
      <c r="BR27" s="682">
        <f t="shared" si="30"/>
        <v>16</v>
      </c>
      <c r="BS27" s="682">
        <f t="shared" si="30"/>
        <v>18</v>
      </c>
      <c r="BT27" s="682">
        <f t="shared" si="30"/>
        <v>14</v>
      </c>
      <c r="BU27" s="682">
        <f t="shared" si="30"/>
        <v>10</v>
      </c>
      <c r="BV27" s="682">
        <f t="shared" si="30"/>
        <v>12</v>
      </c>
      <c r="BW27" s="682">
        <f t="shared" si="30"/>
        <v>7</v>
      </c>
      <c r="BX27" s="682">
        <f t="shared" si="30"/>
        <v>11</v>
      </c>
      <c r="BY27" s="682">
        <f t="shared" si="30"/>
        <v>6</v>
      </c>
      <c r="BZ27" s="692">
        <f t="shared" si="30"/>
        <v>136</v>
      </c>
      <c r="CA27" s="692">
        <f t="shared" si="30"/>
        <v>176</v>
      </c>
      <c r="CB27" s="698">
        <f>CA27+BZ27</f>
        <v>312</v>
      </c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</row>
    <row r="28" spans="1:222" ht="30" customHeight="1">
      <c r="A28" s="3"/>
      <c r="B28" s="11"/>
      <c r="C28" s="11"/>
      <c r="D28" s="11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4"/>
      <c r="Y28" s="4"/>
      <c r="Z28" s="4"/>
      <c r="AA28" s="4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4"/>
      <c r="AZ28" s="4"/>
      <c r="BA28" s="4"/>
      <c r="BB28" s="4"/>
      <c r="BC28" s="4"/>
      <c r="BD28" s="4"/>
      <c r="BE28" s="4"/>
      <c r="BF28" s="4"/>
      <c r="BG28" s="3"/>
      <c r="BH28" s="3"/>
      <c r="BI28" s="3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</row>
    <row r="29" spans="1:222" ht="30" customHeight="1">
      <c r="G29" s="78"/>
      <c r="J29" s="6"/>
      <c r="K29" s="2"/>
      <c r="W29" s="27"/>
      <c r="BG29" s="8"/>
      <c r="BH29" s="8"/>
      <c r="BI29" s="8"/>
      <c r="CC29" s="9"/>
    </row>
    <row r="30" spans="1:222" ht="129.94999999999999" customHeight="1">
      <c r="A30" s="918" t="s">
        <v>40</v>
      </c>
      <c r="B30" s="919"/>
      <c r="C30" s="536"/>
      <c r="D30" s="536"/>
      <c r="E30" s="534"/>
      <c r="F30" s="534"/>
      <c r="G30" s="534"/>
      <c r="H30" s="534" t="s">
        <v>43</v>
      </c>
      <c r="I30" s="534"/>
      <c r="J30" s="534"/>
      <c r="K30" s="534"/>
      <c r="L30" s="534"/>
      <c r="M30" s="534"/>
      <c r="N30" s="534"/>
      <c r="O30" s="534"/>
      <c r="P30" s="534"/>
      <c r="Q30" s="534"/>
      <c r="R30" s="534"/>
      <c r="S30" s="534"/>
      <c r="T30" s="534"/>
      <c r="U30" s="534"/>
      <c r="V30" s="534"/>
      <c r="W30" s="534"/>
      <c r="X30" s="534"/>
      <c r="Y30" s="534"/>
      <c r="Z30" s="534"/>
      <c r="AA30" s="534"/>
      <c r="AB30" s="534"/>
      <c r="AC30" s="534"/>
      <c r="AD30" s="534"/>
      <c r="AE30" s="534"/>
      <c r="AF30" s="534"/>
      <c r="AG30" s="534"/>
      <c r="AH30" s="534"/>
      <c r="AI30" s="534"/>
      <c r="AJ30" s="534"/>
      <c r="AK30" s="534"/>
      <c r="AL30" s="534"/>
      <c r="AM30" s="534"/>
      <c r="AN30" s="534"/>
      <c r="AO30" s="534"/>
      <c r="AP30" s="534"/>
      <c r="AQ30" s="534"/>
      <c r="AR30" s="534"/>
      <c r="AS30" s="534"/>
      <c r="AT30" s="534"/>
      <c r="AU30" s="534"/>
      <c r="AV30" s="534"/>
      <c r="AW30" s="534"/>
      <c r="AX30" s="534"/>
      <c r="AY30" s="534"/>
      <c r="AZ30" s="534"/>
      <c r="BA30" s="534"/>
      <c r="BB30" s="534"/>
      <c r="BC30" s="534"/>
      <c r="BD30" s="534"/>
      <c r="BE30" s="534"/>
      <c r="BF30" s="534"/>
      <c r="BG30" s="918" t="s">
        <v>40</v>
      </c>
      <c r="BH30" s="919"/>
      <c r="BI30" s="536"/>
      <c r="BJ30" s="534"/>
      <c r="BK30" s="534"/>
      <c r="BL30" s="534"/>
      <c r="BM30" s="534"/>
      <c r="BN30" s="534"/>
      <c r="BO30" s="534"/>
      <c r="BP30" s="534"/>
      <c r="BQ30" s="534"/>
      <c r="BR30" s="534"/>
      <c r="BS30" s="534"/>
      <c r="BT30" s="534"/>
      <c r="BU30" s="534"/>
      <c r="BV30" s="534"/>
      <c r="BW30" s="534"/>
      <c r="BX30" s="534"/>
      <c r="BY30" s="534"/>
      <c r="BZ30" s="534"/>
      <c r="CA30" s="534"/>
      <c r="CB30" s="534"/>
    </row>
    <row r="31" spans="1:222" ht="129.94999999999999" customHeight="1">
      <c r="A31" s="942" t="s">
        <v>25</v>
      </c>
      <c r="B31" s="943"/>
      <c r="C31" s="513"/>
      <c r="D31" s="641"/>
      <c r="E31" s="514"/>
      <c r="F31" s="514"/>
      <c r="G31" s="699"/>
      <c r="H31" s="925" t="s">
        <v>34</v>
      </c>
      <c r="I31" s="925"/>
      <c r="J31" s="925"/>
      <c r="K31" s="925"/>
      <c r="L31" s="925"/>
      <c r="M31" s="925"/>
      <c r="N31" s="925"/>
      <c r="O31" s="925"/>
      <c r="P31" s="925"/>
      <c r="Q31" s="925"/>
      <c r="R31" s="925"/>
      <c r="S31" s="925"/>
      <c r="T31" s="534"/>
      <c r="U31" s="534"/>
      <c r="V31" s="534"/>
      <c r="W31" s="534"/>
      <c r="X31" s="516"/>
      <c r="Y31" s="925" t="s">
        <v>28</v>
      </c>
      <c r="Z31" s="925"/>
      <c r="AA31" s="925"/>
      <c r="AB31" s="925"/>
      <c r="AC31" s="925"/>
      <c r="AD31" s="925"/>
      <c r="AE31" s="925"/>
      <c r="AF31" s="925"/>
      <c r="AG31" s="925"/>
      <c r="AH31" s="925" t="s">
        <v>35</v>
      </c>
      <c r="AI31" s="925"/>
      <c r="AJ31" s="925"/>
      <c r="AK31" s="925"/>
      <c r="AL31" s="925"/>
      <c r="AM31" s="925"/>
      <c r="AN31" s="925"/>
      <c r="AO31" s="925"/>
      <c r="AP31" s="925"/>
      <c r="AQ31" s="517"/>
      <c r="AR31" s="518"/>
      <c r="AS31" s="518"/>
      <c r="AT31" s="518"/>
      <c r="AU31" s="518"/>
      <c r="AV31" s="518"/>
      <c r="AW31" s="518"/>
      <c r="AX31" s="518"/>
      <c r="AY31" s="518"/>
      <c r="AZ31" s="518"/>
      <c r="BA31" s="518"/>
      <c r="BB31" s="519"/>
      <c r="BC31" s="518"/>
      <c r="BD31" s="518"/>
      <c r="BE31" s="518"/>
      <c r="BF31" s="518"/>
      <c r="BG31" s="923" t="s">
        <v>25</v>
      </c>
      <c r="BH31" s="924"/>
      <c r="BI31" s="641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</row>
    <row r="32" spans="1:222" ht="129.94999999999999" customHeight="1">
      <c r="A32" s="903" t="s">
        <v>2</v>
      </c>
      <c r="B32" s="905"/>
      <c r="C32" s="521"/>
      <c r="D32" s="642"/>
      <c r="E32" s="522"/>
      <c r="F32" s="522"/>
      <c r="G32" s="522"/>
      <c r="H32" s="925" t="s">
        <v>10</v>
      </c>
      <c r="I32" s="925"/>
      <c r="J32" s="925"/>
      <c r="K32" s="890" t="s">
        <v>29</v>
      </c>
      <c r="L32" s="890"/>
      <c r="M32" s="890"/>
      <c r="N32" s="890"/>
      <c r="O32" s="890"/>
      <c r="P32" s="890"/>
      <c r="Q32" s="890"/>
      <c r="R32" s="890"/>
      <c r="S32" s="890"/>
      <c r="T32" s="954" t="s">
        <v>47</v>
      </c>
      <c r="U32" s="955"/>
      <c r="V32" s="956"/>
      <c r="W32" s="618"/>
      <c r="X32" s="523"/>
      <c r="Y32" s="925" t="s">
        <v>12</v>
      </c>
      <c r="Z32" s="925"/>
      <c r="AA32" s="925"/>
      <c r="AB32" s="925"/>
      <c r="AC32" s="925"/>
      <c r="AD32" s="925"/>
      <c r="AE32" s="925"/>
      <c r="AF32" s="925"/>
      <c r="AG32" s="925"/>
      <c r="AH32" s="925"/>
      <c r="AI32" s="925"/>
      <c r="AJ32" s="925"/>
      <c r="AK32" s="925"/>
      <c r="AL32" s="925"/>
      <c r="AM32" s="925"/>
      <c r="AN32" s="925"/>
      <c r="AO32" s="925"/>
      <c r="AP32" s="925"/>
      <c r="AQ32" s="521"/>
      <c r="AR32" s="524"/>
      <c r="AS32" s="524"/>
      <c r="AT32" s="524"/>
      <c r="AU32" s="524"/>
      <c r="AV32" s="525"/>
      <c r="AW32" s="525"/>
      <c r="AX32" s="525"/>
      <c r="AY32" s="525"/>
      <c r="AZ32" s="525"/>
      <c r="BA32" s="525"/>
      <c r="BB32" s="526"/>
      <c r="BC32" s="525"/>
      <c r="BD32" s="525"/>
      <c r="BE32" s="525"/>
      <c r="BF32" s="525"/>
      <c r="BG32" s="903" t="s">
        <v>3</v>
      </c>
      <c r="BH32" s="905"/>
      <c r="BI32" s="642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</row>
    <row r="33" spans="1:222" s="12" customFormat="1" ht="129.94999999999999" customHeight="1">
      <c r="A33" s="850" t="s">
        <v>0</v>
      </c>
      <c r="B33" s="853" t="s">
        <v>42</v>
      </c>
      <c r="C33" s="853" t="s">
        <v>43</v>
      </c>
      <c r="D33" s="611"/>
      <c r="E33" s="850" t="s">
        <v>44</v>
      </c>
      <c r="F33" s="855" t="s">
        <v>136</v>
      </c>
      <c r="G33" s="855" t="s">
        <v>129</v>
      </c>
      <c r="H33" s="925"/>
      <c r="I33" s="925"/>
      <c r="J33" s="925"/>
      <c r="K33" s="925" t="s">
        <v>11</v>
      </c>
      <c r="L33" s="925"/>
      <c r="M33" s="925"/>
      <c r="N33" s="925" t="s">
        <v>38</v>
      </c>
      <c r="O33" s="925"/>
      <c r="P33" s="925"/>
      <c r="Q33" s="925" t="s">
        <v>39</v>
      </c>
      <c r="R33" s="925"/>
      <c r="S33" s="925"/>
      <c r="T33" s="515" t="s">
        <v>16</v>
      </c>
      <c r="U33" s="515" t="s">
        <v>17</v>
      </c>
      <c r="V33" s="515" t="s">
        <v>32</v>
      </c>
      <c r="W33" s="847" t="s">
        <v>151</v>
      </c>
      <c r="X33" s="847" t="s">
        <v>13</v>
      </c>
      <c r="Y33" s="850" t="s">
        <v>30</v>
      </c>
      <c r="Z33" s="850"/>
      <c r="AA33" s="890" t="s">
        <v>23</v>
      </c>
      <c r="AB33" s="890"/>
      <c r="AC33" s="890" t="s">
        <v>31</v>
      </c>
      <c r="AD33" s="890"/>
      <c r="AE33" s="903" t="s">
        <v>1</v>
      </c>
      <c r="AF33" s="904"/>
      <c r="AG33" s="890" t="s">
        <v>32</v>
      </c>
      <c r="AH33" s="850" t="s">
        <v>30</v>
      </c>
      <c r="AI33" s="850"/>
      <c r="AJ33" s="890" t="s">
        <v>23</v>
      </c>
      <c r="AK33" s="890"/>
      <c r="AL33" s="890" t="s">
        <v>31</v>
      </c>
      <c r="AM33" s="890"/>
      <c r="AN33" s="903" t="s">
        <v>1</v>
      </c>
      <c r="AO33" s="904"/>
      <c r="AP33" s="890" t="s">
        <v>32</v>
      </c>
      <c r="AQ33" s="847" t="s">
        <v>33</v>
      </c>
      <c r="AR33" s="847"/>
      <c r="AS33" s="847"/>
      <c r="AT33" s="847"/>
      <c r="AU33" s="847"/>
      <c r="AV33" s="860" t="s">
        <v>22</v>
      </c>
      <c r="AW33" s="616"/>
      <c r="AX33" s="912" t="s">
        <v>142</v>
      </c>
      <c r="AY33" s="847" t="s">
        <v>14</v>
      </c>
      <c r="AZ33" s="847" t="s">
        <v>18</v>
      </c>
      <c r="BA33" s="847" t="s">
        <v>19</v>
      </c>
      <c r="BB33" s="847" t="s">
        <v>20</v>
      </c>
      <c r="BC33" s="529"/>
      <c r="BD33" s="529"/>
      <c r="BE33" s="529"/>
      <c r="BF33" s="529"/>
      <c r="BG33" s="905" t="s">
        <v>0</v>
      </c>
      <c r="BH33" s="853" t="s">
        <v>42</v>
      </c>
      <c r="BI33" s="853" t="s">
        <v>43</v>
      </c>
      <c r="BJ33" s="890" t="s">
        <v>36</v>
      </c>
      <c r="BK33" s="890"/>
      <c r="BL33" s="933" t="s">
        <v>141</v>
      </c>
      <c r="BM33" s="933"/>
      <c r="BN33" s="890" t="s">
        <v>4</v>
      </c>
      <c r="BO33" s="890"/>
      <c r="BP33" s="890" t="s">
        <v>5</v>
      </c>
      <c r="BQ33" s="890"/>
      <c r="BR33" s="890" t="s">
        <v>6</v>
      </c>
      <c r="BS33" s="890"/>
      <c r="BT33" s="890" t="s">
        <v>7</v>
      </c>
      <c r="BU33" s="890"/>
      <c r="BV33" s="890" t="s">
        <v>8</v>
      </c>
      <c r="BW33" s="890"/>
      <c r="BX33" s="890" t="s">
        <v>9</v>
      </c>
      <c r="BY33" s="890"/>
      <c r="BZ33" s="890" t="s">
        <v>21</v>
      </c>
      <c r="CA33" s="890"/>
      <c r="CB33" s="890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</row>
    <row r="34" spans="1:222" s="12" customFormat="1" ht="129.94999999999999" customHeight="1">
      <c r="A34" s="850"/>
      <c r="B34" s="854"/>
      <c r="C34" s="854"/>
      <c r="D34" s="612"/>
      <c r="E34" s="850"/>
      <c r="F34" s="856"/>
      <c r="G34" s="856"/>
      <c r="H34" s="515" t="s">
        <v>16</v>
      </c>
      <c r="I34" s="515" t="s">
        <v>17</v>
      </c>
      <c r="J34" s="515" t="s">
        <v>32</v>
      </c>
      <c r="K34" s="515" t="s">
        <v>16</v>
      </c>
      <c r="L34" s="515" t="s">
        <v>17</v>
      </c>
      <c r="M34" s="515" t="s">
        <v>32</v>
      </c>
      <c r="N34" s="515" t="s">
        <v>16</v>
      </c>
      <c r="O34" s="515" t="s">
        <v>17</v>
      </c>
      <c r="P34" s="515" t="s">
        <v>32</v>
      </c>
      <c r="Q34" s="515" t="s">
        <v>16</v>
      </c>
      <c r="R34" s="515" t="s">
        <v>17</v>
      </c>
      <c r="S34" s="515" t="s">
        <v>32</v>
      </c>
      <c r="T34" s="515"/>
      <c r="U34" s="515"/>
      <c r="V34" s="515"/>
      <c r="W34" s="847"/>
      <c r="X34" s="847"/>
      <c r="Y34" s="515" t="s">
        <v>16</v>
      </c>
      <c r="Z34" s="515" t="s">
        <v>17</v>
      </c>
      <c r="AA34" s="515" t="s">
        <v>16</v>
      </c>
      <c r="AB34" s="515" t="s">
        <v>17</v>
      </c>
      <c r="AC34" s="515" t="s">
        <v>16</v>
      </c>
      <c r="AD34" s="515" t="s">
        <v>17</v>
      </c>
      <c r="AE34" s="515" t="s">
        <v>16</v>
      </c>
      <c r="AF34" s="515" t="s">
        <v>17</v>
      </c>
      <c r="AG34" s="890"/>
      <c r="AH34" s="515" t="s">
        <v>16</v>
      </c>
      <c r="AI34" s="515" t="s">
        <v>17</v>
      </c>
      <c r="AJ34" s="515" t="s">
        <v>16</v>
      </c>
      <c r="AK34" s="515" t="s">
        <v>17</v>
      </c>
      <c r="AL34" s="515" t="s">
        <v>16</v>
      </c>
      <c r="AM34" s="515" t="s">
        <v>17</v>
      </c>
      <c r="AN34" s="515" t="s">
        <v>16</v>
      </c>
      <c r="AO34" s="515" t="s">
        <v>17</v>
      </c>
      <c r="AP34" s="890"/>
      <c r="AQ34" s="515" t="s">
        <v>16</v>
      </c>
      <c r="AR34" s="515" t="s">
        <v>17</v>
      </c>
      <c r="AS34" s="515"/>
      <c r="AT34" s="515"/>
      <c r="AU34" s="515" t="s">
        <v>32</v>
      </c>
      <c r="AV34" s="860"/>
      <c r="AW34" s="617"/>
      <c r="AX34" s="913"/>
      <c r="AY34" s="847"/>
      <c r="AZ34" s="847"/>
      <c r="BA34" s="847"/>
      <c r="BB34" s="847"/>
      <c r="BC34" s="529"/>
      <c r="BD34" s="529"/>
      <c r="BE34" s="529"/>
      <c r="BF34" s="529"/>
      <c r="BG34" s="905"/>
      <c r="BH34" s="854"/>
      <c r="BI34" s="854"/>
      <c r="BJ34" s="515" t="s">
        <v>16</v>
      </c>
      <c r="BK34" s="515" t="s">
        <v>17</v>
      </c>
      <c r="BL34" s="515" t="s">
        <v>16</v>
      </c>
      <c r="BM34" s="515" t="s">
        <v>17</v>
      </c>
      <c r="BN34" s="515" t="s">
        <v>16</v>
      </c>
      <c r="BO34" s="515" t="s">
        <v>17</v>
      </c>
      <c r="BP34" s="515" t="s">
        <v>16</v>
      </c>
      <c r="BQ34" s="515" t="s">
        <v>17</v>
      </c>
      <c r="BR34" s="515" t="s">
        <v>16</v>
      </c>
      <c r="BS34" s="515" t="s">
        <v>17</v>
      </c>
      <c r="BT34" s="515" t="s">
        <v>16</v>
      </c>
      <c r="BU34" s="515" t="s">
        <v>17</v>
      </c>
      <c r="BV34" s="515" t="s">
        <v>16</v>
      </c>
      <c r="BW34" s="515" t="s">
        <v>17</v>
      </c>
      <c r="BX34" s="515" t="s">
        <v>16</v>
      </c>
      <c r="BY34" s="515" t="s">
        <v>17</v>
      </c>
      <c r="BZ34" s="515" t="s">
        <v>16</v>
      </c>
      <c r="CA34" s="515" t="s">
        <v>17</v>
      </c>
      <c r="CB34" s="331" t="s">
        <v>32</v>
      </c>
      <c r="CC34" s="9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</row>
    <row r="35" spans="1:222" s="21" customFormat="1" ht="129.94999999999999" customHeight="1">
      <c r="A35" s="662">
        <v>1</v>
      </c>
      <c r="B35" s="336" t="str">
        <f t="shared" ref="B35:C49" si="31">B6</f>
        <v xml:space="preserve">CDG-UHC BALDIA </v>
      </c>
      <c r="C35" s="704" t="str">
        <f t="shared" si="31"/>
        <v>BALDIA</v>
      </c>
      <c r="D35" s="704"/>
      <c r="E35" s="705">
        <f t="shared" ref="E35:E49" si="32">E6</f>
        <v>250000</v>
      </c>
      <c r="F35" s="706">
        <f>(G35*2)+G35*0.25</f>
        <v>56.25</v>
      </c>
      <c r="G35" s="643">
        <v>25</v>
      </c>
      <c r="H35" s="336">
        <v>7</v>
      </c>
      <c r="I35" s="336">
        <v>8</v>
      </c>
      <c r="J35" s="707">
        <f>SUM(H35:I35)</f>
        <v>15</v>
      </c>
      <c r="K35" s="336">
        <v>0</v>
      </c>
      <c r="L35" s="336">
        <v>0</v>
      </c>
      <c r="M35" s="707">
        <f>SUM(K35:L35)</f>
        <v>0</v>
      </c>
      <c r="N35" s="336">
        <v>0</v>
      </c>
      <c r="O35" s="336">
        <v>0</v>
      </c>
      <c r="P35" s="707">
        <f>SUM(N35:O35)</f>
        <v>0</v>
      </c>
      <c r="Q35" s="336">
        <v>0</v>
      </c>
      <c r="R35" s="336">
        <v>0</v>
      </c>
      <c r="S35" s="707">
        <f t="shared" ref="S35:S55" si="33">SUM(Q35:R35)</f>
        <v>0</v>
      </c>
      <c r="T35" s="707"/>
      <c r="U35" s="707"/>
      <c r="V35" s="707">
        <f t="shared" ref="V35:V56" si="34">SUM(S35,P35,M35,J35)</f>
        <v>15</v>
      </c>
      <c r="W35" s="708">
        <f>J35/G35</f>
        <v>0.6</v>
      </c>
      <c r="X35" s="709">
        <f>J35*4/(E35*0.0008)</f>
        <v>0.3</v>
      </c>
      <c r="Y35" s="710"/>
      <c r="Z35" s="710"/>
      <c r="AA35" s="710"/>
      <c r="AB35" s="336"/>
      <c r="AC35" s="336"/>
      <c r="AD35" s="336"/>
      <c r="AE35" s="336">
        <v>7</v>
      </c>
      <c r="AF35" s="336">
        <v>7</v>
      </c>
      <c r="AG35" s="537">
        <f>AE35+AF35</f>
        <v>14</v>
      </c>
      <c r="AH35" s="710"/>
      <c r="AI35" s="711"/>
      <c r="AJ35" s="711"/>
      <c r="AK35" s="336"/>
      <c r="AL35" s="336"/>
      <c r="AM35" s="336"/>
      <c r="AN35" s="336">
        <v>0</v>
      </c>
      <c r="AO35" s="336">
        <v>5</v>
      </c>
      <c r="AP35" s="537">
        <f>AN35+AO35</f>
        <v>5</v>
      </c>
      <c r="AQ35" s="711">
        <f>AN35+AE35+Q35+N35+K35+H35</f>
        <v>14</v>
      </c>
      <c r="AR35" s="711">
        <f>AO35+AF35+R35+O35+L35+I35</f>
        <v>20</v>
      </c>
      <c r="AS35" s="712">
        <v>14</v>
      </c>
      <c r="AT35" s="712">
        <v>20</v>
      </c>
      <c r="AU35" s="713">
        <f t="shared" ref="AU35:AU56" si="35">AQ35+AR35</f>
        <v>34</v>
      </c>
      <c r="AV35" s="709">
        <f t="shared" ref="AV35:AV56" si="36">J35/(J35+AG35)</f>
        <v>0.51724137931034486</v>
      </c>
      <c r="AW35" s="709">
        <v>0.52</v>
      </c>
      <c r="AX35" s="709">
        <f t="shared" ref="AX35:AX56" si="37">AU35/F35</f>
        <v>0.60444444444444445</v>
      </c>
      <c r="AY35" s="709">
        <f t="shared" ref="AY35:AY56" si="38">AU35*4/(E35*0.00177)</f>
        <v>0.3073446327683616</v>
      </c>
      <c r="AZ35" s="709">
        <f t="shared" ref="AZ35:AZ56" si="39">(M35+P35+S35)/AU35</f>
        <v>0</v>
      </c>
      <c r="BA35" s="714">
        <f t="shared" ref="BA35:BA56" si="40">J35*4/E35*100000</f>
        <v>24</v>
      </c>
      <c r="BB35" s="715">
        <f t="shared" ref="BB35:BB56" si="41">AU35*4/E35*100000</f>
        <v>54.4</v>
      </c>
      <c r="BC35" s="716"/>
      <c r="BD35" s="716"/>
      <c r="BE35" s="716"/>
      <c r="BF35" s="716"/>
      <c r="BG35" s="717">
        <v>1</v>
      </c>
      <c r="BH35" s="704">
        <f t="shared" ref="BH35:BI49" si="42">BH121</f>
        <v>0</v>
      </c>
      <c r="BI35" s="704">
        <f t="shared" si="42"/>
        <v>0</v>
      </c>
      <c r="BJ35" s="718"/>
      <c r="BK35" s="718"/>
      <c r="BL35" s="336">
        <v>0</v>
      </c>
      <c r="BM35" s="336">
        <v>0</v>
      </c>
      <c r="BN35" s="336">
        <v>1</v>
      </c>
      <c r="BO35" s="336">
        <v>2</v>
      </c>
      <c r="BP35" s="336">
        <v>2</v>
      </c>
      <c r="BQ35" s="336">
        <v>3</v>
      </c>
      <c r="BR35" s="336">
        <v>3</v>
      </c>
      <c r="BS35" s="336">
        <v>2</v>
      </c>
      <c r="BT35" s="336">
        <v>1</v>
      </c>
      <c r="BU35" s="336">
        <v>0</v>
      </c>
      <c r="BV35" s="336">
        <v>0</v>
      </c>
      <c r="BW35" s="336">
        <v>1</v>
      </c>
      <c r="BX35" s="336">
        <v>0</v>
      </c>
      <c r="BY35" s="336">
        <v>0</v>
      </c>
      <c r="BZ35" s="711">
        <f>BX35+BV35+BT35+BR35+BP35+BN35+BL35+BJ35</f>
        <v>7</v>
      </c>
      <c r="CA35" s="711">
        <f>BY35+BW35+BU35+BS35+BQ35+BO35+BM35+BK35</f>
        <v>8</v>
      </c>
      <c r="CB35" s="712">
        <f>CA35+BZ35</f>
        <v>15</v>
      </c>
      <c r="CC35" s="16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</row>
    <row r="36" spans="1:222" s="21" customFormat="1" ht="129.94999999999999" customHeight="1">
      <c r="A36" s="662">
        <v>2</v>
      </c>
      <c r="B36" s="719" t="str">
        <f t="shared" si="31"/>
        <v xml:space="preserve">CDG-SGH I.HAIDERI </v>
      </c>
      <c r="C36" s="515" t="str">
        <f t="shared" si="31"/>
        <v>BIN-QASIM</v>
      </c>
      <c r="D36" s="515"/>
      <c r="E36" s="720">
        <f t="shared" si="32"/>
        <v>250000</v>
      </c>
      <c r="F36" s="706">
        <f t="shared" ref="F36:F52" si="43">(G36*2)+G36*0.25</f>
        <v>67.5</v>
      </c>
      <c r="G36" s="561">
        <v>30</v>
      </c>
      <c r="H36" s="719">
        <v>8</v>
      </c>
      <c r="I36" s="719">
        <v>8</v>
      </c>
      <c r="J36" s="707">
        <f t="shared" ref="J36:J55" si="44">SUM(H36:I36)</f>
        <v>16</v>
      </c>
      <c r="K36" s="719">
        <v>0</v>
      </c>
      <c r="L36" s="719">
        <v>0</v>
      </c>
      <c r="M36" s="707">
        <f t="shared" ref="M36:M55" si="45">SUM(K36:L36)</f>
        <v>0</v>
      </c>
      <c r="N36" s="719">
        <v>0</v>
      </c>
      <c r="O36" s="719">
        <v>0</v>
      </c>
      <c r="P36" s="707">
        <f t="shared" ref="P36:P55" si="46">SUM(N36:O36)</f>
        <v>0</v>
      </c>
      <c r="Q36" s="719">
        <v>0</v>
      </c>
      <c r="R36" s="719">
        <v>0</v>
      </c>
      <c r="S36" s="707">
        <f t="shared" si="33"/>
        <v>0</v>
      </c>
      <c r="T36" s="707"/>
      <c r="U36" s="707"/>
      <c r="V36" s="707">
        <f t="shared" si="34"/>
        <v>16</v>
      </c>
      <c r="W36" s="708">
        <f t="shared" ref="W36:W56" si="47">J36/G36</f>
        <v>0.53333333333333333</v>
      </c>
      <c r="X36" s="708">
        <f t="shared" ref="X36:X55" si="48">J36*4/(E36*0.0008)</f>
        <v>0.32</v>
      </c>
      <c r="Y36" s="537"/>
      <c r="Z36" s="537"/>
      <c r="AA36" s="537"/>
      <c r="AB36" s="719"/>
      <c r="AC36" s="719"/>
      <c r="AD36" s="719"/>
      <c r="AE36" s="719">
        <v>2</v>
      </c>
      <c r="AF36" s="719">
        <v>3</v>
      </c>
      <c r="AG36" s="537">
        <f t="shared" ref="AG36:AG56" si="49">AE36+AF36</f>
        <v>5</v>
      </c>
      <c r="AH36" s="537"/>
      <c r="AI36" s="707"/>
      <c r="AJ36" s="707"/>
      <c r="AK36" s="719"/>
      <c r="AL36" s="719"/>
      <c r="AM36" s="719"/>
      <c r="AN36" s="719">
        <v>0</v>
      </c>
      <c r="AO36" s="719">
        <v>2</v>
      </c>
      <c r="AP36" s="537">
        <f t="shared" ref="AP36:AP56" si="50">AN36+AO36</f>
        <v>2</v>
      </c>
      <c r="AQ36" s="711">
        <f t="shared" ref="AQ36:AQ56" si="51">AN36+AE36+Q36+N36+K36+H36</f>
        <v>10</v>
      </c>
      <c r="AR36" s="711">
        <f t="shared" ref="AR36:AR56" si="52">AO36+AF36+R36+O36+L36+I36</f>
        <v>13</v>
      </c>
      <c r="AS36" s="712">
        <v>10</v>
      </c>
      <c r="AT36" s="712">
        <v>13</v>
      </c>
      <c r="AU36" s="713">
        <f t="shared" si="35"/>
        <v>23</v>
      </c>
      <c r="AV36" s="709">
        <f t="shared" si="36"/>
        <v>0.76190476190476186</v>
      </c>
      <c r="AW36" s="709">
        <v>0.76</v>
      </c>
      <c r="AX36" s="709">
        <f t="shared" si="37"/>
        <v>0.34074074074074073</v>
      </c>
      <c r="AY36" s="709">
        <f t="shared" si="38"/>
        <v>0.207909604519774</v>
      </c>
      <c r="AZ36" s="709">
        <f t="shared" si="39"/>
        <v>0</v>
      </c>
      <c r="BA36" s="714">
        <f t="shared" si="40"/>
        <v>25.599999999999998</v>
      </c>
      <c r="BB36" s="715">
        <f t="shared" si="41"/>
        <v>36.799999999999997</v>
      </c>
      <c r="BC36" s="721"/>
      <c r="BD36" s="721"/>
      <c r="BE36" s="721"/>
      <c r="BF36" s="721"/>
      <c r="BG36" s="717">
        <v>4</v>
      </c>
      <c r="BH36" s="515">
        <f t="shared" si="42"/>
        <v>0</v>
      </c>
      <c r="BI36" s="515">
        <f t="shared" si="42"/>
        <v>0</v>
      </c>
      <c r="BJ36" s="718"/>
      <c r="BK36" s="718"/>
      <c r="BL36" s="719">
        <v>0</v>
      </c>
      <c r="BM36" s="719">
        <v>0</v>
      </c>
      <c r="BN36" s="719">
        <v>3</v>
      </c>
      <c r="BO36" s="719">
        <v>6</v>
      </c>
      <c r="BP36" s="719">
        <v>1</v>
      </c>
      <c r="BQ36" s="719">
        <v>1</v>
      </c>
      <c r="BR36" s="719">
        <v>0</v>
      </c>
      <c r="BS36" s="719">
        <v>0</v>
      </c>
      <c r="BT36" s="719">
        <v>1</v>
      </c>
      <c r="BU36" s="719">
        <v>0</v>
      </c>
      <c r="BV36" s="719">
        <v>3</v>
      </c>
      <c r="BW36" s="719">
        <v>1</v>
      </c>
      <c r="BX36" s="719">
        <v>0</v>
      </c>
      <c r="BY36" s="719">
        <v>0</v>
      </c>
      <c r="BZ36" s="707">
        <f t="shared" ref="BZ36:BZ55" si="53">BX36+BV36+BT36+BR36+BP36+BN36+BL36+BJ36</f>
        <v>8</v>
      </c>
      <c r="CA36" s="707">
        <f t="shared" ref="CA36:CA55" si="54">BY36+BW36+BU36+BS36+BQ36+BO36+BM36+BK36</f>
        <v>8</v>
      </c>
      <c r="CB36" s="713">
        <f t="shared" ref="CB36:CB55" si="55">CA36+BZ36</f>
        <v>16</v>
      </c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</row>
    <row r="37" spans="1:222" s="21" customFormat="1" ht="129.94999999999999" customHeight="1">
      <c r="A37" s="662">
        <v>3</v>
      </c>
      <c r="B37" s="336" t="str">
        <f t="shared" si="31"/>
        <v>CDG- LEPROSY HOSPITAL</v>
      </c>
      <c r="C37" s="722" t="str">
        <f t="shared" si="31"/>
        <v>GADAP</v>
      </c>
      <c r="D37" s="722"/>
      <c r="E37" s="705">
        <f t="shared" si="32"/>
        <v>100000</v>
      </c>
      <c r="F37" s="706">
        <f t="shared" si="43"/>
        <v>67.5</v>
      </c>
      <c r="G37" s="561">
        <v>30</v>
      </c>
      <c r="H37" s="336">
        <v>7</v>
      </c>
      <c r="I37" s="336">
        <v>3</v>
      </c>
      <c r="J37" s="707">
        <f t="shared" si="44"/>
        <v>10</v>
      </c>
      <c r="K37" s="336">
        <v>1</v>
      </c>
      <c r="L37" s="336">
        <v>0</v>
      </c>
      <c r="M37" s="707">
        <f t="shared" si="45"/>
        <v>1</v>
      </c>
      <c r="N37" s="336">
        <v>0</v>
      </c>
      <c r="O37" s="336">
        <v>0</v>
      </c>
      <c r="P37" s="707">
        <f t="shared" si="46"/>
        <v>0</v>
      </c>
      <c r="Q37" s="336">
        <v>0</v>
      </c>
      <c r="R37" s="336">
        <v>0</v>
      </c>
      <c r="S37" s="707">
        <f t="shared" si="33"/>
        <v>0</v>
      </c>
      <c r="T37" s="707"/>
      <c r="U37" s="707"/>
      <c r="V37" s="707">
        <f t="shared" si="34"/>
        <v>11</v>
      </c>
      <c r="W37" s="708">
        <f t="shared" si="47"/>
        <v>0.33333333333333331</v>
      </c>
      <c r="X37" s="709">
        <f t="shared" si="48"/>
        <v>0.5</v>
      </c>
      <c r="Y37" s="710"/>
      <c r="Z37" s="710"/>
      <c r="AA37" s="710"/>
      <c r="AB37" s="336"/>
      <c r="AC37" s="336"/>
      <c r="AD37" s="336"/>
      <c r="AE37" s="336">
        <v>2</v>
      </c>
      <c r="AF37" s="336">
        <v>7</v>
      </c>
      <c r="AG37" s="537">
        <f t="shared" si="49"/>
        <v>9</v>
      </c>
      <c r="AH37" s="710"/>
      <c r="AI37" s="711"/>
      <c r="AJ37" s="711"/>
      <c r="AK37" s="336"/>
      <c r="AL37" s="336"/>
      <c r="AM37" s="336"/>
      <c r="AN37" s="336">
        <v>2</v>
      </c>
      <c r="AO37" s="336">
        <v>1</v>
      </c>
      <c r="AP37" s="537">
        <f t="shared" si="50"/>
        <v>3</v>
      </c>
      <c r="AQ37" s="711">
        <f t="shared" si="51"/>
        <v>12</v>
      </c>
      <c r="AR37" s="711">
        <f t="shared" si="52"/>
        <v>11</v>
      </c>
      <c r="AS37" s="712">
        <v>12</v>
      </c>
      <c r="AT37" s="712">
        <v>11</v>
      </c>
      <c r="AU37" s="713">
        <f t="shared" si="35"/>
        <v>23</v>
      </c>
      <c r="AV37" s="709">
        <f t="shared" si="36"/>
        <v>0.52631578947368418</v>
      </c>
      <c r="AW37" s="709">
        <v>0.53</v>
      </c>
      <c r="AX37" s="709">
        <f t="shared" si="37"/>
        <v>0.34074074074074073</v>
      </c>
      <c r="AY37" s="709">
        <f t="shared" si="38"/>
        <v>0.51977401129943501</v>
      </c>
      <c r="AZ37" s="709">
        <f t="shared" si="39"/>
        <v>4.3478260869565216E-2</v>
      </c>
      <c r="BA37" s="714">
        <f t="shared" si="40"/>
        <v>40</v>
      </c>
      <c r="BB37" s="715">
        <f t="shared" si="41"/>
        <v>92</v>
      </c>
      <c r="BC37" s="716"/>
      <c r="BD37" s="716"/>
      <c r="BE37" s="716"/>
      <c r="BF37" s="716"/>
      <c r="BG37" s="717">
        <v>5</v>
      </c>
      <c r="BH37" s="704">
        <f t="shared" si="42"/>
        <v>0</v>
      </c>
      <c r="BI37" s="704">
        <f t="shared" si="42"/>
        <v>0</v>
      </c>
      <c r="BJ37" s="718"/>
      <c r="BK37" s="718"/>
      <c r="BL37" s="336">
        <v>1</v>
      </c>
      <c r="BM37" s="336">
        <v>1</v>
      </c>
      <c r="BN37" s="336">
        <v>5</v>
      </c>
      <c r="BO37" s="336">
        <v>1</v>
      </c>
      <c r="BP37" s="336">
        <v>0</v>
      </c>
      <c r="BQ37" s="336">
        <v>1</v>
      </c>
      <c r="BR37" s="336">
        <v>0</v>
      </c>
      <c r="BS37" s="336">
        <v>0</v>
      </c>
      <c r="BT37" s="336">
        <v>1</v>
      </c>
      <c r="BU37" s="336">
        <v>0</v>
      </c>
      <c r="BV37" s="336">
        <v>0</v>
      </c>
      <c r="BW37" s="336">
        <v>0</v>
      </c>
      <c r="BX37" s="336">
        <v>0</v>
      </c>
      <c r="BY37" s="336">
        <v>0</v>
      </c>
      <c r="BZ37" s="711">
        <f t="shared" si="53"/>
        <v>7</v>
      </c>
      <c r="CA37" s="711">
        <f t="shared" si="54"/>
        <v>3</v>
      </c>
      <c r="CB37" s="712">
        <f t="shared" si="55"/>
        <v>10</v>
      </c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</row>
    <row r="38" spans="1:222" s="21" customFormat="1" ht="129.94999999999999" customHeight="1">
      <c r="A38" s="662">
        <v>4</v>
      </c>
      <c r="B38" s="719" t="str">
        <f t="shared" si="31"/>
        <v xml:space="preserve">CDG-RHC MURAD MEMON GOTH </v>
      </c>
      <c r="C38" s="515" t="str">
        <f t="shared" si="31"/>
        <v>GADAP</v>
      </c>
      <c r="D38" s="515"/>
      <c r="E38" s="720">
        <f t="shared" si="32"/>
        <v>100000</v>
      </c>
      <c r="F38" s="706">
        <f t="shared" si="43"/>
        <v>56.25</v>
      </c>
      <c r="G38" s="561">
        <v>25</v>
      </c>
      <c r="H38" s="719">
        <v>1</v>
      </c>
      <c r="I38" s="719">
        <v>4</v>
      </c>
      <c r="J38" s="707">
        <f t="shared" si="44"/>
        <v>5</v>
      </c>
      <c r="K38" s="719">
        <v>1</v>
      </c>
      <c r="L38" s="719">
        <v>0</v>
      </c>
      <c r="M38" s="707">
        <f t="shared" si="45"/>
        <v>1</v>
      </c>
      <c r="N38" s="719">
        <v>0</v>
      </c>
      <c r="O38" s="719">
        <v>0</v>
      </c>
      <c r="P38" s="707">
        <f t="shared" si="46"/>
        <v>0</v>
      </c>
      <c r="Q38" s="719">
        <v>1</v>
      </c>
      <c r="R38" s="719">
        <v>0</v>
      </c>
      <c r="S38" s="707">
        <f t="shared" si="33"/>
        <v>1</v>
      </c>
      <c r="T38" s="707"/>
      <c r="U38" s="707"/>
      <c r="V38" s="707">
        <f t="shared" si="34"/>
        <v>7</v>
      </c>
      <c r="W38" s="708">
        <f t="shared" si="47"/>
        <v>0.2</v>
      </c>
      <c r="X38" s="708">
        <f t="shared" si="48"/>
        <v>0.25</v>
      </c>
      <c r="Y38" s="537"/>
      <c r="Z38" s="537"/>
      <c r="AA38" s="537"/>
      <c r="AB38" s="719"/>
      <c r="AC38" s="719"/>
      <c r="AD38" s="719"/>
      <c r="AE38" s="719">
        <v>2</v>
      </c>
      <c r="AF38" s="719">
        <v>0</v>
      </c>
      <c r="AG38" s="537">
        <f t="shared" si="49"/>
        <v>2</v>
      </c>
      <c r="AH38" s="537"/>
      <c r="AI38" s="707"/>
      <c r="AJ38" s="707"/>
      <c r="AK38" s="719"/>
      <c r="AL38" s="719"/>
      <c r="AM38" s="719"/>
      <c r="AN38" s="719">
        <v>0</v>
      </c>
      <c r="AO38" s="719">
        <v>2</v>
      </c>
      <c r="AP38" s="537">
        <f t="shared" si="50"/>
        <v>2</v>
      </c>
      <c r="AQ38" s="711">
        <f t="shared" si="51"/>
        <v>5</v>
      </c>
      <c r="AR38" s="711">
        <f t="shared" si="52"/>
        <v>6</v>
      </c>
      <c r="AS38" s="712">
        <v>5</v>
      </c>
      <c r="AT38" s="712">
        <v>6</v>
      </c>
      <c r="AU38" s="713">
        <f t="shared" si="35"/>
        <v>11</v>
      </c>
      <c r="AV38" s="709">
        <f t="shared" si="36"/>
        <v>0.7142857142857143</v>
      </c>
      <c r="AW38" s="709">
        <v>0.71</v>
      </c>
      <c r="AX38" s="709">
        <f t="shared" si="37"/>
        <v>0.19555555555555557</v>
      </c>
      <c r="AY38" s="709">
        <f t="shared" si="38"/>
        <v>0.24858757062146894</v>
      </c>
      <c r="AZ38" s="709">
        <f t="shared" si="39"/>
        <v>0.18181818181818182</v>
      </c>
      <c r="BA38" s="714">
        <f t="shared" si="40"/>
        <v>20</v>
      </c>
      <c r="BB38" s="715">
        <f t="shared" si="41"/>
        <v>44</v>
      </c>
      <c r="BC38" s="721"/>
      <c r="BD38" s="721"/>
      <c r="BE38" s="721"/>
      <c r="BF38" s="721"/>
      <c r="BG38" s="717">
        <v>6</v>
      </c>
      <c r="BH38" s="515">
        <f t="shared" si="42"/>
        <v>0</v>
      </c>
      <c r="BI38" s="515">
        <f t="shared" si="42"/>
        <v>0</v>
      </c>
      <c r="BJ38" s="718"/>
      <c r="BK38" s="718"/>
      <c r="BL38" s="719">
        <v>0</v>
      </c>
      <c r="BM38" s="719">
        <v>0</v>
      </c>
      <c r="BN38" s="719">
        <v>0</v>
      </c>
      <c r="BO38" s="719">
        <v>1</v>
      </c>
      <c r="BP38" s="719">
        <v>1</v>
      </c>
      <c r="BQ38" s="719">
        <v>0</v>
      </c>
      <c r="BR38" s="719">
        <v>0</v>
      </c>
      <c r="BS38" s="719">
        <v>3</v>
      </c>
      <c r="BT38" s="719">
        <v>0</v>
      </c>
      <c r="BU38" s="719">
        <v>0</v>
      </c>
      <c r="BV38" s="719">
        <v>0</v>
      </c>
      <c r="BW38" s="719">
        <v>0</v>
      </c>
      <c r="BX38" s="719">
        <v>0</v>
      </c>
      <c r="BY38" s="719">
        <v>0</v>
      </c>
      <c r="BZ38" s="707">
        <f t="shared" si="53"/>
        <v>1</v>
      </c>
      <c r="CA38" s="707">
        <f t="shared" si="54"/>
        <v>4</v>
      </c>
      <c r="CB38" s="713">
        <f t="shared" si="55"/>
        <v>5</v>
      </c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</row>
    <row r="39" spans="1:222" s="21" customFormat="1" ht="129.94999999999999" customHeight="1">
      <c r="A39" s="662">
        <v>5</v>
      </c>
      <c r="B39" s="336" t="str">
        <f t="shared" si="31"/>
        <v>SAMAN ABAD DISPENSARY</v>
      </c>
      <c r="C39" s="704" t="str">
        <f t="shared" si="31"/>
        <v>GULBERG</v>
      </c>
      <c r="D39" s="704"/>
      <c r="E39" s="705">
        <f t="shared" si="32"/>
        <v>500000</v>
      </c>
      <c r="F39" s="706">
        <f t="shared" si="43"/>
        <v>56.25</v>
      </c>
      <c r="G39" s="643">
        <v>25</v>
      </c>
      <c r="H39" s="336">
        <v>2</v>
      </c>
      <c r="I39" s="336">
        <v>3</v>
      </c>
      <c r="J39" s="707">
        <f t="shared" si="44"/>
        <v>5</v>
      </c>
      <c r="K39" s="336">
        <v>0</v>
      </c>
      <c r="L39" s="336">
        <v>0</v>
      </c>
      <c r="M39" s="707">
        <f t="shared" si="45"/>
        <v>0</v>
      </c>
      <c r="N39" s="336">
        <v>0</v>
      </c>
      <c r="O39" s="336">
        <v>0</v>
      </c>
      <c r="P39" s="707">
        <f t="shared" si="46"/>
        <v>0</v>
      </c>
      <c r="Q39" s="336">
        <v>0</v>
      </c>
      <c r="R39" s="336">
        <v>0</v>
      </c>
      <c r="S39" s="707">
        <f t="shared" si="33"/>
        <v>0</v>
      </c>
      <c r="T39" s="707"/>
      <c r="U39" s="707"/>
      <c r="V39" s="707">
        <f t="shared" si="34"/>
        <v>5</v>
      </c>
      <c r="W39" s="708">
        <f t="shared" si="47"/>
        <v>0.2</v>
      </c>
      <c r="X39" s="709">
        <f t="shared" si="48"/>
        <v>0.05</v>
      </c>
      <c r="Y39" s="710"/>
      <c r="Z39" s="710"/>
      <c r="AA39" s="710"/>
      <c r="AB39" s="336"/>
      <c r="AC39" s="336"/>
      <c r="AD39" s="336"/>
      <c r="AE39" s="336">
        <v>4</v>
      </c>
      <c r="AF39" s="336">
        <v>2</v>
      </c>
      <c r="AG39" s="537">
        <f t="shared" si="49"/>
        <v>6</v>
      </c>
      <c r="AH39" s="710"/>
      <c r="AI39" s="711"/>
      <c r="AJ39" s="711"/>
      <c r="AK39" s="336"/>
      <c r="AL39" s="336"/>
      <c r="AM39" s="336"/>
      <c r="AN39" s="336">
        <v>1</v>
      </c>
      <c r="AO39" s="336">
        <v>2</v>
      </c>
      <c r="AP39" s="537">
        <f t="shared" si="50"/>
        <v>3</v>
      </c>
      <c r="AQ39" s="711">
        <f t="shared" si="51"/>
        <v>7</v>
      </c>
      <c r="AR39" s="711">
        <f t="shared" si="52"/>
        <v>7</v>
      </c>
      <c r="AS39" s="712">
        <v>7</v>
      </c>
      <c r="AT39" s="712">
        <v>7</v>
      </c>
      <c r="AU39" s="713">
        <f t="shared" si="35"/>
        <v>14</v>
      </c>
      <c r="AV39" s="709">
        <f t="shared" si="36"/>
        <v>0.45454545454545453</v>
      </c>
      <c r="AW39" s="709">
        <v>0.45</v>
      </c>
      <c r="AX39" s="709">
        <f t="shared" si="37"/>
        <v>0.24888888888888888</v>
      </c>
      <c r="AY39" s="709">
        <f t="shared" si="38"/>
        <v>6.3276836158192087E-2</v>
      </c>
      <c r="AZ39" s="709">
        <f t="shared" si="39"/>
        <v>0</v>
      </c>
      <c r="BA39" s="714">
        <f t="shared" si="40"/>
        <v>4</v>
      </c>
      <c r="BB39" s="715">
        <f t="shared" si="41"/>
        <v>11.2</v>
      </c>
      <c r="BC39" s="716"/>
      <c r="BD39" s="716"/>
      <c r="BE39" s="716"/>
      <c r="BF39" s="716"/>
      <c r="BG39" s="717">
        <v>7</v>
      </c>
      <c r="BH39" s="704">
        <f t="shared" si="42"/>
        <v>0</v>
      </c>
      <c r="BI39" s="704">
        <f t="shared" si="42"/>
        <v>0</v>
      </c>
      <c r="BJ39" s="718"/>
      <c r="BK39" s="718"/>
      <c r="BL39" s="336">
        <v>0</v>
      </c>
      <c r="BM39" s="336">
        <v>0</v>
      </c>
      <c r="BN39" s="336">
        <v>0</v>
      </c>
      <c r="BO39" s="336">
        <v>0</v>
      </c>
      <c r="BP39" s="336">
        <v>1</v>
      </c>
      <c r="BQ39" s="336">
        <v>0</v>
      </c>
      <c r="BR39" s="336">
        <v>0</v>
      </c>
      <c r="BS39" s="336">
        <v>0</v>
      </c>
      <c r="BT39" s="336">
        <v>0</v>
      </c>
      <c r="BU39" s="336">
        <v>2</v>
      </c>
      <c r="BV39" s="336">
        <v>1</v>
      </c>
      <c r="BW39" s="336">
        <v>1</v>
      </c>
      <c r="BX39" s="336">
        <v>0</v>
      </c>
      <c r="BY39" s="336">
        <v>0</v>
      </c>
      <c r="BZ39" s="711">
        <f t="shared" si="53"/>
        <v>2</v>
      </c>
      <c r="CA39" s="711">
        <f t="shared" si="54"/>
        <v>3</v>
      </c>
      <c r="CB39" s="712">
        <f t="shared" si="55"/>
        <v>5</v>
      </c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</row>
    <row r="40" spans="1:222" s="22" customFormat="1" ht="129.94999999999999" customHeight="1">
      <c r="A40" s="662">
        <v>6</v>
      </c>
      <c r="B40" s="336" t="str">
        <f t="shared" si="31"/>
        <v xml:space="preserve">CDG-MEHMOODAABAD MAT.HOME </v>
      </c>
      <c r="C40" s="704" t="str">
        <f t="shared" si="31"/>
        <v>JAMSHED</v>
      </c>
      <c r="D40" s="704"/>
      <c r="E40" s="705">
        <f t="shared" si="32"/>
        <v>250000</v>
      </c>
      <c r="F40" s="706">
        <f t="shared" si="43"/>
        <v>56.25</v>
      </c>
      <c r="G40" s="561">
        <v>25</v>
      </c>
      <c r="H40" s="336">
        <v>2</v>
      </c>
      <c r="I40" s="336">
        <v>3</v>
      </c>
      <c r="J40" s="707">
        <f t="shared" si="44"/>
        <v>5</v>
      </c>
      <c r="K40" s="336">
        <v>0</v>
      </c>
      <c r="L40" s="336">
        <v>0</v>
      </c>
      <c r="M40" s="707">
        <f t="shared" si="45"/>
        <v>0</v>
      </c>
      <c r="N40" s="336">
        <v>0</v>
      </c>
      <c r="O40" s="336">
        <v>0</v>
      </c>
      <c r="P40" s="707">
        <f t="shared" si="46"/>
        <v>0</v>
      </c>
      <c r="Q40" s="336">
        <v>0</v>
      </c>
      <c r="R40" s="336">
        <v>1</v>
      </c>
      <c r="S40" s="707">
        <f t="shared" si="33"/>
        <v>1</v>
      </c>
      <c r="T40" s="707"/>
      <c r="U40" s="707"/>
      <c r="V40" s="707">
        <f t="shared" si="34"/>
        <v>6</v>
      </c>
      <c r="W40" s="708">
        <f t="shared" si="47"/>
        <v>0.2</v>
      </c>
      <c r="X40" s="709">
        <f t="shared" si="48"/>
        <v>0.1</v>
      </c>
      <c r="Y40" s="710"/>
      <c r="Z40" s="710"/>
      <c r="AA40" s="710"/>
      <c r="AB40" s="336"/>
      <c r="AC40" s="336"/>
      <c r="AD40" s="336"/>
      <c r="AE40" s="336">
        <v>3</v>
      </c>
      <c r="AF40" s="336">
        <v>2</v>
      </c>
      <c r="AG40" s="537">
        <f t="shared" si="49"/>
        <v>5</v>
      </c>
      <c r="AH40" s="710"/>
      <c r="AI40" s="711"/>
      <c r="AJ40" s="711"/>
      <c r="AK40" s="336"/>
      <c r="AL40" s="336"/>
      <c r="AM40" s="336"/>
      <c r="AN40" s="336">
        <v>1</v>
      </c>
      <c r="AO40" s="336">
        <v>2</v>
      </c>
      <c r="AP40" s="537">
        <f t="shared" si="50"/>
        <v>3</v>
      </c>
      <c r="AQ40" s="711">
        <f t="shared" si="51"/>
        <v>6</v>
      </c>
      <c r="AR40" s="711">
        <f t="shared" si="52"/>
        <v>8</v>
      </c>
      <c r="AS40" s="712">
        <v>6</v>
      </c>
      <c r="AT40" s="712">
        <v>8</v>
      </c>
      <c r="AU40" s="713">
        <f t="shared" si="35"/>
        <v>14</v>
      </c>
      <c r="AV40" s="709">
        <f t="shared" si="36"/>
        <v>0.5</v>
      </c>
      <c r="AW40" s="709">
        <v>0.5</v>
      </c>
      <c r="AX40" s="709">
        <f t="shared" si="37"/>
        <v>0.24888888888888888</v>
      </c>
      <c r="AY40" s="709">
        <f t="shared" si="38"/>
        <v>0.12655367231638417</v>
      </c>
      <c r="AZ40" s="709">
        <f t="shared" si="39"/>
        <v>7.1428571428571425E-2</v>
      </c>
      <c r="BA40" s="714">
        <f t="shared" si="40"/>
        <v>8</v>
      </c>
      <c r="BB40" s="715">
        <f t="shared" si="41"/>
        <v>22.4</v>
      </c>
      <c r="BC40" s="716"/>
      <c r="BD40" s="716"/>
      <c r="BE40" s="716"/>
      <c r="BF40" s="716"/>
      <c r="BG40" s="717">
        <v>9</v>
      </c>
      <c r="BH40" s="704">
        <f t="shared" si="42"/>
        <v>0</v>
      </c>
      <c r="BI40" s="704">
        <f t="shared" si="42"/>
        <v>0</v>
      </c>
      <c r="BJ40" s="718"/>
      <c r="BK40" s="718"/>
      <c r="BL40" s="336">
        <v>0</v>
      </c>
      <c r="BM40" s="336">
        <v>0</v>
      </c>
      <c r="BN40" s="336">
        <v>1</v>
      </c>
      <c r="BO40" s="336">
        <v>2</v>
      </c>
      <c r="BP40" s="336">
        <v>1</v>
      </c>
      <c r="BQ40" s="336">
        <v>1</v>
      </c>
      <c r="BR40" s="336">
        <v>0</v>
      </c>
      <c r="BS40" s="336">
        <v>0</v>
      </c>
      <c r="BT40" s="336">
        <v>0</v>
      </c>
      <c r="BU40" s="336">
        <v>0</v>
      </c>
      <c r="BV40" s="336">
        <v>0</v>
      </c>
      <c r="BW40" s="336">
        <v>0</v>
      </c>
      <c r="BX40" s="336">
        <v>0</v>
      </c>
      <c r="BY40" s="336">
        <v>0</v>
      </c>
      <c r="BZ40" s="711">
        <f t="shared" si="53"/>
        <v>2</v>
      </c>
      <c r="CA40" s="711">
        <f t="shared" si="54"/>
        <v>3</v>
      </c>
      <c r="CB40" s="712">
        <f t="shared" si="55"/>
        <v>5</v>
      </c>
      <c r="CC40" s="14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</row>
    <row r="41" spans="1:222" s="22" customFormat="1" ht="129.94999999999999" customHeight="1">
      <c r="A41" s="662">
        <v>7</v>
      </c>
      <c r="B41" s="719" t="str">
        <f t="shared" si="31"/>
        <v xml:space="preserve">CDG-SGD ABESENA-LINE </v>
      </c>
      <c r="C41" s="515" t="str">
        <f t="shared" si="31"/>
        <v>JAMSHED</v>
      </c>
      <c r="D41" s="515"/>
      <c r="E41" s="720">
        <f t="shared" si="32"/>
        <v>200000</v>
      </c>
      <c r="F41" s="706">
        <f t="shared" si="43"/>
        <v>56.25</v>
      </c>
      <c r="G41" s="561">
        <v>25</v>
      </c>
      <c r="H41" s="719">
        <v>0</v>
      </c>
      <c r="I41" s="719">
        <v>0</v>
      </c>
      <c r="J41" s="707">
        <f t="shared" si="44"/>
        <v>0</v>
      </c>
      <c r="K41" s="719">
        <v>0</v>
      </c>
      <c r="L41" s="719">
        <v>0</v>
      </c>
      <c r="M41" s="707">
        <f t="shared" si="45"/>
        <v>0</v>
      </c>
      <c r="N41" s="719">
        <v>0</v>
      </c>
      <c r="O41" s="719">
        <v>0</v>
      </c>
      <c r="P41" s="707">
        <f t="shared" si="46"/>
        <v>0</v>
      </c>
      <c r="Q41" s="719">
        <v>0</v>
      </c>
      <c r="R41" s="719">
        <v>0</v>
      </c>
      <c r="S41" s="707">
        <f t="shared" si="33"/>
        <v>0</v>
      </c>
      <c r="T41" s="707"/>
      <c r="U41" s="707"/>
      <c r="V41" s="707">
        <f t="shared" si="34"/>
        <v>0</v>
      </c>
      <c r="W41" s="708">
        <f t="shared" si="47"/>
        <v>0</v>
      </c>
      <c r="X41" s="708">
        <f t="shared" si="48"/>
        <v>0</v>
      </c>
      <c r="Y41" s="537"/>
      <c r="Z41" s="537"/>
      <c r="AA41" s="537"/>
      <c r="AB41" s="719"/>
      <c r="AC41" s="719"/>
      <c r="AD41" s="719"/>
      <c r="AE41" s="719">
        <v>3</v>
      </c>
      <c r="AF41" s="719">
        <v>5</v>
      </c>
      <c r="AG41" s="537">
        <f t="shared" si="49"/>
        <v>8</v>
      </c>
      <c r="AH41" s="537"/>
      <c r="AI41" s="707"/>
      <c r="AJ41" s="707"/>
      <c r="AK41" s="719"/>
      <c r="AL41" s="719"/>
      <c r="AM41" s="719"/>
      <c r="AN41" s="719">
        <v>0</v>
      </c>
      <c r="AO41" s="719">
        <v>0</v>
      </c>
      <c r="AP41" s="537">
        <f t="shared" si="50"/>
        <v>0</v>
      </c>
      <c r="AQ41" s="711">
        <f t="shared" si="51"/>
        <v>3</v>
      </c>
      <c r="AR41" s="711">
        <f t="shared" si="52"/>
        <v>5</v>
      </c>
      <c r="AS41" s="712">
        <v>3</v>
      </c>
      <c r="AT41" s="712">
        <v>5</v>
      </c>
      <c r="AU41" s="713">
        <f t="shared" si="35"/>
        <v>8</v>
      </c>
      <c r="AV41" s="709">
        <f t="shared" si="36"/>
        <v>0</v>
      </c>
      <c r="AW41" s="709">
        <v>0</v>
      </c>
      <c r="AX41" s="709">
        <f t="shared" si="37"/>
        <v>0.14222222222222222</v>
      </c>
      <c r="AY41" s="709">
        <f t="shared" si="38"/>
        <v>9.03954802259887E-2</v>
      </c>
      <c r="AZ41" s="709">
        <f t="shared" si="39"/>
        <v>0</v>
      </c>
      <c r="BA41" s="714">
        <f t="shared" si="40"/>
        <v>0</v>
      </c>
      <c r="BB41" s="715">
        <f t="shared" si="41"/>
        <v>16</v>
      </c>
      <c r="BC41" s="721"/>
      <c r="BD41" s="721"/>
      <c r="BE41" s="721"/>
      <c r="BF41" s="721"/>
      <c r="BG41" s="717">
        <v>10</v>
      </c>
      <c r="BH41" s="515">
        <f t="shared" si="42"/>
        <v>0</v>
      </c>
      <c r="BI41" s="515">
        <f t="shared" si="42"/>
        <v>0</v>
      </c>
      <c r="BJ41" s="718"/>
      <c r="BK41" s="718"/>
      <c r="BL41" s="719"/>
      <c r="BM41" s="719"/>
      <c r="BN41" s="719"/>
      <c r="BO41" s="719"/>
      <c r="BP41" s="719"/>
      <c r="BQ41" s="719"/>
      <c r="BR41" s="719"/>
      <c r="BS41" s="719"/>
      <c r="BT41" s="719"/>
      <c r="BU41" s="719"/>
      <c r="BV41" s="719"/>
      <c r="BW41" s="719"/>
      <c r="BX41" s="719"/>
      <c r="BY41" s="719"/>
      <c r="BZ41" s="707">
        <f t="shared" si="53"/>
        <v>0</v>
      </c>
      <c r="CA41" s="707">
        <f t="shared" si="54"/>
        <v>0</v>
      </c>
      <c r="CB41" s="713">
        <f t="shared" si="55"/>
        <v>0</v>
      </c>
      <c r="CC41" s="14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</row>
    <row r="42" spans="1:222" s="22" customFormat="1" ht="129.94999999999999" customHeight="1">
      <c r="A42" s="662">
        <v>8</v>
      </c>
      <c r="B42" s="336" t="str">
        <f t="shared" si="31"/>
        <v xml:space="preserve">CDG-RHC KEMARI </v>
      </c>
      <c r="C42" s="704" t="str">
        <f t="shared" si="31"/>
        <v>KEMARI</v>
      </c>
      <c r="D42" s="704"/>
      <c r="E42" s="705">
        <f t="shared" si="32"/>
        <v>150000</v>
      </c>
      <c r="F42" s="706">
        <f t="shared" si="43"/>
        <v>56.25</v>
      </c>
      <c r="G42" s="561">
        <v>25</v>
      </c>
      <c r="H42" s="336">
        <v>3</v>
      </c>
      <c r="I42" s="336">
        <v>2</v>
      </c>
      <c r="J42" s="707">
        <f t="shared" si="44"/>
        <v>5</v>
      </c>
      <c r="K42" s="336">
        <v>0</v>
      </c>
      <c r="L42" s="336">
        <v>2</v>
      </c>
      <c r="M42" s="707">
        <f t="shared" si="45"/>
        <v>2</v>
      </c>
      <c r="N42" s="336">
        <v>0</v>
      </c>
      <c r="O42" s="336">
        <v>0</v>
      </c>
      <c r="P42" s="707">
        <f t="shared" si="46"/>
        <v>0</v>
      </c>
      <c r="Q42" s="336">
        <v>0</v>
      </c>
      <c r="R42" s="336">
        <v>0</v>
      </c>
      <c r="S42" s="707">
        <f t="shared" si="33"/>
        <v>0</v>
      </c>
      <c r="T42" s="707"/>
      <c r="U42" s="707"/>
      <c r="V42" s="707">
        <f t="shared" si="34"/>
        <v>7</v>
      </c>
      <c r="W42" s="708">
        <f t="shared" si="47"/>
        <v>0.2</v>
      </c>
      <c r="X42" s="709">
        <f t="shared" si="48"/>
        <v>0.16666666666666666</v>
      </c>
      <c r="Y42" s="710"/>
      <c r="Z42" s="710"/>
      <c r="AA42" s="710"/>
      <c r="AB42" s="336"/>
      <c r="AC42" s="336"/>
      <c r="AD42" s="336"/>
      <c r="AE42" s="336">
        <v>5</v>
      </c>
      <c r="AF42" s="336">
        <v>6</v>
      </c>
      <c r="AG42" s="537">
        <f t="shared" si="49"/>
        <v>11</v>
      </c>
      <c r="AH42" s="710"/>
      <c r="AI42" s="711"/>
      <c r="AJ42" s="711"/>
      <c r="AK42" s="336"/>
      <c r="AL42" s="336"/>
      <c r="AM42" s="336"/>
      <c r="AN42" s="336">
        <v>0</v>
      </c>
      <c r="AO42" s="336">
        <v>7</v>
      </c>
      <c r="AP42" s="537">
        <f t="shared" si="50"/>
        <v>7</v>
      </c>
      <c r="AQ42" s="711">
        <f t="shared" si="51"/>
        <v>8</v>
      </c>
      <c r="AR42" s="711">
        <f t="shared" si="52"/>
        <v>17</v>
      </c>
      <c r="AS42" s="712">
        <v>8</v>
      </c>
      <c r="AT42" s="712">
        <v>17</v>
      </c>
      <c r="AU42" s="713">
        <f t="shared" si="35"/>
        <v>25</v>
      </c>
      <c r="AV42" s="709">
        <f t="shared" si="36"/>
        <v>0.3125</v>
      </c>
      <c r="AW42" s="709">
        <v>0.31</v>
      </c>
      <c r="AX42" s="709">
        <f t="shared" si="37"/>
        <v>0.44444444444444442</v>
      </c>
      <c r="AY42" s="709">
        <f t="shared" si="38"/>
        <v>0.37664783427495291</v>
      </c>
      <c r="AZ42" s="709">
        <f t="shared" si="39"/>
        <v>0.08</v>
      </c>
      <c r="BA42" s="714">
        <f t="shared" si="40"/>
        <v>13.333333333333334</v>
      </c>
      <c r="BB42" s="715">
        <f t="shared" si="41"/>
        <v>66.666666666666671</v>
      </c>
      <c r="BC42" s="716"/>
      <c r="BD42" s="716"/>
      <c r="BE42" s="716"/>
      <c r="BF42" s="716"/>
      <c r="BG42" s="717">
        <v>11</v>
      </c>
      <c r="BH42" s="704">
        <f t="shared" si="42"/>
        <v>0</v>
      </c>
      <c r="BI42" s="704">
        <f t="shared" si="42"/>
        <v>0</v>
      </c>
      <c r="BJ42" s="718"/>
      <c r="BK42" s="718"/>
      <c r="BL42" s="336">
        <v>0</v>
      </c>
      <c r="BM42" s="336">
        <v>0</v>
      </c>
      <c r="BN42" s="336">
        <v>1</v>
      </c>
      <c r="BO42" s="336">
        <v>1</v>
      </c>
      <c r="BP42" s="336">
        <v>2</v>
      </c>
      <c r="BQ42" s="336">
        <v>0</v>
      </c>
      <c r="BR42" s="336">
        <v>0</v>
      </c>
      <c r="BS42" s="336">
        <v>0</v>
      </c>
      <c r="BT42" s="336">
        <v>0</v>
      </c>
      <c r="BU42" s="336">
        <v>0</v>
      </c>
      <c r="BV42" s="336">
        <v>0</v>
      </c>
      <c r="BW42" s="336">
        <v>1</v>
      </c>
      <c r="BX42" s="336">
        <v>0</v>
      </c>
      <c r="BY42" s="336">
        <v>0</v>
      </c>
      <c r="BZ42" s="711">
        <f t="shared" si="53"/>
        <v>3</v>
      </c>
      <c r="CA42" s="711">
        <f t="shared" si="54"/>
        <v>2</v>
      </c>
      <c r="CB42" s="712">
        <f t="shared" si="55"/>
        <v>5</v>
      </c>
      <c r="CC42" s="14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</row>
    <row r="43" spans="1:222" s="21" customFormat="1" ht="129.94999999999999" customHeight="1">
      <c r="A43" s="662">
        <v>9</v>
      </c>
      <c r="B43" s="719" t="str">
        <f t="shared" si="31"/>
        <v xml:space="preserve">CDG-SHER SHAH </v>
      </c>
      <c r="C43" s="515" t="str">
        <f t="shared" si="31"/>
        <v>KEMARI</v>
      </c>
      <c r="D43" s="515"/>
      <c r="E43" s="720">
        <f t="shared" si="32"/>
        <v>200000</v>
      </c>
      <c r="F43" s="706">
        <f t="shared" si="43"/>
        <v>56.25</v>
      </c>
      <c r="G43" s="561">
        <v>25</v>
      </c>
      <c r="H43" s="719">
        <v>1</v>
      </c>
      <c r="I43" s="719">
        <v>6</v>
      </c>
      <c r="J43" s="707">
        <f t="shared" si="44"/>
        <v>7</v>
      </c>
      <c r="K43" s="719">
        <v>0</v>
      </c>
      <c r="L43" s="719">
        <v>0</v>
      </c>
      <c r="M43" s="707">
        <f t="shared" si="45"/>
        <v>0</v>
      </c>
      <c r="N43" s="719">
        <v>0</v>
      </c>
      <c r="O43" s="719">
        <v>0</v>
      </c>
      <c r="P43" s="707">
        <f t="shared" si="46"/>
        <v>0</v>
      </c>
      <c r="Q43" s="719">
        <v>0</v>
      </c>
      <c r="R43" s="719">
        <v>0</v>
      </c>
      <c r="S43" s="707">
        <f t="shared" si="33"/>
        <v>0</v>
      </c>
      <c r="T43" s="707"/>
      <c r="U43" s="707"/>
      <c r="V43" s="707">
        <f t="shared" si="34"/>
        <v>7</v>
      </c>
      <c r="W43" s="708">
        <f t="shared" si="47"/>
        <v>0.28000000000000003</v>
      </c>
      <c r="X43" s="708">
        <f t="shared" si="48"/>
        <v>0.17499999999999999</v>
      </c>
      <c r="Y43" s="537"/>
      <c r="Z43" s="537"/>
      <c r="AA43" s="537"/>
      <c r="AB43" s="719"/>
      <c r="AC43" s="719"/>
      <c r="AD43" s="719"/>
      <c r="AE43" s="719">
        <v>2</v>
      </c>
      <c r="AF43" s="719">
        <v>2</v>
      </c>
      <c r="AG43" s="537">
        <f t="shared" si="49"/>
        <v>4</v>
      </c>
      <c r="AH43" s="537"/>
      <c r="AI43" s="707"/>
      <c r="AJ43" s="707"/>
      <c r="AK43" s="719"/>
      <c r="AL43" s="719"/>
      <c r="AM43" s="719"/>
      <c r="AN43" s="719">
        <v>2</v>
      </c>
      <c r="AO43" s="719">
        <v>1</v>
      </c>
      <c r="AP43" s="537">
        <f t="shared" si="50"/>
        <v>3</v>
      </c>
      <c r="AQ43" s="711">
        <f t="shared" si="51"/>
        <v>5</v>
      </c>
      <c r="AR43" s="711">
        <f t="shared" si="52"/>
        <v>9</v>
      </c>
      <c r="AS43" s="712">
        <v>5</v>
      </c>
      <c r="AT43" s="712">
        <v>9</v>
      </c>
      <c r="AU43" s="713">
        <f t="shared" si="35"/>
        <v>14</v>
      </c>
      <c r="AV43" s="709">
        <f t="shared" si="36"/>
        <v>0.63636363636363635</v>
      </c>
      <c r="AW43" s="709">
        <v>0.64</v>
      </c>
      <c r="AX43" s="709">
        <f t="shared" si="37"/>
        <v>0.24888888888888888</v>
      </c>
      <c r="AY43" s="709">
        <f t="shared" si="38"/>
        <v>0.15819209039548024</v>
      </c>
      <c r="AZ43" s="709">
        <f t="shared" si="39"/>
        <v>0</v>
      </c>
      <c r="BA43" s="714">
        <f t="shared" si="40"/>
        <v>13.999999999999998</v>
      </c>
      <c r="BB43" s="715">
        <f t="shared" si="41"/>
        <v>27.999999999999996</v>
      </c>
      <c r="BC43" s="721"/>
      <c r="BD43" s="721"/>
      <c r="BE43" s="721"/>
      <c r="BF43" s="721"/>
      <c r="BG43" s="717">
        <v>12</v>
      </c>
      <c r="BH43" s="515">
        <f t="shared" si="42"/>
        <v>0</v>
      </c>
      <c r="BI43" s="515">
        <f t="shared" si="42"/>
        <v>0</v>
      </c>
      <c r="BJ43" s="718"/>
      <c r="BK43" s="718"/>
      <c r="BL43" s="719">
        <v>0</v>
      </c>
      <c r="BM43" s="719">
        <v>0</v>
      </c>
      <c r="BN43" s="719">
        <v>1</v>
      </c>
      <c r="BO43" s="719">
        <v>2</v>
      </c>
      <c r="BP43" s="719">
        <v>0</v>
      </c>
      <c r="BQ43" s="719">
        <v>3</v>
      </c>
      <c r="BR43" s="719">
        <v>0</v>
      </c>
      <c r="BS43" s="719">
        <v>0</v>
      </c>
      <c r="BT43" s="719">
        <v>0</v>
      </c>
      <c r="BU43" s="719">
        <v>1</v>
      </c>
      <c r="BV43" s="719">
        <v>0</v>
      </c>
      <c r="BW43" s="719">
        <v>0</v>
      </c>
      <c r="BX43" s="719">
        <v>0</v>
      </c>
      <c r="BY43" s="719">
        <v>0</v>
      </c>
      <c r="BZ43" s="707">
        <f t="shared" si="53"/>
        <v>1</v>
      </c>
      <c r="CA43" s="707">
        <f t="shared" si="54"/>
        <v>6</v>
      </c>
      <c r="CB43" s="713">
        <f t="shared" si="55"/>
        <v>7</v>
      </c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</row>
    <row r="44" spans="1:222" s="21" customFormat="1" ht="129.94999999999999" customHeight="1">
      <c r="A44" s="662">
        <v>10</v>
      </c>
      <c r="B44" s="336" t="str">
        <f t="shared" si="31"/>
        <v>CDG-THO OFFICE CUM MAT HOME</v>
      </c>
      <c r="C44" s="704" t="str">
        <f t="shared" si="31"/>
        <v>KORANGI</v>
      </c>
      <c r="D44" s="704"/>
      <c r="E44" s="705">
        <f t="shared" si="32"/>
        <v>300000</v>
      </c>
      <c r="F44" s="706">
        <f t="shared" si="43"/>
        <v>112.5</v>
      </c>
      <c r="G44" s="561">
        <v>50</v>
      </c>
      <c r="H44" s="336">
        <v>15</v>
      </c>
      <c r="I44" s="336">
        <v>28</v>
      </c>
      <c r="J44" s="707">
        <f t="shared" si="44"/>
        <v>43</v>
      </c>
      <c r="K44" s="336">
        <v>1</v>
      </c>
      <c r="L44" s="336">
        <v>2</v>
      </c>
      <c r="M44" s="707">
        <f t="shared" si="45"/>
        <v>3</v>
      </c>
      <c r="N44" s="336">
        <v>1</v>
      </c>
      <c r="O44" s="336">
        <v>1</v>
      </c>
      <c r="P44" s="707">
        <f t="shared" si="46"/>
        <v>2</v>
      </c>
      <c r="Q44" s="336">
        <v>1</v>
      </c>
      <c r="R44" s="336">
        <v>0</v>
      </c>
      <c r="S44" s="707">
        <f t="shared" si="33"/>
        <v>1</v>
      </c>
      <c r="T44" s="707"/>
      <c r="U44" s="707"/>
      <c r="V44" s="707">
        <f t="shared" si="34"/>
        <v>49</v>
      </c>
      <c r="W44" s="708">
        <f t="shared" si="47"/>
        <v>0.86</v>
      </c>
      <c r="X44" s="709">
        <f t="shared" si="48"/>
        <v>0.71666666666666667</v>
      </c>
      <c r="Y44" s="710"/>
      <c r="Z44" s="710"/>
      <c r="AA44" s="710"/>
      <c r="AB44" s="336"/>
      <c r="AC44" s="336"/>
      <c r="AD44" s="336"/>
      <c r="AE44" s="336">
        <v>8</v>
      </c>
      <c r="AF44" s="336">
        <v>7</v>
      </c>
      <c r="AG44" s="537">
        <f t="shared" si="49"/>
        <v>15</v>
      </c>
      <c r="AH44" s="710"/>
      <c r="AI44" s="711"/>
      <c r="AJ44" s="711"/>
      <c r="AK44" s="336"/>
      <c r="AL44" s="336"/>
      <c r="AM44" s="336"/>
      <c r="AN44" s="336">
        <v>12</v>
      </c>
      <c r="AO44" s="336">
        <v>10</v>
      </c>
      <c r="AP44" s="537">
        <f t="shared" si="50"/>
        <v>22</v>
      </c>
      <c r="AQ44" s="711">
        <f t="shared" si="51"/>
        <v>38</v>
      </c>
      <c r="AR44" s="711">
        <f t="shared" si="52"/>
        <v>48</v>
      </c>
      <c r="AS44" s="712">
        <v>38</v>
      </c>
      <c r="AT44" s="712">
        <v>48</v>
      </c>
      <c r="AU44" s="713">
        <f t="shared" si="35"/>
        <v>86</v>
      </c>
      <c r="AV44" s="709">
        <f t="shared" si="36"/>
        <v>0.74137931034482762</v>
      </c>
      <c r="AW44" s="709">
        <v>0.74</v>
      </c>
      <c r="AX44" s="709">
        <f t="shared" si="37"/>
        <v>0.76444444444444448</v>
      </c>
      <c r="AY44" s="709">
        <f t="shared" si="38"/>
        <v>0.64783427495291901</v>
      </c>
      <c r="AZ44" s="709">
        <f t="shared" si="39"/>
        <v>6.9767441860465115E-2</v>
      </c>
      <c r="BA44" s="714">
        <f t="shared" si="40"/>
        <v>57.333333333333336</v>
      </c>
      <c r="BB44" s="715">
        <f t="shared" si="41"/>
        <v>114.66666666666667</v>
      </c>
      <c r="BC44" s="716"/>
      <c r="BD44" s="716"/>
      <c r="BE44" s="716"/>
      <c r="BF44" s="716"/>
      <c r="BG44" s="717">
        <v>13</v>
      </c>
      <c r="BH44" s="704">
        <f t="shared" si="42"/>
        <v>0</v>
      </c>
      <c r="BI44" s="704">
        <f t="shared" si="42"/>
        <v>0</v>
      </c>
      <c r="BJ44" s="718"/>
      <c r="BK44" s="718"/>
      <c r="BL44" s="336">
        <v>0</v>
      </c>
      <c r="BM44" s="336">
        <v>1</v>
      </c>
      <c r="BN44" s="336">
        <v>6</v>
      </c>
      <c r="BO44" s="336">
        <v>11</v>
      </c>
      <c r="BP44" s="336">
        <v>0</v>
      </c>
      <c r="BQ44" s="336">
        <v>10</v>
      </c>
      <c r="BR44" s="336">
        <v>4</v>
      </c>
      <c r="BS44" s="336">
        <v>4</v>
      </c>
      <c r="BT44" s="336">
        <v>1</v>
      </c>
      <c r="BU44" s="336">
        <v>1</v>
      </c>
      <c r="BV44" s="336">
        <v>4</v>
      </c>
      <c r="BW44" s="336">
        <v>1</v>
      </c>
      <c r="BX44" s="336">
        <v>0</v>
      </c>
      <c r="BY44" s="336">
        <v>0</v>
      </c>
      <c r="BZ44" s="711">
        <f t="shared" si="53"/>
        <v>15</v>
      </c>
      <c r="CA44" s="711">
        <f t="shared" si="54"/>
        <v>28</v>
      </c>
      <c r="CB44" s="712">
        <f t="shared" si="55"/>
        <v>43</v>
      </c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</row>
    <row r="45" spans="1:222" s="21" customFormat="1" ht="129.94999999999999" customHeight="1">
      <c r="A45" s="662">
        <v>11</v>
      </c>
      <c r="B45" s="719" t="str">
        <f t="shared" si="31"/>
        <v>CDG-LANDHI MEDICAL COMPLEX</v>
      </c>
      <c r="C45" s="515" t="str">
        <f t="shared" si="31"/>
        <v>LANDHI</v>
      </c>
      <c r="D45" s="515"/>
      <c r="E45" s="720">
        <f t="shared" si="32"/>
        <v>200000</v>
      </c>
      <c r="F45" s="706">
        <f t="shared" si="43"/>
        <v>56.25</v>
      </c>
      <c r="G45" s="644">
        <v>25</v>
      </c>
      <c r="H45" s="719">
        <v>1</v>
      </c>
      <c r="I45" s="719">
        <v>1</v>
      </c>
      <c r="J45" s="707">
        <f t="shared" si="44"/>
        <v>2</v>
      </c>
      <c r="K45" s="719">
        <v>0</v>
      </c>
      <c r="L45" s="719">
        <v>0</v>
      </c>
      <c r="M45" s="707">
        <f t="shared" si="45"/>
        <v>0</v>
      </c>
      <c r="N45" s="719">
        <v>0</v>
      </c>
      <c r="O45" s="719">
        <v>0</v>
      </c>
      <c r="P45" s="707">
        <f t="shared" si="46"/>
        <v>0</v>
      </c>
      <c r="Q45" s="719">
        <v>0</v>
      </c>
      <c r="R45" s="719">
        <v>0</v>
      </c>
      <c r="S45" s="707">
        <f t="shared" si="33"/>
        <v>0</v>
      </c>
      <c r="T45" s="707"/>
      <c r="U45" s="707"/>
      <c r="V45" s="707">
        <f t="shared" si="34"/>
        <v>2</v>
      </c>
      <c r="W45" s="708">
        <f t="shared" si="47"/>
        <v>0.08</v>
      </c>
      <c r="X45" s="708">
        <f t="shared" si="48"/>
        <v>0.05</v>
      </c>
      <c r="Y45" s="537"/>
      <c r="Z45" s="537"/>
      <c r="AA45" s="537"/>
      <c r="AB45" s="719"/>
      <c r="AC45" s="719"/>
      <c r="AD45" s="719"/>
      <c r="AE45" s="719">
        <v>1</v>
      </c>
      <c r="AF45" s="719">
        <v>4</v>
      </c>
      <c r="AG45" s="537">
        <f t="shared" si="49"/>
        <v>5</v>
      </c>
      <c r="AH45" s="537"/>
      <c r="AI45" s="707"/>
      <c r="AJ45" s="707"/>
      <c r="AK45" s="719"/>
      <c r="AL45" s="719"/>
      <c r="AM45" s="719"/>
      <c r="AN45" s="719">
        <v>1</v>
      </c>
      <c r="AO45" s="719">
        <v>1</v>
      </c>
      <c r="AP45" s="537">
        <f t="shared" si="50"/>
        <v>2</v>
      </c>
      <c r="AQ45" s="711">
        <f t="shared" si="51"/>
        <v>3</v>
      </c>
      <c r="AR45" s="711">
        <f t="shared" si="52"/>
        <v>6</v>
      </c>
      <c r="AS45" s="712">
        <v>3</v>
      </c>
      <c r="AT45" s="712">
        <v>6</v>
      </c>
      <c r="AU45" s="713">
        <f t="shared" si="35"/>
        <v>9</v>
      </c>
      <c r="AV45" s="709">
        <f t="shared" si="36"/>
        <v>0.2857142857142857</v>
      </c>
      <c r="AW45" s="709">
        <v>0.28999999999999998</v>
      </c>
      <c r="AX45" s="709">
        <f t="shared" si="37"/>
        <v>0.16</v>
      </c>
      <c r="AY45" s="709">
        <f t="shared" si="38"/>
        <v>0.10169491525423729</v>
      </c>
      <c r="AZ45" s="709">
        <f t="shared" si="39"/>
        <v>0</v>
      </c>
      <c r="BA45" s="714">
        <f t="shared" si="40"/>
        <v>4</v>
      </c>
      <c r="BB45" s="715">
        <f t="shared" si="41"/>
        <v>18</v>
      </c>
      <c r="BC45" s="721"/>
      <c r="BD45" s="721"/>
      <c r="BE45" s="721"/>
      <c r="BF45" s="721"/>
      <c r="BG45" s="717">
        <v>14</v>
      </c>
      <c r="BH45" s="515">
        <f t="shared" si="42"/>
        <v>0</v>
      </c>
      <c r="BI45" s="515">
        <f t="shared" si="42"/>
        <v>0</v>
      </c>
      <c r="BJ45" s="718"/>
      <c r="BK45" s="718"/>
      <c r="BL45" s="719">
        <v>0</v>
      </c>
      <c r="BM45" s="719">
        <v>0</v>
      </c>
      <c r="BN45" s="719">
        <v>0</v>
      </c>
      <c r="BO45" s="719">
        <v>1</v>
      </c>
      <c r="BP45" s="719">
        <v>1</v>
      </c>
      <c r="BQ45" s="719">
        <v>0</v>
      </c>
      <c r="BR45" s="719">
        <v>0</v>
      </c>
      <c r="BS45" s="719">
        <v>0</v>
      </c>
      <c r="BT45" s="719">
        <v>0</v>
      </c>
      <c r="BU45" s="719">
        <v>0</v>
      </c>
      <c r="BV45" s="719">
        <v>0</v>
      </c>
      <c r="BW45" s="719">
        <v>0</v>
      </c>
      <c r="BX45" s="719">
        <v>0</v>
      </c>
      <c r="BY45" s="719">
        <v>0</v>
      </c>
      <c r="BZ45" s="707">
        <f t="shared" si="53"/>
        <v>1</v>
      </c>
      <c r="CA45" s="707">
        <f t="shared" si="54"/>
        <v>1</v>
      </c>
      <c r="CB45" s="713">
        <f t="shared" si="55"/>
        <v>2</v>
      </c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</row>
    <row r="46" spans="1:222" s="21" customFormat="1" ht="129.94999999999999" customHeight="1">
      <c r="A46" s="662">
        <v>12</v>
      </c>
      <c r="B46" s="336" t="str">
        <f t="shared" si="31"/>
        <v xml:space="preserve">CDG-UHC LAUNDHI </v>
      </c>
      <c r="C46" s="704" t="str">
        <f t="shared" si="31"/>
        <v>LANDHI</v>
      </c>
      <c r="D46" s="704"/>
      <c r="E46" s="705">
        <f t="shared" si="32"/>
        <v>450000</v>
      </c>
      <c r="F46" s="706">
        <f t="shared" si="43"/>
        <v>67.5</v>
      </c>
      <c r="G46" s="561">
        <v>30</v>
      </c>
      <c r="H46" s="336">
        <v>11</v>
      </c>
      <c r="I46" s="336">
        <v>20</v>
      </c>
      <c r="J46" s="707">
        <f t="shared" si="44"/>
        <v>31</v>
      </c>
      <c r="K46" s="336">
        <v>3</v>
      </c>
      <c r="L46" s="336">
        <v>2</v>
      </c>
      <c r="M46" s="707">
        <f t="shared" si="45"/>
        <v>5</v>
      </c>
      <c r="N46" s="336">
        <v>0</v>
      </c>
      <c r="O46" s="336">
        <v>0</v>
      </c>
      <c r="P46" s="707">
        <f t="shared" si="46"/>
        <v>0</v>
      </c>
      <c r="Q46" s="336">
        <v>0</v>
      </c>
      <c r="R46" s="336">
        <v>0</v>
      </c>
      <c r="S46" s="707">
        <f t="shared" si="33"/>
        <v>0</v>
      </c>
      <c r="T46" s="707"/>
      <c r="U46" s="707"/>
      <c r="V46" s="707">
        <f t="shared" si="34"/>
        <v>36</v>
      </c>
      <c r="W46" s="708">
        <f t="shared" si="47"/>
        <v>1.0333333333333334</v>
      </c>
      <c r="X46" s="709">
        <f t="shared" si="48"/>
        <v>0.34444444444444444</v>
      </c>
      <c r="Y46" s="710"/>
      <c r="Z46" s="710"/>
      <c r="AA46" s="710"/>
      <c r="AB46" s="336"/>
      <c r="AC46" s="336"/>
      <c r="AD46" s="336"/>
      <c r="AE46" s="336">
        <v>2</v>
      </c>
      <c r="AF46" s="336">
        <v>3</v>
      </c>
      <c r="AG46" s="537">
        <f t="shared" si="49"/>
        <v>5</v>
      </c>
      <c r="AH46" s="710"/>
      <c r="AI46" s="711"/>
      <c r="AJ46" s="711"/>
      <c r="AK46" s="336"/>
      <c r="AL46" s="336"/>
      <c r="AM46" s="336"/>
      <c r="AN46" s="336">
        <v>2</v>
      </c>
      <c r="AO46" s="336">
        <v>5</v>
      </c>
      <c r="AP46" s="537">
        <f t="shared" si="50"/>
        <v>7</v>
      </c>
      <c r="AQ46" s="711">
        <f t="shared" si="51"/>
        <v>18</v>
      </c>
      <c r="AR46" s="711">
        <f t="shared" si="52"/>
        <v>30</v>
      </c>
      <c r="AS46" s="712">
        <v>18</v>
      </c>
      <c r="AT46" s="712">
        <v>30</v>
      </c>
      <c r="AU46" s="713">
        <f t="shared" si="35"/>
        <v>48</v>
      </c>
      <c r="AV46" s="709">
        <f t="shared" si="36"/>
        <v>0.86111111111111116</v>
      </c>
      <c r="AW46" s="709">
        <v>0.86</v>
      </c>
      <c r="AX46" s="709">
        <f t="shared" si="37"/>
        <v>0.71111111111111114</v>
      </c>
      <c r="AY46" s="709">
        <f t="shared" si="38"/>
        <v>0.24105461393596986</v>
      </c>
      <c r="AZ46" s="709">
        <f t="shared" si="39"/>
        <v>0.10416666666666667</v>
      </c>
      <c r="BA46" s="714">
        <f t="shared" si="40"/>
        <v>27.555555555555557</v>
      </c>
      <c r="BB46" s="715">
        <f t="shared" si="41"/>
        <v>42.666666666666664</v>
      </c>
      <c r="BC46" s="716"/>
      <c r="BD46" s="716"/>
      <c r="BE46" s="716"/>
      <c r="BF46" s="716"/>
      <c r="BG46" s="717">
        <v>15</v>
      </c>
      <c r="BH46" s="704">
        <f t="shared" si="42"/>
        <v>0</v>
      </c>
      <c r="BI46" s="704">
        <f t="shared" si="42"/>
        <v>0</v>
      </c>
      <c r="BJ46" s="718"/>
      <c r="BK46" s="718"/>
      <c r="BL46" s="336">
        <v>1</v>
      </c>
      <c r="BM46" s="336">
        <v>3</v>
      </c>
      <c r="BN46" s="336">
        <v>3</v>
      </c>
      <c r="BO46" s="336">
        <v>12</v>
      </c>
      <c r="BP46" s="336">
        <v>4</v>
      </c>
      <c r="BQ46" s="336">
        <v>1</v>
      </c>
      <c r="BR46" s="336">
        <v>2</v>
      </c>
      <c r="BS46" s="336">
        <v>1</v>
      </c>
      <c r="BT46" s="336">
        <v>0</v>
      </c>
      <c r="BU46" s="336">
        <v>3</v>
      </c>
      <c r="BV46" s="336">
        <v>1</v>
      </c>
      <c r="BW46" s="336">
        <v>0</v>
      </c>
      <c r="BX46" s="336">
        <v>0</v>
      </c>
      <c r="BY46" s="336">
        <v>0</v>
      </c>
      <c r="BZ46" s="711">
        <f t="shared" si="53"/>
        <v>11</v>
      </c>
      <c r="CA46" s="711">
        <f t="shared" si="54"/>
        <v>20</v>
      </c>
      <c r="CB46" s="712">
        <f t="shared" si="55"/>
        <v>31</v>
      </c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</row>
    <row r="47" spans="1:222" s="21" customFormat="1" ht="129.94999999999999" customHeight="1">
      <c r="A47" s="662">
        <v>13</v>
      </c>
      <c r="B47" s="719" t="str">
        <f t="shared" si="31"/>
        <v>CDG-GHAZI QAYUM DISPENSARY</v>
      </c>
      <c r="C47" s="723" t="str">
        <f t="shared" si="31"/>
        <v>LYARI</v>
      </c>
      <c r="D47" s="723"/>
      <c r="E47" s="720">
        <f t="shared" si="32"/>
        <v>150000</v>
      </c>
      <c r="F47" s="706">
        <f t="shared" si="43"/>
        <v>56.25</v>
      </c>
      <c r="G47" s="561">
        <v>25</v>
      </c>
      <c r="H47" s="719">
        <v>5</v>
      </c>
      <c r="I47" s="719">
        <v>2</v>
      </c>
      <c r="J47" s="707">
        <f t="shared" si="44"/>
        <v>7</v>
      </c>
      <c r="K47" s="719">
        <v>0</v>
      </c>
      <c r="L47" s="719">
        <v>0</v>
      </c>
      <c r="M47" s="707">
        <f t="shared" si="45"/>
        <v>0</v>
      </c>
      <c r="N47" s="719">
        <v>0</v>
      </c>
      <c r="O47" s="719">
        <v>0</v>
      </c>
      <c r="P47" s="707">
        <f t="shared" si="46"/>
        <v>0</v>
      </c>
      <c r="Q47" s="719">
        <v>0</v>
      </c>
      <c r="R47" s="719">
        <v>0</v>
      </c>
      <c r="S47" s="707">
        <f t="shared" si="33"/>
        <v>0</v>
      </c>
      <c r="T47" s="707"/>
      <c r="U47" s="707"/>
      <c r="V47" s="707">
        <f t="shared" si="34"/>
        <v>7</v>
      </c>
      <c r="W47" s="708">
        <f t="shared" si="47"/>
        <v>0.28000000000000003</v>
      </c>
      <c r="X47" s="708">
        <f t="shared" si="48"/>
        <v>0.23333333333333334</v>
      </c>
      <c r="Y47" s="537"/>
      <c r="Z47" s="537"/>
      <c r="AA47" s="537"/>
      <c r="AB47" s="719"/>
      <c r="AC47" s="719"/>
      <c r="AD47" s="719"/>
      <c r="AE47" s="719">
        <v>5</v>
      </c>
      <c r="AF47" s="719">
        <v>12</v>
      </c>
      <c r="AG47" s="537">
        <f t="shared" si="49"/>
        <v>17</v>
      </c>
      <c r="AH47" s="537"/>
      <c r="AI47" s="707"/>
      <c r="AJ47" s="707"/>
      <c r="AK47" s="719"/>
      <c r="AL47" s="719"/>
      <c r="AM47" s="719"/>
      <c r="AN47" s="719">
        <v>1</v>
      </c>
      <c r="AO47" s="719">
        <v>7</v>
      </c>
      <c r="AP47" s="537">
        <f t="shared" si="50"/>
        <v>8</v>
      </c>
      <c r="AQ47" s="711">
        <f t="shared" si="51"/>
        <v>11</v>
      </c>
      <c r="AR47" s="711">
        <f t="shared" si="52"/>
        <v>21</v>
      </c>
      <c r="AS47" s="712">
        <v>11</v>
      </c>
      <c r="AT47" s="712">
        <v>21</v>
      </c>
      <c r="AU47" s="713">
        <f t="shared" si="35"/>
        <v>32</v>
      </c>
      <c r="AV47" s="709">
        <f t="shared" si="36"/>
        <v>0.29166666666666669</v>
      </c>
      <c r="AW47" s="709">
        <v>0.28999999999999998</v>
      </c>
      <c r="AX47" s="709">
        <f t="shared" si="37"/>
        <v>0.56888888888888889</v>
      </c>
      <c r="AY47" s="709">
        <f t="shared" si="38"/>
        <v>0.48210922787193972</v>
      </c>
      <c r="AZ47" s="709">
        <f t="shared" si="39"/>
        <v>0</v>
      </c>
      <c r="BA47" s="714">
        <f t="shared" si="40"/>
        <v>18.666666666666664</v>
      </c>
      <c r="BB47" s="715">
        <f t="shared" si="41"/>
        <v>85.333333333333329</v>
      </c>
      <c r="BC47" s="721"/>
      <c r="BD47" s="721"/>
      <c r="BE47" s="721"/>
      <c r="BF47" s="721"/>
      <c r="BG47" s="717">
        <v>16</v>
      </c>
      <c r="BH47" s="723">
        <f t="shared" si="42"/>
        <v>0</v>
      </c>
      <c r="BI47" s="723">
        <f t="shared" si="42"/>
        <v>0</v>
      </c>
      <c r="BJ47" s="718"/>
      <c r="BK47" s="718"/>
      <c r="BL47" s="719">
        <v>0</v>
      </c>
      <c r="BM47" s="719">
        <v>0</v>
      </c>
      <c r="BN47" s="719">
        <v>0</v>
      </c>
      <c r="BO47" s="719">
        <v>1</v>
      </c>
      <c r="BP47" s="719">
        <v>5</v>
      </c>
      <c r="BQ47" s="719">
        <v>0</v>
      </c>
      <c r="BR47" s="719">
        <v>0</v>
      </c>
      <c r="BS47" s="719">
        <v>0</v>
      </c>
      <c r="BT47" s="719">
        <v>0</v>
      </c>
      <c r="BU47" s="719">
        <v>1</v>
      </c>
      <c r="BV47" s="719">
        <v>0</v>
      </c>
      <c r="BW47" s="719">
        <v>0</v>
      </c>
      <c r="BX47" s="719">
        <v>0</v>
      </c>
      <c r="BY47" s="719">
        <v>0</v>
      </c>
      <c r="BZ47" s="707">
        <f t="shared" si="53"/>
        <v>5</v>
      </c>
      <c r="CA47" s="707">
        <f t="shared" si="54"/>
        <v>2</v>
      </c>
      <c r="CB47" s="713">
        <f t="shared" si="55"/>
        <v>7</v>
      </c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</row>
    <row r="48" spans="1:222" s="21" customFormat="1" ht="129.94999999999999" customHeight="1">
      <c r="A48" s="662">
        <v>14</v>
      </c>
      <c r="B48" s="336" t="str">
        <f t="shared" si="31"/>
        <v xml:space="preserve">CDG-MCH CENTER </v>
      </c>
      <c r="C48" s="704" t="str">
        <f t="shared" si="31"/>
        <v>NORTH KARACHI</v>
      </c>
      <c r="D48" s="704"/>
      <c r="E48" s="705">
        <f t="shared" si="32"/>
        <v>150000</v>
      </c>
      <c r="F48" s="706">
        <f t="shared" si="43"/>
        <v>56.25</v>
      </c>
      <c r="G48" s="561">
        <v>25</v>
      </c>
      <c r="H48" s="336">
        <v>4</v>
      </c>
      <c r="I48" s="336">
        <v>0</v>
      </c>
      <c r="J48" s="707">
        <f t="shared" si="44"/>
        <v>4</v>
      </c>
      <c r="K48" s="336">
        <v>1</v>
      </c>
      <c r="L48" s="336">
        <v>0</v>
      </c>
      <c r="M48" s="707">
        <f t="shared" si="45"/>
        <v>1</v>
      </c>
      <c r="N48" s="336">
        <v>0</v>
      </c>
      <c r="O48" s="336">
        <v>0</v>
      </c>
      <c r="P48" s="707">
        <f t="shared" si="46"/>
        <v>0</v>
      </c>
      <c r="Q48" s="336">
        <v>0</v>
      </c>
      <c r="R48" s="336">
        <v>0</v>
      </c>
      <c r="S48" s="707">
        <f t="shared" si="33"/>
        <v>0</v>
      </c>
      <c r="T48" s="707"/>
      <c r="U48" s="707"/>
      <c r="V48" s="707">
        <f t="shared" si="34"/>
        <v>5</v>
      </c>
      <c r="W48" s="708">
        <f t="shared" si="47"/>
        <v>0.16</v>
      </c>
      <c r="X48" s="709">
        <f t="shared" si="48"/>
        <v>0.13333333333333333</v>
      </c>
      <c r="Y48" s="710"/>
      <c r="Z48" s="710"/>
      <c r="AA48" s="710"/>
      <c r="AB48" s="336"/>
      <c r="AC48" s="336"/>
      <c r="AD48" s="336"/>
      <c r="AE48" s="336">
        <v>0</v>
      </c>
      <c r="AF48" s="336">
        <v>1</v>
      </c>
      <c r="AG48" s="537">
        <f t="shared" si="49"/>
        <v>1</v>
      </c>
      <c r="AH48" s="710"/>
      <c r="AI48" s="711"/>
      <c r="AJ48" s="711"/>
      <c r="AK48" s="336"/>
      <c r="AL48" s="336"/>
      <c r="AM48" s="336"/>
      <c r="AN48" s="336">
        <v>0</v>
      </c>
      <c r="AO48" s="336">
        <v>1</v>
      </c>
      <c r="AP48" s="537">
        <f t="shared" si="50"/>
        <v>1</v>
      </c>
      <c r="AQ48" s="711">
        <f t="shared" si="51"/>
        <v>5</v>
      </c>
      <c r="AR48" s="711">
        <f t="shared" si="52"/>
        <v>2</v>
      </c>
      <c r="AS48" s="712">
        <v>5</v>
      </c>
      <c r="AT48" s="712">
        <v>2</v>
      </c>
      <c r="AU48" s="713">
        <f t="shared" si="35"/>
        <v>7</v>
      </c>
      <c r="AV48" s="709">
        <f t="shared" si="36"/>
        <v>0.8</v>
      </c>
      <c r="AW48" s="709">
        <v>0.8</v>
      </c>
      <c r="AX48" s="709">
        <f t="shared" si="37"/>
        <v>0.12444444444444444</v>
      </c>
      <c r="AY48" s="709">
        <f t="shared" si="38"/>
        <v>0.10546139359698682</v>
      </c>
      <c r="AZ48" s="709">
        <f t="shared" si="39"/>
        <v>0.14285714285714285</v>
      </c>
      <c r="BA48" s="714">
        <f t="shared" si="40"/>
        <v>10.666666666666666</v>
      </c>
      <c r="BB48" s="715">
        <f t="shared" si="41"/>
        <v>18.666666666666664</v>
      </c>
      <c r="BC48" s="716"/>
      <c r="BD48" s="716"/>
      <c r="BE48" s="716"/>
      <c r="BF48" s="716"/>
      <c r="BG48" s="717">
        <v>17</v>
      </c>
      <c r="BH48" s="704">
        <f t="shared" si="42"/>
        <v>0</v>
      </c>
      <c r="BI48" s="704">
        <f t="shared" si="42"/>
        <v>0</v>
      </c>
      <c r="BJ48" s="718"/>
      <c r="BK48" s="718"/>
      <c r="BL48" s="336">
        <v>0</v>
      </c>
      <c r="BM48" s="336">
        <v>0</v>
      </c>
      <c r="BN48" s="336">
        <v>2</v>
      </c>
      <c r="BO48" s="336">
        <v>0</v>
      </c>
      <c r="BP48" s="336">
        <v>0</v>
      </c>
      <c r="BQ48" s="336">
        <v>0</v>
      </c>
      <c r="BR48" s="336">
        <v>1</v>
      </c>
      <c r="BS48" s="336">
        <v>0</v>
      </c>
      <c r="BT48" s="336">
        <v>1</v>
      </c>
      <c r="BU48" s="336">
        <v>0</v>
      </c>
      <c r="BV48" s="336">
        <v>0</v>
      </c>
      <c r="BW48" s="336">
        <v>0</v>
      </c>
      <c r="BX48" s="336">
        <v>0</v>
      </c>
      <c r="BY48" s="336">
        <v>0</v>
      </c>
      <c r="BZ48" s="711">
        <f t="shared" si="53"/>
        <v>4</v>
      </c>
      <c r="CA48" s="711">
        <f t="shared" si="54"/>
        <v>0</v>
      </c>
      <c r="CB48" s="712">
        <f t="shared" si="55"/>
        <v>4</v>
      </c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</row>
    <row r="49" spans="1:222" s="21" customFormat="1" ht="129.94999999999999" customHeight="1">
      <c r="A49" s="662">
        <v>15</v>
      </c>
      <c r="B49" s="719" t="str">
        <f t="shared" si="31"/>
        <v>CDG-N. BHUTTO COLONY DISPENSARY</v>
      </c>
      <c r="C49" s="515" t="str">
        <f t="shared" si="31"/>
        <v>NORTH NAZIMABAD</v>
      </c>
      <c r="D49" s="515"/>
      <c r="E49" s="720">
        <f t="shared" si="32"/>
        <v>580000</v>
      </c>
      <c r="F49" s="706">
        <f t="shared" si="43"/>
        <v>67.5</v>
      </c>
      <c r="G49" s="561">
        <v>30</v>
      </c>
      <c r="H49" s="719">
        <v>9</v>
      </c>
      <c r="I49" s="719">
        <v>1</v>
      </c>
      <c r="J49" s="707">
        <f t="shared" si="44"/>
        <v>10</v>
      </c>
      <c r="K49" s="719">
        <v>0</v>
      </c>
      <c r="L49" s="719">
        <v>0</v>
      </c>
      <c r="M49" s="707">
        <f t="shared" si="45"/>
        <v>0</v>
      </c>
      <c r="N49" s="719">
        <v>0</v>
      </c>
      <c r="O49" s="719">
        <v>0</v>
      </c>
      <c r="P49" s="707">
        <f t="shared" si="46"/>
        <v>0</v>
      </c>
      <c r="Q49" s="719">
        <v>0</v>
      </c>
      <c r="R49" s="719">
        <v>0</v>
      </c>
      <c r="S49" s="707">
        <f t="shared" si="33"/>
        <v>0</v>
      </c>
      <c r="T49" s="707"/>
      <c r="U49" s="707"/>
      <c r="V49" s="707">
        <f t="shared" si="34"/>
        <v>10</v>
      </c>
      <c r="W49" s="708">
        <f t="shared" si="47"/>
        <v>0.33333333333333331</v>
      </c>
      <c r="X49" s="708">
        <f t="shared" si="48"/>
        <v>8.6206896551724144E-2</v>
      </c>
      <c r="Y49" s="537"/>
      <c r="Z49" s="537"/>
      <c r="AA49" s="537"/>
      <c r="AB49" s="719"/>
      <c r="AC49" s="719"/>
      <c r="AD49" s="719"/>
      <c r="AE49" s="719">
        <v>0</v>
      </c>
      <c r="AF49" s="719">
        <v>2</v>
      </c>
      <c r="AG49" s="537">
        <f t="shared" si="49"/>
        <v>2</v>
      </c>
      <c r="AH49" s="537"/>
      <c r="AI49" s="707"/>
      <c r="AJ49" s="707"/>
      <c r="AK49" s="719"/>
      <c r="AL49" s="719"/>
      <c r="AM49" s="719"/>
      <c r="AN49" s="719">
        <v>5</v>
      </c>
      <c r="AO49" s="719">
        <v>2</v>
      </c>
      <c r="AP49" s="537">
        <f t="shared" si="50"/>
        <v>7</v>
      </c>
      <c r="AQ49" s="711">
        <f t="shared" si="51"/>
        <v>14</v>
      </c>
      <c r="AR49" s="711">
        <f t="shared" si="52"/>
        <v>5</v>
      </c>
      <c r="AS49" s="712">
        <v>14</v>
      </c>
      <c r="AT49" s="712">
        <v>5</v>
      </c>
      <c r="AU49" s="713">
        <f t="shared" si="35"/>
        <v>19</v>
      </c>
      <c r="AV49" s="709">
        <f t="shared" si="36"/>
        <v>0.83333333333333337</v>
      </c>
      <c r="AW49" s="709">
        <v>0.83</v>
      </c>
      <c r="AX49" s="709">
        <f t="shared" si="37"/>
        <v>0.2814814814814815</v>
      </c>
      <c r="AY49" s="709">
        <f t="shared" si="38"/>
        <v>7.4030781219559708E-2</v>
      </c>
      <c r="AZ49" s="709">
        <f t="shared" si="39"/>
        <v>0</v>
      </c>
      <c r="BA49" s="714">
        <f t="shared" si="40"/>
        <v>6.8965517241379315</v>
      </c>
      <c r="BB49" s="715">
        <f t="shared" si="41"/>
        <v>13.103448275862068</v>
      </c>
      <c r="BC49" s="721"/>
      <c r="BD49" s="721"/>
      <c r="BE49" s="721"/>
      <c r="BF49" s="721"/>
      <c r="BG49" s="717">
        <v>18</v>
      </c>
      <c r="BH49" s="515">
        <f t="shared" si="42"/>
        <v>0</v>
      </c>
      <c r="BI49" s="515">
        <f t="shared" si="42"/>
        <v>0</v>
      </c>
      <c r="BJ49" s="718"/>
      <c r="BK49" s="718"/>
      <c r="BL49" s="719">
        <v>0</v>
      </c>
      <c r="BM49" s="719">
        <v>0</v>
      </c>
      <c r="BN49" s="719">
        <v>4</v>
      </c>
      <c r="BO49" s="719">
        <v>1</v>
      </c>
      <c r="BP49" s="719">
        <v>0</v>
      </c>
      <c r="BQ49" s="719">
        <v>0</v>
      </c>
      <c r="BR49" s="719">
        <v>2</v>
      </c>
      <c r="BS49" s="719">
        <v>0</v>
      </c>
      <c r="BT49" s="719">
        <v>1</v>
      </c>
      <c r="BU49" s="719">
        <v>0</v>
      </c>
      <c r="BV49" s="719">
        <v>2</v>
      </c>
      <c r="BW49" s="719">
        <v>0</v>
      </c>
      <c r="BX49" s="719">
        <v>0</v>
      </c>
      <c r="BY49" s="719">
        <v>0</v>
      </c>
      <c r="BZ49" s="707">
        <f t="shared" si="53"/>
        <v>9</v>
      </c>
      <c r="CA49" s="707">
        <f t="shared" si="54"/>
        <v>1</v>
      </c>
      <c r="CB49" s="713">
        <f t="shared" si="55"/>
        <v>10</v>
      </c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</row>
    <row r="50" spans="1:222" s="21" customFormat="1" ht="129.94999999999999" customHeight="1">
      <c r="A50" s="662">
        <v>16</v>
      </c>
      <c r="B50" s="336" t="str">
        <f t="shared" ref="B50:E54" si="56">B21</f>
        <v xml:space="preserve">CDG-STAFF CLINIC </v>
      </c>
      <c r="C50" s="704" t="str">
        <f t="shared" si="56"/>
        <v>SADDAR</v>
      </c>
      <c r="D50" s="704"/>
      <c r="E50" s="705">
        <f t="shared" si="56"/>
        <v>100000</v>
      </c>
      <c r="F50" s="706">
        <f t="shared" si="43"/>
        <v>56.25</v>
      </c>
      <c r="G50" s="561">
        <v>25</v>
      </c>
      <c r="H50" s="336">
        <v>1</v>
      </c>
      <c r="I50" s="336">
        <v>1</v>
      </c>
      <c r="J50" s="707">
        <f t="shared" si="44"/>
        <v>2</v>
      </c>
      <c r="K50" s="719">
        <v>0</v>
      </c>
      <c r="L50" s="719">
        <v>0</v>
      </c>
      <c r="M50" s="707">
        <f t="shared" si="45"/>
        <v>0</v>
      </c>
      <c r="N50" s="719">
        <v>0</v>
      </c>
      <c r="O50" s="719">
        <v>0</v>
      </c>
      <c r="P50" s="707">
        <f t="shared" si="46"/>
        <v>0</v>
      </c>
      <c r="Q50" s="719">
        <v>0</v>
      </c>
      <c r="R50" s="719">
        <v>0</v>
      </c>
      <c r="S50" s="707">
        <f t="shared" si="33"/>
        <v>0</v>
      </c>
      <c r="T50" s="707"/>
      <c r="U50" s="707"/>
      <c r="V50" s="707">
        <f t="shared" si="34"/>
        <v>2</v>
      </c>
      <c r="W50" s="708">
        <f t="shared" si="47"/>
        <v>0.08</v>
      </c>
      <c r="X50" s="709">
        <f t="shared" si="48"/>
        <v>0.1</v>
      </c>
      <c r="Y50" s="710"/>
      <c r="Z50" s="710"/>
      <c r="AA50" s="710"/>
      <c r="AB50" s="336"/>
      <c r="AC50" s="336"/>
      <c r="AD50" s="336"/>
      <c r="AE50" s="336">
        <v>1</v>
      </c>
      <c r="AF50" s="336">
        <v>5</v>
      </c>
      <c r="AG50" s="537">
        <f t="shared" si="49"/>
        <v>6</v>
      </c>
      <c r="AH50" s="710"/>
      <c r="AI50" s="711"/>
      <c r="AJ50" s="711"/>
      <c r="AK50" s="336"/>
      <c r="AL50" s="336"/>
      <c r="AM50" s="336"/>
      <c r="AN50" s="336">
        <v>0</v>
      </c>
      <c r="AO50" s="336">
        <v>4</v>
      </c>
      <c r="AP50" s="537">
        <f t="shared" si="50"/>
        <v>4</v>
      </c>
      <c r="AQ50" s="711">
        <f t="shared" si="51"/>
        <v>2</v>
      </c>
      <c r="AR50" s="711">
        <f t="shared" si="52"/>
        <v>10</v>
      </c>
      <c r="AS50" s="712">
        <v>2</v>
      </c>
      <c r="AT50" s="712">
        <v>10</v>
      </c>
      <c r="AU50" s="713">
        <f t="shared" si="35"/>
        <v>12</v>
      </c>
      <c r="AV50" s="709">
        <f t="shared" si="36"/>
        <v>0.25</v>
      </c>
      <c r="AW50" s="709">
        <v>0.25</v>
      </c>
      <c r="AX50" s="709">
        <f t="shared" si="37"/>
        <v>0.21333333333333335</v>
      </c>
      <c r="AY50" s="709">
        <f t="shared" si="38"/>
        <v>0.2711864406779661</v>
      </c>
      <c r="AZ50" s="709">
        <f t="shared" si="39"/>
        <v>0</v>
      </c>
      <c r="BA50" s="714">
        <f t="shared" si="40"/>
        <v>8</v>
      </c>
      <c r="BB50" s="715">
        <f t="shared" si="41"/>
        <v>48</v>
      </c>
      <c r="BC50" s="716"/>
      <c r="BD50" s="716"/>
      <c r="BE50" s="716"/>
      <c r="BF50" s="716"/>
      <c r="BG50" s="717">
        <v>21</v>
      </c>
      <c r="BH50" s="704">
        <f t="shared" ref="BH50:BI54" si="57">BH136</f>
        <v>0</v>
      </c>
      <c r="BI50" s="704">
        <f t="shared" si="57"/>
        <v>0</v>
      </c>
      <c r="BJ50" s="718"/>
      <c r="BK50" s="718"/>
      <c r="BL50" s="336">
        <v>0</v>
      </c>
      <c r="BM50" s="336">
        <v>0</v>
      </c>
      <c r="BN50" s="336">
        <v>0</v>
      </c>
      <c r="BO50" s="336">
        <v>1</v>
      </c>
      <c r="BP50" s="336">
        <v>0</v>
      </c>
      <c r="BQ50" s="336">
        <v>0</v>
      </c>
      <c r="BR50" s="336">
        <v>1</v>
      </c>
      <c r="BS50" s="336">
        <v>0</v>
      </c>
      <c r="BT50" s="336">
        <v>0</v>
      </c>
      <c r="BU50" s="336">
        <v>0</v>
      </c>
      <c r="BV50" s="336">
        <v>0</v>
      </c>
      <c r="BW50" s="336">
        <v>0</v>
      </c>
      <c r="BX50" s="336">
        <v>0</v>
      </c>
      <c r="BY50" s="336">
        <v>0</v>
      </c>
      <c r="BZ50" s="711">
        <f t="shared" si="53"/>
        <v>1</v>
      </c>
      <c r="CA50" s="711">
        <f t="shared" si="54"/>
        <v>1</v>
      </c>
      <c r="CB50" s="712">
        <f t="shared" si="55"/>
        <v>2</v>
      </c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  <c r="HM50" s="14"/>
      <c r="HN50" s="14"/>
    </row>
    <row r="51" spans="1:222" s="21" customFormat="1" ht="129.94999999999999" customHeight="1">
      <c r="A51" s="662">
        <v>17</v>
      </c>
      <c r="B51" s="719" t="str">
        <f t="shared" si="56"/>
        <v xml:space="preserve">CDG-SGD SHAH FAISAL </v>
      </c>
      <c r="C51" s="515" t="str">
        <f t="shared" si="56"/>
        <v>SHAH FAISAL</v>
      </c>
      <c r="D51" s="515"/>
      <c r="E51" s="720">
        <f t="shared" si="56"/>
        <v>200000</v>
      </c>
      <c r="F51" s="706">
        <f t="shared" si="43"/>
        <v>56.25</v>
      </c>
      <c r="G51" s="561">
        <v>25</v>
      </c>
      <c r="H51" s="719">
        <v>2</v>
      </c>
      <c r="I51" s="719">
        <v>7</v>
      </c>
      <c r="J51" s="707">
        <f t="shared" si="44"/>
        <v>9</v>
      </c>
      <c r="K51" s="719">
        <v>0</v>
      </c>
      <c r="L51" s="719">
        <v>0</v>
      </c>
      <c r="M51" s="707">
        <f t="shared" si="45"/>
        <v>0</v>
      </c>
      <c r="N51" s="719">
        <v>0</v>
      </c>
      <c r="O51" s="719">
        <v>0</v>
      </c>
      <c r="P51" s="707">
        <f t="shared" si="46"/>
        <v>0</v>
      </c>
      <c r="Q51" s="719">
        <v>0</v>
      </c>
      <c r="R51" s="719">
        <v>0</v>
      </c>
      <c r="S51" s="707">
        <f t="shared" si="33"/>
        <v>0</v>
      </c>
      <c r="T51" s="707"/>
      <c r="U51" s="707"/>
      <c r="V51" s="707">
        <f t="shared" si="34"/>
        <v>9</v>
      </c>
      <c r="W51" s="708">
        <f t="shared" si="47"/>
        <v>0.36</v>
      </c>
      <c r="X51" s="708">
        <f t="shared" si="48"/>
        <v>0.22500000000000001</v>
      </c>
      <c r="Y51" s="537"/>
      <c r="Z51" s="537"/>
      <c r="AA51" s="537"/>
      <c r="AB51" s="719"/>
      <c r="AC51" s="719"/>
      <c r="AD51" s="719"/>
      <c r="AE51" s="719">
        <v>4</v>
      </c>
      <c r="AF51" s="719">
        <v>3</v>
      </c>
      <c r="AG51" s="537">
        <f t="shared" si="49"/>
        <v>7</v>
      </c>
      <c r="AH51" s="537"/>
      <c r="AI51" s="707"/>
      <c r="AJ51" s="707"/>
      <c r="AK51" s="719"/>
      <c r="AL51" s="719"/>
      <c r="AM51" s="719"/>
      <c r="AN51" s="719">
        <v>0</v>
      </c>
      <c r="AO51" s="719">
        <v>2</v>
      </c>
      <c r="AP51" s="537">
        <f t="shared" si="50"/>
        <v>2</v>
      </c>
      <c r="AQ51" s="711">
        <f t="shared" si="51"/>
        <v>6</v>
      </c>
      <c r="AR51" s="711">
        <f t="shared" si="52"/>
        <v>12</v>
      </c>
      <c r="AS51" s="712">
        <v>6</v>
      </c>
      <c r="AT51" s="712">
        <v>12</v>
      </c>
      <c r="AU51" s="713">
        <f t="shared" si="35"/>
        <v>18</v>
      </c>
      <c r="AV51" s="709">
        <f t="shared" si="36"/>
        <v>0.5625</v>
      </c>
      <c r="AW51" s="709">
        <v>0.56000000000000005</v>
      </c>
      <c r="AX51" s="709">
        <f t="shared" si="37"/>
        <v>0.32</v>
      </c>
      <c r="AY51" s="709">
        <f t="shared" si="38"/>
        <v>0.20338983050847459</v>
      </c>
      <c r="AZ51" s="709">
        <f t="shared" si="39"/>
        <v>0</v>
      </c>
      <c r="BA51" s="714">
        <f t="shared" si="40"/>
        <v>18</v>
      </c>
      <c r="BB51" s="715">
        <f t="shared" si="41"/>
        <v>36</v>
      </c>
      <c r="BC51" s="721"/>
      <c r="BD51" s="721"/>
      <c r="BE51" s="721"/>
      <c r="BF51" s="721"/>
      <c r="BG51" s="717">
        <v>22</v>
      </c>
      <c r="BH51" s="515">
        <f t="shared" si="57"/>
        <v>0</v>
      </c>
      <c r="BI51" s="515">
        <f t="shared" si="57"/>
        <v>0</v>
      </c>
      <c r="BJ51" s="718"/>
      <c r="BK51" s="718"/>
      <c r="BL51" s="719">
        <v>0</v>
      </c>
      <c r="BM51" s="719">
        <v>0</v>
      </c>
      <c r="BN51" s="719">
        <v>0</v>
      </c>
      <c r="BO51" s="719">
        <v>2</v>
      </c>
      <c r="BP51" s="719">
        <v>1</v>
      </c>
      <c r="BQ51" s="719">
        <v>2</v>
      </c>
      <c r="BR51" s="719">
        <v>0</v>
      </c>
      <c r="BS51" s="719">
        <v>0</v>
      </c>
      <c r="BT51" s="719">
        <v>0</v>
      </c>
      <c r="BU51" s="719">
        <v>3</v>
      </c>
      <c r="BV51" s="719">
        <v>1</v>
      </c>
      <c r="BW51" s="719">
        <v>0</v>
      </c>
      <c r="BX51" s="719">
        <v>0</v>
      </c>
      <c r="BY51" s="719">
        <v>0</v>
      </c>
      <c r="BZ51" s="707">
        <f t="shared" si="53"/>
        <v>2</v>
      </c>
      <c r="CA51" s="707">
        <f t="shared" si="54"/>
        <v>7</v>
      </c>
      <c r="CB51" s="713">
        <f t="shared" si="55"/>
        <v>9</v>
      </c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4"/>
      <c r="HL51" s="14"/>
      <c r="HM51" s="14"/>
      <c r="HN51" s="14"/>
    </row>
    <row r="52" spans="1:222" s="21" customFormat="1" ht="129.94999999999999" customHeight="1">
      <c r="A52" s="662">
        <v>18</v>
      </c>
      <c r="B52" s="336" t="str">
        <f t="shared" si="56"/>
        <v xml:space="preserve">CDG-H.M.COMPLEX </v>
      </c>
      <c r="C52" s="722" t="str">
        <f t="shared" si="56"/>
        <v>SITE</v>
      </c>
      <c r="D52" s="722"/>
      <c r="E52" s="705">
        <f t="shared" si="56"/>
        <v>423500</v>
      </c>
      <c r="F52" s="706">
        <f t="shared" si="43"/>
        <v>56.25</v>
      </c>
      <c r="G52" s="561">
        <v>25</v>
      </c>
      <c r="H52" s="336">
        <v>2</v>
      </c>
      <c r="I52" s="336">
        <v>2</v>
      </c>
      <c r="J52" s="707">
        <f t="shared" si="44"/>
        <v>4</v>
      </c>
      <c r="K52" s="336">
        <v>0</v>
      </c>
      <c r="L52" s="336">
        <v>0</v>
      </c>
      <c r="M52" s="707">
        <f t="shared" si="45"/>
        <v>0</v>
      </c>
      <c r="N52" s="336">
        <v>0</v>
      </c>
      <c r="O52" s="336">
        <v>0</v>
      </c>
      <c r="P52" s="707">
        <f t="shared" si="46"/>
        <v>0</v>
      </c>
      <c r="Q52" s="336">
        <v>0</v>
      </c>
      <c r="R52" s="336">
        <v>0</v>
      </c>
      <c r="S52" s="707">
        <f t="shared" si="33"/>
        <v>0</v>
      </c>
      <c r="T52" s="707"/>
      <c r="U52" s="707"/>
      <c r="V52" s="707">
        <f t="shared" si="34"/>
        <v>4</v>
      </c>
      <c r="W52" s="708">
        <f t="shared" si="47"/>
        <v>0.16</v>
      </c>
      <c r="X52" s="709">
        <f t="shared" si="48"/>
        <v>4.7225501770956316E-2</v>
      </c>
      <c r="Y52" s="710"/>
      <c r="Z52" s="710"/>
      <c r="AA52" s="710"/>
      <c r="AB52" s="336"/>
      <c r="AC52" s="336"/>
      <c r="AD52" s="336"/>
      <c r="AE52" s="336">
        <v>4</v>
      </c>
      <c r="AF52" s="336">
        <v>4</v>
      </c>
      <c r="AG52" s="537">
        <f t="shared" si="49"/>
        <v>8</v>
      </c>
      <c r="AH52" s="710"/>
      <c r="AI52" s="711"/>
      <c r="AJ52" s="711"/>
      <c r="AK52" s="336"/>
      <c r="AL52" s="336"/>
      <c r="AM52" s="336"/>
      <c r="AN52" s="336">
        <v>0</v>
      </c>
      <c r="AO52" s="336">
        <v>4</v>
      </c>
      <c r="AP52" s="537">
        <f t="shared" si="50"/>
        <v>4</v>
      </c>
      <c r="AQ52" s="711">
        <f t="shared" si="51"/>
        <v>6</v>
      </c>
      <c r="AR52" s="711">
        <f t="shared" si="52"/>
        <v>10</v>
      </c>
      <c r="AS52" s="712">
        <v>6</v>
      </c>
      <c r="AT52" s="712">
        <v>10</v>
      </c>
      <c r="AU52" s="713">
        <f t="shared" si="35"/>
        <v>16</v>
      </c>
      <c r="AV52" s="709">
        <f t="shared" si="36"/>
        <v>0.33333333333333331</v>
      </c>
      <c r="AW52" s="709">
        <v>0.33</v>
      </c>
      <c r="AX52" s="709">
        <f t="shared" si="37"/>
        <v>0.28444444444444444</v>
      </c>
      <c r="AY52" s="709">
        <f t="shared" si="38"/>
        <v>8.5379438229977511E-2</v>
      </c>
      <c r="AZ52" s="709">
        <f t="shared" si="39"/>
        <v>0</v>
      </c>
      <c r="BA52" s="714">
        <f t="shared" si="40"/>
        <v>3.7780401416765055</v>
      </c>
      <c r="BB52" s="715">
        <f t="shared" si="41"/>
        <v>15.112160566706022</v>
      </c>
      <c r="BC52" s="716"/>
      <c r="BD52" s="716"/>
      <c r="BE52" s="716"/>
      <c r="BF52" s="716"/>
      <c r="BG52" s="717">
        <v>23</v>
      </c>
      <c r="BH52" s="722">
        <f t="shared" si="57"/>
        <v>0</v>
      </c>
      <c r="BI52" s="722">
        <f t="shared" si="57"/>
        <v>0</v>
      </c>
      <c r="BJ52" s="718"/>
      <c r="BK52" s="718"/>
      <c r="BL52" s="336"/>
      <c r="BM52" s="336"/>
      <c r="BN52" s="336">
        <v>1</v>
      </c>
      <c r="BO52" s="336">
        <v>1</v>
      </c>
      <c r="BP52" s="336">
        <v>1</v>
      </c>
      <c r="BQ52" s="336">
        <v>1</v>
      </c>
      <c r="BR52" s="719">
        <v>0</v>
      </c>
      <c r="BS52" s="719">
        <v>0</v>
      </c>
      <c r="BT52" s="719">
        <v>0</v>
      </c>
      <c r="BU52" s="719">
        <v>0</v>
      </c>
      <c r="BV52" s="719">
        <v>0</v>
      </c>
      <c r="BW52" s="719">
        <v>0</v>
      </c>
      <c r="BX52" s="719">
        <v>0</v>
      </c>
      <c r="BY52" s="719">
        <v>0</v>
      </c>
      <c r="BZ52" s="711">
        <f t="shared" si="53"/>
        <v>2</v>
      </c>
      <c r="CA52" s="711">
        <f t="shared" si="54"/>
        <v>2</v>
      </c>
      <c r="CB52" s="712">
        <f t="shared" si="55"/>
        <v>4</v>
      </c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4"/>
      <c r="HM52" s="14"/>
      <c r="HN52" s="14"/>
    </row>
    <row r="53" spans="1:222" s="21" customFormat="1" ht="129.94999999999999" customHeight="1">
      <c r="A53" s="662">
        <v>19</v>
      </c>
      <c r="B53" s="719" t="str">
        <f t="shared" si="56"/>
        <v xml:space="preserve">SGH N.KARACHI </v>
      </c>
      <c r="C53" s="515" t="str">
        <f t="shared" si="56"/>
        <v>N.KARACHI</v>
      </c>
      <c r="D53" s="515"/>
      <c r="E53" s="720">
        <f t="shared" si="56"/>
        <v>450000</v>
      </c>
      <c r="F53" s="706">
        <v>230</v>
      </c>
      <c r="G53" s="561">
        <v>100</v>
      </c>
      <c r="H53" s="719">
        <v>34</v>
      </c>
      <c r="I53" s="719">
        <v>42</v>
      </c>
      <c r="J53" s="707">
        <f t="shared" si="44"/>
        <v>76</v>
      </c>
      <c r="K53" s="719">
        <v>0</v>
      </c>
      <c r="L53" s="719">
        <v>5</v>
      </c>
      <c r="M53" s="707">
        <f t="shared" si="45"/>
        <v>5</v>
      </c>
      <c r="N53" s="719">
        <v>0</v>
      </c>
      <c r="O53" s="719">
        <v>0</v>
      </c>
      <c r="P53" s="707">
        <f t="shared" si="46"/>
        <v>0</v>
      </c>
      <c r="Q53" s="719">
        <v>1</v>
      </c>
      <c r="R53" s="719">
        <v>2</v>
      </c>
      <c r="S53" s="707">
        <f t="shared" si="33"/>
        <v>3</v>
      </c>
      <c r="T53" s="707"/>
      <c r="U53" s="707"/>
      <c r="V53" s="707">
        <f t="shared" si="34"/>
        <v>84</v>
      </c>
      <c r="W53" s="708">
        <f t="shared" si="47"/>
        <v>0.76</v>
      </c>
      <c r="X53" s="708">
        <f t="shared" si="48"/>
        <v>0.84444444444444444</v>
      </c>
      <c r="Y53" s="537"/>
      <c r="Z53" s="537"/>
      <c r="AA53" s="537"/>
      <c r="AB53" s="719"/>
      <c r="AC53" s="719"/>
      <c r="AD53" s="719"/>
      <c r="AE53" s="719">
        <v>16</v>
      </c>
      <c r="AF53" s="719">
        <v>31</v>
      </c>
      <c r="AG53" s="537">
        <f t="shared" si="49"/>
        <v>47</v>
      </c>
      <c r="AH53" s="537"/>
      <c r="AI53" s="707"/>
      <c r="AJ53" s="707"/>
      <c r="AK53" s="719"/>
      <c r="AL53" s="719"/>
      <c r="AM53" s="719"/>
      <c r="AN53" s="719">
        <v>21</v>
      </c>
      <c r="AO53" s="719">
        <v>56</v>
      </c>
      <c r="AP53" s="537">
        <f t="shared" si="50"/>
        <v>77</v>
      </c>
      <c r="AQ53" s="711">
        <f t="shared" si="51"/>
        <v>72</v>
      </c>
      <c r="AR53" s="711">
        <f t="shared" si="52"/>
        <v>136</v>
      </c>
      <c r="AS53" s="712">
        <v>72</v>
      </c>
      <c r="AT53" s="712">
        <v>136</v>
      </c>
      <c r="AU53" s="713">
        <f t="shared" si="35"/>
        <v>208</v>
      </c>
      <c r="AV53" s="709">
        <f t="shared" si="36"/>
        <v>0.61788617886178865</v>
      </c>
      <c r="AW53" s="709">
        <v>0.62</v>
      </c>
      <c r="AX53" s="709">
        <f t="shared" si="37"/>
        <v>0.90434782608695652</v>
      </c>
      <c r="AY53" s="709">
        <f t="shared" si="38"/>
        <v>1.0445699937225361</v>
      </c>
      <c r="AZ53" s="709">
        <f t="shared" si="39"/>
        <v>3.8461538461538464E-2</v>
      </c>
      <c r="BA53" s="714">
        <f t="shared" si="40"/>
        <v>67.555555555555557</v>
      </c>
      <c r="BB53" s="715">
        <f t="shared" si="41"/>
        <v>184.88888888888889</v>
      </c>
      <c r="BC53" s="721"/>
      <c r="BD53" s="721"/>
      <c r="BE53" s="721"/>
      <c r="BF53" s="721"/>
      <c r="BG53" s="717">
        <v>24</v>
      </c>
      <c r="BH53" s="515">
        <f t="shared" si="57"/>
        <v>0</v>
      </c>
      <c r="BI53" s="515">
        <f t="shared" si="57"/>
        <v>0</v>
      </c>
      <c r="BJ53" s="718"/>
      <c r="BK53" s="718"/>
      <c r="BL53" s="719">
        <v>3</v>
      </c>
      <c r="BM53" s="719">
        <v>8</v>
      </c>
      <c r="BN53" s="719">
        <v>10</v>
      </c>
      <c r="BO53" s="719">
        <v>14</v>
      </c>
      <c r="BP53" s="719">
        <v>4</v>
      </c>
      <c r="BQ53" s="719">
        <v>7</v>
      </c>
      <c r="BR53" s="719">
        <v>6</v>
      </c>
      <c r="BS53" s="719">
        <v>7</v>
      </c>
      <c r="BT53" s="719">
        <v>8</v>
      </c>
      <c r="BU53" s="719">
        <v>2</v>
      </c>
      <c r="BV53" s="719">
        <v>3</v>
      </c>
      <c r="BW53" s="719">
        <v>1</v>
      </c>
      <c r="BX53" s="719">
        <v>0</v>
      </c>
      <c r="BY53" s="719">
        <v>3</v>
      </c>
      <c r="BZ53" s="707">
        <f t="shared" si="53"/>
        <v>34</v>
      </c>
      <c r="CA53" s="707">
        <f t="shared" si="54"/>
        <v>42</v>
      </c>
      <c r="CB53" s="713">
        <f t="shared" si="55"/>
        <v>76</v>
      </c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  <c r="GB53" s="14"/>
      <c r="GC53" s="14"/>
      <c r="GD53" s="14"/>
      <c r="GE53" s="14"/>
      <c r="GF53" s="14"/>
      <c r="GG53" s="14"/>
      <c r="GH53" s="14"/>
      <c r="GI53" s="14"/>
      <c r="GJ53" s="14"/>
      <c r="GK53" s="14"/>
      <c r="GL53" s="14"/>
      <c r="GM53" s="14"/>
      <c r="GN53" s="14"/>
      <c r="GO53" s="14"/>
      <c r="GP53" s="14"/>
      <c r="GQ53" s="14"/>
      <c r="GR53" s="14"/>
      <c r="GS53" s="14"/>
      <c r="GT53" s="14"/>
      <c r="GU53" s="14"/>
      <c r="GV53" s="14"/>
      <c r="GW53" s="14"/>
      <c r="GX53" s="14"/>
      <c r="GY53" s="14"/>
      <c r="GZ53" s="14"/>
      <c r="HA53" s="14"/>
      <c r="HB53" s="14"/>
      <c r="HC53" s="14"/>
      <c r="HD53" s="14"/>
      <c r="HE53" s="14"/>
      <c r="HF53" s="14"/>
      <c r="HG53" s="14"/>
      <c r="HH53" s="14"/>
      <c r="HI53" s="14"/>
      <c r="HJ53" s="14"/>
      <c r="HK53" s="14"/>
      <c r="HL53" s="14"/>
      <c r="HM53" s="14"/>
      <c r="HN53" s="14"/>
    </row>
    <row r="54" spans="1:222" s="21" customFormat="1" ht="129.94999999999999" customHeight="1">
      <c r="A54" s="662">
        <v>20</v>
      </c>
      <c r="B54" s="336" t="str">
        <f t="shared" si="56"/>
        <v>UHC N.KARACHI</v>
      </c>
      <c r="C54" s="704" t="str">
        <f t="shared" si="56"/>
        <v>N.KARACHI</v>
      </c>
      <c r="D54" s="704"/>
      <c r="E54" s="705">
        <f t="shared" si="56"/>
        <v>137000</v>
      </c>
      <c r="F54" s="706">
        <f>(G54*2)+G54*0.25</f>
        <v>56.25</v>
      </c>
      <c r="G54" s="561">
        <v>25</v>
      </c>
      <c r="H54" s="336">
        <v>8</v>
      </c>
      <c r="I54" s="336">
        <v>7</v>
      </c>
      <c r="J54" s="707">
        <f t="shared" si="44"/>
        <v>15</v>
      </c>
      <c r="K54" s="336">
        <v>0</v>
      </c>
      <c r="L54" s="336">
        <v>0</v>
      </c>
      <c r="M54" s="707">
        <f t="shared" si="45"/>
        <v>0</v>
      </c>
      <c r="N54" s="336">
        <v>0</v>
      </c>
      <c r="O54" s="336">
        <v>0</v>
      </c>
      <c r="P54" s="707">
        <f t="shared" si="46"/>
        <v>0</v>
      </c>
      <c r="Q54" s="336">
        <v>0</v>
      </c>
      <c r="R54" s="336">
        <v>0</v>
      </c>
      <c r="S54" s="707">
        <f t="shared" si="33"/>
        <v>0</v>
      </c>
      <c r="T54" s="707"/>
      <c r="U54" s="707"/>
      <c r="V54" s="707">
        <f t="shared" si="34"/>
        <v>15</v>
      </c>
      <c r="W54" s="708">
        <f t="shared" si="47"/>
        <v>0.6</v>
      </c>
      <c r="X54" s="709">
        <f t="shared" si="48"/>
        <v>0.54744525547445255</v>
      </c>
      <c r="Y54" s="710"/>
      <c r="Z54" s="710"/>
      <c r="AA54" s="710"/>
      <c r="AB54" s="336"/>
      <c r="AC54" s="336"/>
      <c r="AD54" s="336"/>
      <c r="AE54" s="336">
        <v>0</v>
      </c>
      <c r="AF54" s="336">
        <v>2</v>
      </c>
      <c r="AG54" s="537">
        <f t="shared" si="49"/>
        <v>2</v>
      </c>
      <c r="AH54" s="710"/>
      <c r="AI54" s="711"/>
      <c r="AJ54" s="711"/>
      <c r="AK54" s="336"/>
      <c r="AL54" s="336">
        <v>0</v>
      </c>
      <c r="AM54" s="336">
        <v>0</v>
      </c>
      <c r="AN54" s="336">
        <v>1</v>
      </c>
      <c r="AO54" s="336">
        <v>0</v>
      </c>
      <c r="AP54" s="537">
        <f t="shared" si="50"/>
        <v>1</v>
      </c>
      <c r="AQ54" s="711">
        <f t="shared" si="51"/>
        <v>9</v>
      </c>
      <c r="AR54" s="711">
        <f t="shared" si="52"/>
        <v>9</v>
      </c>
      <c r="AS54" s="712">
        <v>9</v>
      </c>
      <c r="AT54" s="712">
        <v>9</v>
      </c>
      <c r="AU54" s="713">
        <f t="shared" si="35"/>
        <v>18</v>
      </c>
      <c r="AV54" s="709">
        <f t="shared" si="36"/>
        <v>0.88235294117647056</v>
      </c>
      <c r="AW54" s="709">
        <v>0.88</v>
      </c>
      <c r="AX54" s="709">
        <f t="shared" si="37"/>
        <v>0.32</v>
      </c>
      <c r="AY54" s="709">
        <f t="shared" si="38"/>
        <v>0.29691946059631324</v>
      </c>
      <c r="AZ54" s="709">
        <f t="shared" si="39"/>
        <v>0</v>
      </c>
      <c r="BA54" s="714">
        <f t="shared" si="40"/>
        <v>43.795620437956202</v>
      </c>
      <c r="BB54" s="715">
        <f t="shared" si="41"/>
        <v>52.554744525547441</v>
      </c>
      <c r="BC54" s="716"/>
      <c r="BD54" s="716"/>
      <c r="BE54" s="716"/>
      <c r="BF54" s="716"/>
      <c r="BG54" s="717">
        <v>25</v>
      </c>
      <c r="BH54" s="704">
        <f t="shared" si="57"/>
        <v>0</v>
      </c>
      <c r="BI54" s="704">
        <f t="shared" si="57"/>
        <v>0</v>
      </c>
      <c r="BJ54" s="718"/>
      <c r="BK54" s="718"/>
      <c r="BL54" s="336">
        <v>0</v>
      </c>
      <c r="BM54" s="336">
        <v>1</v>
      </c>
      <c r="BN54" s="336">
        <v>2</v>
      </c>
      <c r="BO54" s="336">
        <v>4</v>
      </c>
      <c r="BP54" s="336">
        <v>0</v>
      </c>
      <c r="BQ54" s="336">
        <v>2</v>
      </c>
      <c r="BR54" s="336">
        <v>2</v>
      </c>
      <c r="BS54" s="336">
        <v>0</v>
      </c>
      <c r="BT54" s="336">
        <v>3</v>
      </c>
      <c r="BU54" s="336">
        <v>0</v>
      </c>
      <c r="BV54" s="336">
        <v>0</v>
      </c>
      <c r="BW54" s="336">
        <v>0</v>
      </c>
      <c r="BX54" s="336">
        <v>1</v>
      </c>
      <c r="BY54" s="336">
        <v>0</v>
      </c>
      <c r="BZ54" s="711">
        <f t="shared" si="53"/>
        <v>8</v>
      </c>
      <c r="CA54" s="711">
        <f t="shared" si="54"/>
        <v>7</v>
      </c>
      <c r="CB54" s="712">
        <f t="shared" si="55"/>
        <v>15</v>
      </c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4"/>
      <c r="HM54" s="14"/>
      <c r="HN54" s="14"/>
    </row>
    <row r="55" spans="1:222" s="21" customFormat="1" ht="129.94999999999999" customHeight="1">
      <c r="A55" s="662">
        <v>21</v>
      </c>
      <c r="B55" s="336" t="s">
        <v>123</v>
      </c>
      <c r="C55" s="336" t="s">
        <v>53</v>
      </c>
      <c r="D55" s="336"/>
      <c r="E55" s="706">
        <v>400000</v>
      </c>
      <c r="F55" s="706">
        <v>154</v>
      </c>
      <c r="G55" s="645">
        <v>65</v>
      </c>
      <c r="H55" s="336">
        <v>12</v>
      </c>
      <c r="I55" s="336">
        <v>17</v>
      </c>
      <c r="J55" s="707">
        <f t="shared" si="44"/>
        <v>29</v>
      </c>
      <c r="K55" s="336">
        <v>2</v>
      </c>
      <c r="L55" s="336">
        <v>1</v>
      </c>
      <c r="M55" s="707">
        <f t="shared" si="45"/>
        <v>3</v>
      </c>
      <c r="N55" s="336">
        <v>0</v>
      </c>
      <c r="O55" s="336">
        <v>0</v>
      </c>
      <c r="P55" s="707">
        <f t="shared" si="46"/>
        <v>0</v>
      </c>
      <c r="Q55" s="336">
        <v>0</v>
      </c>
      <c r="R55" s="336">
        <v>0</v>
      </c>
      <c r="S55" s="707">
        <f t="shared" si="33"/>
        <v>0</v>
      </c>
      <c r="T55" s="707"/>
      <c r="U55" s="707"/>
      <c r="V55" s="707">
        <f t="shared" si="34"/>
        <v>32</v>
      </c>
      <c r="W55" s="708">
        <f t="shared" si="47"/>
        <v>0.44615384615384618</v>
      </c>
      <c r="X55" s="709">
        <f t="shared" si="48"/>
        <v>0.36249999999999999</v>
      </c>
      <c r="Y55" s="710"/>
      <c r="Z55" s="710"/>
      <c r="AA55" s="710"/>
      <c r="AB55" s="336"/>
      <c r="AC55" s="336"/>
      <c r="AD55" s="336"/>
      <c r="AE55" s="336">
        <v>12</v>
      </c>
      <c r="AF55" s="336">
        <v>6</v>
      </c>
      <c r="AG55" s="537">
        <f t="shared" si="49"/>
        <v>18</v>
      </c>
      <c r="AH55" s="710"/>
      <c r="AI55" s="711"/>
      <c r="AJ55" s="711"/>
      <c r="AK55" s="336"/>
      <c r="AL55" s="336"/>
      <c r="AM55" s="336"/>
      <c r="AN55" s="336">
        <v>4</v>
      </c>
      <c r="AO55" s="336">
        <v>4</v>
      </c>
      <c r="AP55" s="537">
        <f t="shared" si="50"/>
        <v>8</v>
      </c>
      <c r="AQ55" s="711">
        <f t="shared" si="51"/>
        <v>30</v>
      </c>
      <c r="AR55" s="711">
        <f t="shared" si="52"/>
        <v>28</v>
      </c>
      <c r="AS55" s="712">
        <v>30</v>
      </c>
      <c r="AT55" s="712">
        <v>28</v>
      </c>
      <c r="AU55" s="713">
        <f t="shared" si="35"/>
        <v>58</v>
      </c>
      <c r="AV55" s="709">
        <f t="shared" si="36"/>
        <v>0.61702127659574468</v>
      </c>
      <c r="AW55" s="709">
        <v>0.62</v>
      </c>
      <c r="AX55" s="709">
        <f t="shared" si="37"/>
        <v>0.37662337662337664</v>
      </c>
      <c r="AY55" s="709">
        <f t="shared" si="38"/>
        <v>0.32768361581920902</v>
      </c>
      <c r="AZ55" s="709">
        <f t="shared" si="39"/>
        <v>5.1724137931034482E-2</v>
      </c>
      <c r="BA55" s="714">
        <f t="shared" si="40"/>
        <v>29</v>
      </c>
      <c r="BB55" s="715">
        <f t="shared" si="41"/>
        <v>58</v>
      </c>
      <c r="BC55" s="716"/>
      <c r="BD55" s="716"/>
      <c r="BE55" s="716"/>
      <c r="BF55" s="716"/>
      <c r="BG55" s="724">
        <v>25</v>
      </c>
      <c r="BH55" s="336" t="s">
        <v>124</v>
      </c>
      <c r="BI55" s="336" t="s">
        <v>53</v>
      </c>
      <c r="BJ55" s="718"/>
      <c r="BK55" s="718"/>
      <c r="BL55" s="336">
        <v>0</v>
      </c>
      <c r="BM55" s="336">
        <v>3</v>
      </c>
      <c r="BN55" s="336">
        <v>4</v>
      </c>
      <c r="BO55" s="336">
        <v>9</v>
      </c>
      <c r="BP55" s="336">
        <v>1</v>
      </c>
      <c r="BQ55" s="336">
        <v>2</v>
      </c>
      <c r="BR55" s="336">
        <v>1</v>
      </c>
      <c r="BS55" s="336">
        <v>0</v>
      </c>
      <c r="BT55" s="336">
        <v>3</v>
      </c>
      <c r="BU55" s="336">
        <v>1</v>
      </c>
      <c r="BV55" s="336">
        <v>2</v>
      </c>
      <c r="BW55" s="336">
        <v>2</v>
      </c>
      <c r="BX55" s="336">
        <v>1</v>
      </c>
      <c r="BY55" s="336">
        <v>0</v>
      </c>
      <c r="BZ55" s="711">
        <f t="shared" si="53"/>
        <v>12</v>
      </c>
      <c r="CA55" s="711">
        <f t="shared" si="54"/>
        <v>17</v>
      </c>
      <c r="CB55" s="712">
        <f t="shared" si="55"/>
        <v>29</v>
      </c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  <c r="HH55" s="14"/>
      <c r="HI55" s="14"/>
      <c r="HJ55" s="14"/>
      <c r="HK55" s="14"/>
      <c r="HL55" s="14"/>
      <c r="HM55" s="14"/>
      <c r="HN55" s="14"/>
    </row>
    <row r="56" spans="1:222" s="33" customFormat="1" ht="129.94999999999999" customHeight="1" thickBot="1">
      <c r="A56" s="681" t="s">
        <v>32</v>
      </c>
      <c r="B56" s="511" t="s">
        <v>155</v>
      </c>
      <c r="C56" s="568" t="s">
        <v>46</v>
      </c>
      <c r="D56" s="568"/>
      <c r="E56" s="700">
        <f>SUM(E35:E54)</f>
        <v>5140500</v>
      </c>
      <c r="F56" s="725">
        <f t="shared" ref="F56:S56" si="58">SUM(F35:F55)</f>
        <v>1554</v>
      </c>
      <c r="G56" s="700">
        <f t="shared" si="58"/>
        <v>685</v>
      </c>
      <c r="H56" s="701">
        <f t="shared" si="58"/>
        <v>135</v>
      </c>
      <c r="I56" s="701">
        <f t="shared" si="58"/>
        <v>165</v>
      </c>
      <c r="J56" s="701">
        <f t="shared" si="58"/>
        <v>300</v>
      </c>
      <c r="K56" s="701">
        <f t="shared" si="58"/>
        <v>9</v>
      </c>
      <c r="L56" s="701">
        <f t="shared" si="58"/>
        <v>12</v>
      </c>
      <c r="M56" s="701">
        <f t="shared" si="58"/>
        <v>21</v>
      </c>
      <c r="N56" s="701">
        <f t="shared" si="58"/>
        <v>1</v>
      </c>
      <c r="O56" s="701">
        <f t="shared" si="58"/>
        <v>1</v>
      </c>
      <c r="P56" s="701">
        <f t="shared" si="58"/>
        <v>2</v>
      </c>
      <c r="Q56" s="701">
        <f t="shared" si="58"/>
        <v>3</v>
      </c>
      <c r="R56" s="701">
        <f t="shared" si="58"/>
        <v>3</v>
      </c>
      <c r="S56" s="701">
        <f t="shared" si="58"/>
        <v>6</v>
      </c>
      <c r="T56" s="701"/>
      <c r="U56" s="701"/>
      <c r="V56" s="701">
        <f t="shared" si="34"/>
        <v>329</v>
      </c>
      <c r="W56" s="726">
        <f t="shared" si="47"/>
        <v>0.43795620437956206</v>
      </c>
      <c r="X56" s="535">
        <f>J56*4/(E56*0.0008)</f>
        <v>0.29180040852057187</v>
      </c>
      <c r="Y56" s="701"/>
      <c r="Z56" s="701"/>
      <c r="AA56" s="701"/>
      <c r="AB56" s="701"/>
      <c r="AC56" s="701"/>
      <c r="AD56" s="701"/>
      <c r="AE56" s="701">
        <f>SUM(AE35:AE55)</f>
        <v>83</v>
      </c>
      <c r="AF56" s="701">
        <f>SUM(AF35:AF55)</f>
        <v>114</v>
      </c>
      <c r="AG56" s="537">
        <f t="shared" si="49"/>
        <v>197</v>
      </c>
      <c r="AH56" s="701"/>
      <c r="AI56" s="701"/>
      <c r="AJ56" s="701"/>
      <c r="AK56" s="701"/>
      <c r="AL56" s="701"/>
      <c r="AM56" s="701"/>
      <c r="AN56" s="701">
        <f>SUM(AN35:AN55)</f>
        <v>53</v>
      </c>
      <c r="AO56" s="701">
        <f>SUM(AO35:AO55)</f>
        <v>118</v>
      </c>
      <c r="AP56" s="537">
        <f t="shared" si="50"/>
        <v>171</v>
      </c>
      <c r="AQ56" s="711">
        <f t="shared" si="51"/>
        <v>284</v>
      </c>
      <c r="AR56" s="711">
        <f t="shared" si="52"/>
        <v>413</v>
      </c>
      <c r="AS56" s="712">
        <v>284</v>
      </c>
      <c r="AT56" s="712">
        <v>413</v>
      </c>
      <c r="AU56" s="713">
        <f t="shared" si="35"/>
        <v>697</v>
      </c>
      <c r="AV56" s="709">
        <f t="shared" si="36"/>
        <v>0.60362173038229372</v>
      </c>
      <c r="AW56" s="709">
        <v>0.6</v>
      </c>
      <c r="AX56" s="709">
        <f t="shared" si="37"/>
        <v>0.44851994851994853</v>
      </c>
      <c r="AY56" s="709">
        <f t="shared" si="38"/>
        <v>0.30641790544457792</v>
      </c>
      <c r="AZ56" s="709">
        <f t="shared" si="39"/>
        <v>4.1606886657101862E-2</v>
      </c>
      <c r="BA56" s="714">
        <f t="shared" si="40"/>
        <v>23.344032681645754</v>
      </c>
      <c r="BB56" s="715">
        <f t="shared" si="41"/>
        <v>54.235969263690301</v>
      </c>
      <c r="BC56" s="727"/>
      <c r="BD56" s="727"/>
      <c r="BE56" s="727"/>
      <c r="BF56" s="727"/>
      <c r="BG56" s="911" t="s">
        <v>45</v>
      </c>
      <c r="BH56" s="911"/>
      <c r="BI56" s="702">
        <f>BI176</f>
        <v>0</v>
      </c>
      <c r="BJ56" s="703"/>
      <c r="BK56" s="703"/>
      <c r="BL56" s="701">
        <f t="shared" ref="BL56:BY56" si="59">SUM(BL35:BL55)</f>
        <v>5</v>
      </c>
      <c r="BM56" s="701">
        <f t="shared" si="59"/>
        <v>17</v>
      </c>
      <c r="BN56" s="701">
        <f t="shared" si="59"/>
        <v>44</v>
      </c>
      <c r="BO56" s="701">
        <f t="shared" si="59"/>
        <v>72</v>
      </c>
      <c r="BP56" s="701">
        <f t="shared" si="59"/>
        <v>25</v>
      </c>
      <c r="BQ56" s="701">
        <f t="shared" si="59"/>
        <v>34</v>
      </c>
      <c r="BR56" s="701">
        <f t="shared" si="59"/>
        <v>22</v>
      </c>
      <c r="BS56" s="701">
        <f t="shared" si="59"/>
        <v>17</v>
      </c>
      <c r="BT56" s="701">
        <f t="shared" si="59"/>
        <v>20</v>
      </c>
      <c r="BU56" s="701">
        <f t="shared" si="59"/>
        <v>14</v>
      </c>
      <c r="BV56" s="701">
        <f t="shared" si="59"/>
        <v>17</v>
      </c>
      <c r="BW56" s="701">
        <f t="shared" si="59"/>
        <v>8</v>
      </c>
      <c r="BX56" s="701">
        <f t="shared" si="59"/>
        <v>2</v>
      </c>
      <c r="BY56" s="701">
        <f t="shared" si="59"/>
        <v>3</v>
      </c>
      <c r="BZ56" s="701">
        <f>SUM(BZ35:BZ55)</f>
        <v>135</v>
      </c>
      <c r="CA56" s="701">
        <f>SUM(CA35:CA55)</f>
        <v>165</v>
      </c>
      <c r="CB56" s="701">
        <f>SUM(CB35:CB55)</f>
        <v>300</v>
      </c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</row>
    <row r="57" spans="1:222" ht="30" customHeight="1">
      <c r="A57" s="3"/>
      <c r="B57" s="11"/>
      <c r="C57" s="11"/>
      <c r="D57" s="11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4"/>
      <c r="Y57" s="4"/>
      <c r="Z57" s="4"/>
      <c r="AA57" s="4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4"/>
      <c r="AZ57" s="4"/>
      <c r="BA57" s="4"/>
      <c r="BB57" s="4"/>
      <c r="BC57" s="4"/>
      <c r="BD57" s="4"/>
      <c r="BE57" s="4"/>
      <c r="BF57" s="4"/>
      <c r="BG57" s="3"/>
      <c r="BH57" s="3"/>
      <c r="BI57" s="3"/>
      <c r="BJ57" s="258"/>
      <c r="BK57" s="258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</row>
    <row r="58" spans="1:222" ht="30" customHeight="1"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J58" s="259"/>
      <c r="BK58" s="259"/>
      <c r="CC58" s="9"/>
    </row>
    <row r="59" spans="1:222" ht="30" customHeight="1">
      <c r="A59" s="951" t="s">
        <v>40</v>
      </c>
      <c r="B59" s="952"/>
      <c r="C59" s="36"/>
      <c r="D59" s="36"/>
      <c r="E59" s="8"/>
      <c r="F59" s="8"/>
      <c r="G59" s="8"/>
      <c r="BG59" s="920" t="s">
        <v>41</v>
      </c>
      <c r="BH59" s="921"/>
      <c r="BI59" s="36"/>
      <c r="BJ59" s="259"/>
      <c r="BK59" s="259"/>
    </row>
    <row r="60" spans="1:222" ht="69.95" customHeight="1">
      <c r="A60" s="949" t="s">
        <v>26</v>
      </c>
      <c r="B60" s="950"/>
      <c r="C60" s="352"/>
      <c r="D60" s="352"/>
      <c r="E60" s="353"/>
      <c r="F60" s="353"/>
      <c r="G60" s="353"/>
      <c r="H60" s="891" t="s">
        <v>34</v>
      </c>
      <c r="I60" s="891"/>
      <c r="J60" s="891"/>
      <c r="K60" s="891"/>
      <c r="L60" s="891"/>
      <c r="M60" s="891"/>
      <c r="N60" s="891"/>
      <c r="O60" s="891"/>
      <c r="P60" s="891"/>
      <c r="Q60" s="891"/>
      <c r="R60" s="891"/>
      <c r="S60" s="891"/>
      <c r="T60" s="354"/>
      <c r="U60" s="354"/>
      <c r="V60" s="354"/>
      <c r="W60" s="354"/>
      <c r="X60" s="355"/>
      <c r="Y60" s="891" t="s">
        <v>28</v>
      </c>
      <c r="Z60" s="891"/>
      <c r="AA60" s="891"/>
      <c r="AB60" s="891"/>
      <c r="AC60" s="891"/>
      <c r="AD60" s="891"/>
      <c r="AE60" s="891"/>
      <c r="AF60" s="891"/>
      <c r="AG60" s="891"/>
      <c r="AH60" s="891" t="s">
        <v>35</v>
      </c>
      <c r="AI60" s="891"/>
      <c r="AJ60" s="891"/>
      <c r="AK60" s="891"/>
      <c r="AL60" s="891"/>
      <c r="AM60" s="891"/>
      <c r="AN60" s="891"/>
      <c r="AO60" s="891"/>
      <c r="AP60" s="891"/>
      <c r="AQ60" s="356"/>
      <c r="AR60" s="357"/>
      <c r="AS60" s="357"/>
      <c r="AT60" s="357"/>
      <c r="AU60" s="357"/>
      <c r="AV60" s="357"/>
      <c r="AW60" s="357"/>
      <c r="AX60" s="357"/>
      <c r="AY60" s="357"/>
      <c r="AZ60" s="357"/>
      <c r="BA60" s="357"/>
      <c r="BB60" s="358"/>
      <c r="BC60" s="358"/>
      <c r="BD60" s="358"/>
      <c r="BE60" s="358"/>
      <c r="BF60" s="358"/>
      <c r="BG60" s="906" t="s">
        <v>26</v>
      </c>
      <c r="BH60" s="906"/>
      <c r="BI60" s="352"/>
      <c r="BJ60" s="359"/>
      <c r="BK60" s="359"/>
      <c r="BL60" s="360"/>
      <c r="BM60" s="360"/>
      <c r="BN60" s="360"/>
      <c r="BO60" s="360"/>
      <c r="BP60" s="360"/>
      <c r="BQ60" s="360"/>
      <c r="BR60" s="360"/>
      <c r="BS60" s="360"/>
      <c r="BT60" s="360"/>
      <c r="BU60" s="360"/>
      <c r="BV60" s="360"/>
      <c r="BW60" s="360"/>
      <c r="BX60" s="360"/>
      <c r="BY60" s="360"/>
      <c r="BZ60" s="360"/>
      <c r="CA60" s="360"/>
      <c r="CB60" s="360"/>
    </row>
    <row r="61" spans="1:222" ht="69.95" customHeight="1">
      <c r="A61" s="944" t="s">
        <v>2</v>
      </c>
      <c r="B61" s="945"/>
      <c r="C61" s="361"/>
      <c r="D61" s="361"/>
      <c r="E61" s="362"/>
      <c r="F61" s="362"/>
      <c r="G61" s="362"/>
      <c r="H61" s="891" t="s">
        <v>10</v>
      </c>
      <c r="I61" s="891"/>
      <c r="J61" s="891"/>
      <c r="K61" s="894" t="s">
        <v>29</v>
      </c>
      <c r="L61" s="894"/>
      <c r="M61" s="894"/>
      <c r="N61" s="894"/>
      <c r="O61" s="894"/>
      <c r="P61" s="894"/>
      <c r="Q61" s="894"/>
      <c r="R61" s="894"/>
      <c r="S61" s="894"/>
      <c r="T61" s="345"/>
      <c r="U61" s="345"/>
      <c r="V61" s="345"/>
      <c r="W61" s="345"/>
      <c r="X61" s="363"/>
      <c r="Y61" s="891" t="s">
        <v>12</v>
      </c>
      <c r="Z61" s="891"/>
      <c r="AA61" s="891"/>
      <c r="AB61" s="891"/>
      <c r="AC61" s="891"/>
      <c r="AD61" s="891"/>
      <c r="AE61" s="891"/>
      <c r="AF61" s="891"/>
      <c r="AG61" s="891"/>
      <c r="AH61" s="891"/>
      <c r="AI61" s="891"/>
      <c r="AJ61" s="891"/>
      <c r="AK61" s="891"/>
      <c r="AL61" s="891"/>
      <c r="AM61" s="891"/>
      <c r="AN61" s="891"/>
      <c r="AO61" s="891"/>
      <c r="AP61" s="891"/>
      <c r="AQ61" s="364"/>
      <c r="AR61" s="365"/>
      <c r="AS61" s="365"/>
      <c r="AT61" s="365"/>
      <c r="AU61" s="365"/>
      <c r="AV61" s="366"/>
      <c r="AW61" s="366"/>
      <c r="AX61" s="366"/>
      <c r="AY61" s="366"/>
      <c r="AZ61" s="366"/>
      <c r="BA61" s="366"/>
      <c r="BB61" s="367"/>
      <c r="BC61" s="367"/>
      <c r="BD61" s="367"/>
      <c r="BE61" s="367"/>
      <c r="BF61" s="367"/>
      <c r="BG61" s="894" t="s">
        <v>3</v>
      </c>
      <c r="BH61" s="894"/>
      <c r="BI61" s="361"/>
      <c r="BJ61" s="359"/>
      <c r="BK61" s="359"/>
      <c r="BL61" s="360"/>
      <c r="BM61" s="360"/>
      <c r="BN61" s="360"/>
      <c r="BO61" s="360"/>
      <c r="BP61" s="360"/>
      <c r="BQ61" s="360"/>
      <c r="BR61" s="360"/>
      <c r="BS61" s="360"/>
      <c r="BT61" s="360"/>
      <c r="BU61" s="360"/>
      <c r="BV61" s="360"/>
      <c r="BW61" s="360"/>
      <c r="BX61" s="360"/>
      <c r="BY61" s="360"/>
      <c r="BZ61" s="360"/>
      <c r="CA61" s="360"/>
      <c r="CB61" s="360"/>
    </row>
    <row r="62" spans="1:222" ht="69.95" customHeight="1">
      <c r="A62" s="894" t="s">
        <v>0</v>
      </c>
      <c r="B62" s="896" t="s">
        <v>42</v>
      </c>
      <c r="C62" s="896" t="s">
        <v>43</v>
      </c>
      <c r="D62" s="349"/>
      <c r="E62" s="894" t="s">
        <v>44</v>
      </c>
      <c r="F62" s="957" t="s">
        <v>136</v>
      </c>
      <c r="G62" s="957" t="s">
        <v>129</v>
      </c>
      <c r="H62" s="891"/>
      <c r="I62" s="891"/>
      <c r="J62" s="891"/>
      <c r="K62" s="891" t="s">
        <v>11</v>
      </c>
      <c r="L62" s="891"/>
      <c r="M62" s="891"/>
      <c r="N62" s="891" t="s">
        <v>38</v>
      </c>
      <c r="O62" s="891"/>
      <c r="P62" s="891"/>
      <c r="Q62" s="891" t="s">
        <v>39</v>
      </c>
      <c r="R62" s="891"/>
      <c r="S62" s="891"/>
      <c r="T62" s="946" t="s">
        <v>47</v>
      </c>
      <c r="U62" s="947"/>
      <c r="V62" s="948"/>
      <c r="W62" s="891" t="s">
        <v>151</v>
      </c>
      <c r="X62" s="891" t="s">
        <v>13</v>
      </c>
      <c r="Y62" s="894" t="s">
        <v>30</v>
      </c>
      <c r="Z62" s="894"/>
      <c r="AA62" s="894" t="s">
        <v>23</v>
      </c>
      <c r="AB62" s="894"/>
      <c r="AC62" s="894" t="s">
        <v>31</v>
      </c>
      <c r="AD62" s="894"/>
      <c r="AE62" s="892" t="s">
        <v>1</v>
      </c>
      <c r="AF62" s="893"/>
      <c r="AG62" s="894" t="s">
        <v>32</v>
      </c>
      <c r="AH62" s="894" t="s">
        <v>30</v>
      </c>
      <c r="AI62" s="894"/>
      <c r="AJ62" s="894" t="s">
        <v>23</v>
      </c>
      <c r="AK62" s="894"/>
      <c r="AL62" s="894" t="s">
        <v>31</v>
      </c>
      <c r="AM62" s="894"/>
      <c r="AN62" s="892" t="s">
        <v>1</v>
      </c>
      <c r="AO62" s="893"/>
      <c r="AP62" s="894" t="s">
        <v>32</v>
      </c>
      <c r="AQ62" s="891" t="s">
        <v>33</v>
      </c>
      <c r="AR62" s="891"/>
      <c r="AS62" s="891"/>
      <c r="AT62" s="891"/>
      <c r="AU62" s="891"/>
      <c r="AV62" s="902" t="s">
        <v>22</v>
      </c>
      <c r="AW62" s="369"/>
      <c r="AX62" s="914" t="s">
        <v>161</v>
      </c>
      <c r="AY62" s="891" t="s">
        <v>14</v>
      </c>
      <c r="AZ62" s="891" t="s">
        <v>18</v>
      </c>
      <c r="BA62" s="891" t="s">
        <v>19</v>
      </c>
      <c r="BB62" s="891" t="s">
        <v>20</v>
      </c>
      <c r="BC62" s="368"/>
      <c r="BD62" s="368"/>
      <c r="BE62" s="368"/>
      <c r="BF62" s="368"/>
      <c r="BG62" s="901" t="s">
        <v>0</v>
      </c>
      <c r="BH62" s="896" t="s">
        <v>42</v>
      </c>
      <c r="BI62" s="896" t="s">
        <v>43</v>
      </c>
      <c r="BJ62" s="909" t="s">
        <v>36</v>
      </c>
      <c r="BK62" s="909"/>
      <c r="BL62" s="910" t="s">
        <v>141</v>
      </c>
      <c r="BM62" s="910"/>
      <c r="BN62" s="894" t="s">
        <v>4</v>
      </c>
      <c r="BO62" s="894"/>
      <c r="BP62" s="894" t="s">
        <v>5</v>
      </c>
      <c r="BQ62" s="894"/>
      <c r="BR62" s="894" t="s">
        <v>6</v>
      </c>
      <c r="BS62" s="894"/>
      <c r="BT62" s="894" t="s">
        <v>7</v>
      </c>
      <c r="BU62" s="894"/>
      <c r="BV62" s="894" t="s">
        <v>8</v>
      </c>
      <c r="BW62" s="894"/>
      <c r="BX62" s="894" t="s">
        <v>9</v>
      </c>
      <c r="BY62" s="894"/>
      <c r="BZ62" s="894" t="s">
        <v>21</v>
      </c>
      <c r="CA62" s="894"/>
      <c r="CB62" s="894"/>
    </row>
    <row r="63" spans="1:222" ht="69.95" customHeight="1">
      <c r="A63" s="894"/>
      <c r="B63" s="897"/>
      <c r="C63" s="897"/>
      <c r="D63" s="350"/>
      <c r="E63" s="894"/>
      <c r="F63" s="958"/>
      <c r="G63" s="958"/>
      <c r="H63" s="346" t="s">
        <v>16</v>
      </c>
      <c r="I63" s="346" t="s">
        <v>17</v>
      </c>
      <c r="J63" s="346" t="s">
        <v>32</v>
      </c>
      <c r="K63" s="346" t="s">
        <v>16</v>
      </c>
      <c r="L63" s="346" t="s">
        <v>17</v>
      </c>
      <c r="M63" s="346" t="s">
        <v>32</v>
      </c>
      <c r="N63" s="346" t="s">
        <v>16</v>
      </c>
      <c r="O63" s="346" t="s">
        <v>17</v>
      </c>
      <c r="P63" s="346" t="s">
        <v>32</v>
      </c>
      <c r="Q63" s="346" t="s">
        <v>16</v>
      </c>
      <c r="R63" s="346" t="s">
        <v>17</v>
      </c>
      <c r="S63" s="346" t="s">
        <v>32</v>
      </c>
      <c r="T63" s="346" t="s">
        <v>16</v>
      </c>
      <c r="U63" s="346" t="s">
        <v>17</v>
      </c>
      <c r="V63" s="346" t="s">
        <v>32</v>
      </c>
      <c r="W63" s="891"/>
      <c r="X63" s="891"/>
      <c r="Y63" s="346" t="s">
        <v>16</v>
      </c>
      <c r="Z63" s="346" t="s">
        <v>17</v>
      </c>
      <c r="AA63" s="346" t="s">
        <v>16</v>
      </c>
      <c r="AB63" s="346" t="s">
        <v>17</v>
      </c>
      <c r="AC63" s="346" t="s">
        <v>16</v>
      </c>
      <c r="AD63" s="346" t="s">
        <v>17</v>
      </c>
      <c r="AE63" s="346" t="s">
        <v>16</v>
      </c>
      <c r="AF63" s="346" t="s">
        <v>17</v>
      </c>
      <c r="AG63" s="894"/>
      <c r="AH63" s="346" t="s">
        <v>16</v>
      </c>
      <c r="AI63" s="346" t="s">
        <v>17</v>
      </c>
      <c r="AJ63" s="346" t="s">
        <v>16</v>
      </c>
      <c r="AK63" s="346" t="s">
        <v>17</v>
      </c>
      <c r="AL63" s="346" t="s">
        <v>16</v>
      </c>
      <c r="AM63" s="346" t="s">
        <v>17</v>
      </c>
      <c r="AN63" s="346" t="s">
        <v>16</v>
      </c>
      <c r="AO63" s="346" t="s">
        <v>17</v>
      </c>
      <c r="AP63" s="894"/>
      <c r="AQ63" s="346" t="s">
        <v>16</v>
      </c>
      <c r="AR63" s="346" t="s">
        <v>17</v>
      </c>
      <c r="AS63" s="346"/>
      <c r="AT63" s="346"/>
      <c r="AU63" s="346" t="s">
        <v>32</v>
      </c>
      <c r="AV63" s="902"/>
      <c r="AW63" s="370"/>
      <c r="AX63" s="915"/>
      <c r="AY63" s="891"/>
      <c r="AZ63" s="891"/>
      <c r="BA63" s="891"/>
      <c r="BB63" s="891"/>
      <c r="BC63" s="368"/>
      <c r="BD63" s="368"/>
      <c r="BE63" s="368"/>
      <c r="BF63" s="368"/>
      <c r="BG63" s="901"/>
      <c r="BH63" s="897"/>
      <c r="BI63" s="897"/>
      <c r="BJ63" s="371" t="s">
        <v>16</v>
      </c>
      <c r="BK63" s="371" t="s">
        <v>17</v>
      </c>
      <c r="BL63" s="346" t="s">
        <v>16</v>
      </c>
      <c r="BM63" s="346" t="s">
        <v>17</v>
      </c>
      <c r="BN63" s="346" t="s">
        <v>16</v>
      </c>
      <c r="BO63" s="346" t="s">
        <v>17</v>
      </c>
      <c r="BP63" s="346" t="s">
        <v>16</v>
      </c>
      <c r="BQ63" s="346" t="s">
        <v>17</v>
      </c>
      <c r="BR63" s="346" t="s">
        <v>16</v>
      </c>
      <c r="BS63" s="346" t="s">
        <v>17</v>
      </c>
      <c r="BT63" s="346" t="s">
        <v>16</v>
      </c>
      <c r="BU63" s="346" t="s">
        <v>17</v>
      </c>
      <c r="BV63" s="346" t="s">
        <v>16</v>
      </c>
      <c r="BW63" s="346" t="s">
        <v>17</v>
      </c>
      <c r="BX63" s="346" t="s">
        <v>16</v>
      </c>
      <c r="BY63" s="346" t="s">
        <v>17</v>
      </c>
      <c r="BZ63" s="346" t="s">
        <v>16</v>
      </c>
      <c r="CA63" s="346" t="s">
        <v>17</v>
      </c>
      <c r="CB63" s="351" t="s">
        <v>32</v>
      </c>
    </row>
    <row r="64" spans="1:222" s="19" customFormat="1" ht="69.95" customHeight="1">
      <c r="A64" s="372">
        <f>'TB07-CDGK'!A6</f>
        <v>1</v>
      </c>
      <c r="B64" s="373" t="str">
        <f>B6</f>
        <v xml:space="preserve">CDG-UHC BALDIA </v>
      </c>
      <c r="C64" s="373" t="str">
        <f>C6</f>
        <v>BALDIA</v>
      </c>
      <c r="D64" s="373"/>
      <c r="E64" s="374">
        <f>E6</f>
        <v>250000</v>
      </c>
      <c r="F64" s="375">
        <f>(G64*2)+G64*0.25</f>
        <v>56.25</v>
      </c>
      <c r="G64" s="376">
        <v>25</v>
      </c>
      <c r="H64" s="377">
        <v>3</v>
      </c>
      <c r="I64" s="377">
        <v>0</v>
      </c>
      <c r="J64" s="378">
        <f>SUM(H64:I64)</f>
        <v>3</v>
      </c>
      <c r="K64" s="377">
        <v>1</v>
      </c>
      <c r="L64" s="377">
        <v>0</v>
      </c>
      <c r="M64" s="378">
        <f>SUM(K64:L64)</f>
        <v>1</v>
      </c>
      <c r="N64" s="377">
        <v>0</v>
      </c>
      <c r="O64" s="377">
        <v>0</v>
      </c>
      <c r="P64" s="378">
        <f>SUM(N64:O64)</f>
        <v>0</v>
      </c>
      <c r="Q64" s="377">
        <v>0</v>
      </c>
      <c r="R64" s="377">
        <v>0</v>
      </c>
      <c r="S64" s="378">
        <f t="shared" ref="S64:S84" si="60">SUM(Q64:R64)</f>
        <v>0</v>
      </c>
      <c r="T64" s="378"/>
      <c r="U64" s="378"/>
      <c r="V64" s="378">
        <f t="shared" ref="V64:V85" si="61">SUM(T64:U64)</f>
        <v>0</v>
      </c>
      <c r="W64" s="379">
        <f>J64/G64</f>
        <v>0.12</v>
      </c>
      <c r="X64" s="380">
        <f>J64*4/(E64*0.0008)</f>
        <v>0.06</v>
      </c>
      <c r="Y64" s="381"/>
      <c r="Z64" s="381"/>
      <c r="AA64" s="381"/>
      <c r="AB64" s="377"/>
      <c r="AC64" s="377"/>
      <c r="AD64" s="377"/>
      <c r="AE64" s="377">
        <v>3</v>
      </c>
      <c r="AF64" s="377">
        <v>2</v>
      </c>
      <c r="AG64" s="382">
        <f>AE64+AF64</f>
        <v>5</v>
      </c>
      <c r="AH64" s="381"/>
      <c r="AI64" s="383"/>
      <c r="AJ64" s="383"/>
      <c r="AK64" s="377"/>
      <c r="AL64" s="377"/>
      <c r="AM64" s="377"/>
      <c r="AN64" s="377">
        <v>0</v>
      </c>
      <c r="AO64" s="377">
        <v>1</v>
      </c>
      <c r="AP64" s="382">
        <f>AN64+AO64</f>
        <v>1</v>
      </c>
      <c r="AQ64" s="383">
        <f>AN64+AE64+T64+Q64+N64+K64+H64</f>
        <v>7</v>
      </c>
      <c r="AR64" s="383">
        <f>AO64+AF64+U64+R64+O64+L64+I64</f>
        <v>3</v>
      </c>
      <c r="AS64" s="384">
        <v>7</v>
      </c>
      <c r="AT64" s="384">
        <v>3</v>
      </c>
      <c r="AU64" s="385">
        <f t="shared" ref="AU64:AU84" si="62">AQ64+AR64</f>
        <v>10</v>
      </c>
      <c r="AV64" s="380">
        <f>J64/(J64+AG64)</f>
        <v>0.375</v>
      </c>
      <c r="AW64" s="380">
        <v>0.38</v>
      </c>
      <c r="AX64" s="380"/>
      <c r="AY64" s="380">
        <f t="shared" ref="AY64:AY85" si="63">AU64*4/(E64*0.00177)</f>
        <v>9.03954802259887E-2</v>
      </c>
      <c r="AZ64" s="380">
        <f t="shared" ref="AZ64:AZ85" si="64">(M64+P64+S64)/AU64</f>
        <v>0.1</v>
      </c>
      <c r="BA64" s="386">
        <f>J64*4/E64*100000</f>
        <v>4.8</v>
      </c>
      <c r="BB64" s="387">
        <f t="shared" ref="BB64:BB85" si="65">AU64*4/E64*100000</f>
        <v>16</v>
      </c>
      <c r="BC64" s="388">
        <v>1</v>
      </c>
      <c r="BD64" s="388">
        <f>M64+P64+S64</f>
        <v>1</v>
      </c>
      <c r="BE64" s="388"/>
      <c r="BF64" s="388"/>
      <c r="BG64" s="389">
        <v>1</v>
      </c>
      <c r="BH64" s="373">
        <f>BH121</f>
        <v>0</v>
      </c>
      <c r="BI64" s="373">
        <f>BI121</f>
        <v>0</v>
      </c>
      <c r="BJ64" s="390"/>
      <c r="BK64" s="390"/>
      <c r="BL64" s="377">
        <v>0</v>
      </c>
      <c r="BM64" s="377">
        <v>0</v>
      </c>
      <c r="BN64" s="377">
        <v>1</v>
      </c>
      <c r="BO64" s="377">
        <v>0</v>
      </c>
      <c r="BP64" s="377">
        <v>0</v>
      </c>
      <c r="BQ64" s="377">
        <v>0</v>
      </c>
      <c r="BR64" s="377">
        <v>0</v>
      </c>
      <c r="BS64" s="377">
        <v>0</v>
      </c>
      <c r="BT64" s="377">
        <v>0</v>
      </c>
      <c r="BU64" s="377">
        <v>0</v>
      </c>
      <c r="BV64" s="377">
        <v>2</v>
      </c>
      <c r="BW64" s="377">
        <v>0</v>
      </c>
      <c r="BX64" s="377">
        <v>0</v>
      </c>
      <c r="BY64" s="377">
        <v>0</v>
      </c>
      <c r="BZ64" s="383">
        <f>BX64+BV64+BT64+BR64+BP64+BN64+BL64+BJ64</f>
        <v>3</v>
      </c>
      <c r="CA64" s="383">
        <f>BY64+BW64+BU64+BS64+BQ64+BO64+BM64+BK64</f>
        <v>0</v>
      </c>
      <c r="CB64" s="384">
        <f>CA64+BZ64</f>
        <v>3</v>
      </c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</row>
    <row r="65" spans="1:222" s="19" customFormat="1" ht="69.95" customHeight="1">
      <c r="A65" s="391">
        <f>'TB07-CDGK'!A7</f>
        <v>2</v>
      </c>
      <c r="B65" s="401" t="str">
        <f t="shared" ref="B65:C67" si="66">B8</f>
        <v>CDG- LEPROSY HOSPITAL</v>
      </c>
      <c r="C65" s="401" t="str">
        <f t="shared" si="66"/>
        <v>GADAP</v>
      </c>
      <c r="D65" s="401"/>
      <c r="E65" s="402">
        <f>E8</f>
        <v>100000</v>
      </c>
      <c r="F65" s="375">
        <f t="shared" ref="F65:F80" si="67">(G65*2)+G65*0.25</f>
        <v>67.5</v>
      </c>
      <c r="G65" s="400">
        <v>30</v>
      </c>
      <c r="H65" s="377">
        <v>4</v>
      </c>
      <c r="I65" s="377">
        <v>6</v>
      </c>
      <c r="J65" s="378">
        <f t="shared" ref="J65:J84" si="68">SUM(H65:I65)</f>
        <v>10</v>
      </c>
      <c r="K65" s="377">
        <v>0</v>
      </c>
      <c r="L65" s="377">
        <v>1</v>
      </c>
      <c r="M65" s="378">
        <f t="shared" ref="M65:M84" si="69">SUM(K65:L65)</f>
        <v>1</v>
      </c>
      <c r="N65" s="377">
        <v>0</v>
      </c>
      <c r="O65" s="377">
        <v>0</v>
      </c>
      <c r="P65" s="378">
        <f t="shared" ref="P65:P84" si="70">SUM(N65:O65)</f>
        <v>0</v>
      </c>
      <c r="Q65" s="377">
        <v>0</v>
      </c>
      <c r="R65" s="377">
        <v>0</v>
      </c>
      <c r="S65" s="378">
        <f t="shared" si="60"/>
        <v>0</v>
      </c>
      <c r="T65" s="378"/>
      <c r="U65" s="378"/>
      <c r="V65" s="378">
        <f t="shared" si="61"/>
        <v>0</v>
      </c>
      <c r="W65" s="379">
        <f t="shared" ref="W65:W85" si="71">J65/G65</f>
        <v>0.33333333333333331</v>
      </c>
      <c r="X65" s="380">
        <f t="shared" ref="X65:X84" si="72">J65*4/(E65*0.0008)</f>
        <v>0.5</v>
      </c>
      <c r="Y65" s="381"/>
      <c r="Z65" s="381"/>
      <c r="AA65" s="381"/>
      <c r="AB65" s="377"/>
      <c r="AC65" s="377"/>
      <c r="AD65" s="377"/>
      <c r="AE65" s="377">
        <v>1</v>
      </c>
      <c r="AF65" s="377">
        <v>4</v>
      </c>
      <c r="AG65" s="382">
        <f t="shared" ref="AG65:AG85" si="73">AE65+AF65</f>
        <v>5</v>
      </c>
      <c r="AH65" s="381"/>
      <c r="AI65" s="383"/>
      <c r="AJ65" s="383"/>
      <c r="AK65" s="377"/>
      <c r="AL65" s="377"/>
      <c r="AM65" s="377"/>
      <c r="AN65" s="377">
        <v>0</v>
      </c>
      <c r="AO65" s="377">
        <v>2</v>
      </c>
      <c r="AP65" s="382">
        <f t="shared" ref="AP65:AP85" si="74">AN65+AO65</f>
        <v>2</v>
      </c>
      <c r="AQ65" s="383">
        <f t="shared" ref="AQ65:AQ84" si="75">AN65+AE65+T65+Q65+N65+K65+H65</f>
        <v>5</v>
      </c>
      <c r="AR65" s="383">
        <f t="shared" ref="AR65:AR84" si="76">AO65+AF65+U65+R65+O65+L65+I65</f>
        <v>13</v>
      </c>
      <c r="AS65" s="384">
        <v>5</v>
      </c>
      <c r="AT65" s="384">
        <v>13</v>
      </c>
      <c r="AU65" s="385">
        <f t="shared" si="62"/>
        <v>18</v>
      </c>
      <c r="AV65" s="380">
        <f t="shared" ref="AV65:AV85" si="77">J65/(J65+AG65)</f>
        <v>0.66666666666666663</v>
      </c>
      <c r="AW65" s="380">
        <v>0.67</v>
      </c>
      <c r="AX65" s="380"/>
      <c r="AY65" s="380">
        <f t="shared" si="63"/>
        <v>0.40677966101694918</v>
      </c>
      <c r="AZ65" s="380">
        <f t="shared" si="64"/>
        <v>5.5555555555555552E-2</v>
      </c>
      <c r="BA65" s="386">
        <f t="shared" ref="BA65:BA85" si="78">J65*4/E65*100000</f>
        <v>40</v>
      </c>
      <c r="BB65" s="387">
        <f t="shared" si="65"/>
        <v>72</v>
      </c>
      <c r="BC65" s="403">
        <v>1</v>
      </c>
      <c r="BD65" s="388">
        <f t="shared" ref="BD65:BD84" si="79">M65+P65+S65</f>
        <v>1</v>
      </c>
      <c r="BE65" s="388"/>
      <c r="BF65" s="388"/>
      <c r="BG65" s="398">
        <v>4</v>
      </c>
      <c r="BH65" s="401">
        <f t="shared" ref="BH65:BI77" si="80">BH123</f>
        <v>0</v>
      </c>
      <c r="BI65" s="401">
        <f t="shared" si="80"/>
        <v>0</v>
      </c>
      <c r="BJ65" s="390"/>
      <c r="BK65" s="390"/>
      <c r="BL65" s="377">
        <v>0</v>
      </c>
      <c r="BM65" s="377">
        <v>1</v>
      </c>
      <c r="BN65" s="377">
        <v>1</v>
      </c>
      <c r="BO65" s="377">
        <v>2</v>
      </c>
      <c r="BP65" s="377">
        <v>2</v>
      </c>
      <c r="BQ65" s="377">
        <v>1</v>
      </c>
      <c r="BR65" s="377">
        <v>0</v>
      </c>
      <c r="BS65" s="377">
        <v>0</v>
      </c>
      <c r="BT65" s="377">
        <v>0</v>
      </c>
      <c r="BU65" s="377">
        <v>1</v>
      </c>
      <c r="BV65" s="377">
        <v>1</v>
      </c>
      <c r="BW65" s="377">
        <v>0</v>
      </c>
      <c r="BX65" s="377">
        <v>0</v>
      </c>
      <c r="BY65" s="377">
        <v>1</v>
      </c>
      <c r="BZ65" s="383">
        <f t="shared" ref="BZ65:BZ84" si="81">BX65+BV65+BT65+BR65+BP65+BN65+BL65+BJ65</f>
        <v>4</v>
      </c>
      <c r="CA65" s="383">
        <f t="shared" ref="CA65:CA84" si="82">BY65+BW65+BU65+BS65+BQ65+BO65+BM65+BK65</f>
        <v>6</v>
      </c>
      <c r="CB65" s="384">
        <f t="shared" ref="CB65:CB84" si="83">CA65+BZ65</f>
        <v>10</v>
      </c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</row>
    <row r="66" spans="1:222" s="19" customFormat="1" ht="69.95" customHeight="1">
      <c r="A66" s="372">
        <f>'TB07-CDGK'!A8</f>
        <v>3</v>
      </c>
      <c r="B66" s="392" t="str">
        <f t="shared" si="66"/>
        <v xml:space="preserve">CDG-RHC MURAD MEMON GOTH </v>
      </c>
      <c r="C66" s="392" t="str">
        <f t="shared" si="66"/>
        <v>GADAP</v>
      </c>
      <c r="D66" s="392"/>
      <c r="E66" s="393">
        <v>150000</v>
      </c>
      <c r="F66" s="375">
        <f t="shared" si="67"/>
        <v>56.25</v>
      </c>
      <c r="G66" s="400">
        <v>25</v>
      </c>
      <c r="H66" s="394">
        <v>3</v>
      </c>
      <c r="I66" s="394">
        <v>1</v>
      </c>
      <c r="J66" s="378">
        <f t="shared" si="68"/>
        <v>4</v>
      </c>
      <c r="K66" s="394">
        <v>0</v>
      </c>
      <c r="L66" s="394">
        <v>0</v>
      </c>
      <c r="M66" s="378">
        <f t="shared" si="69"/>
        <v>0</v>
      </c>
      <c r="N66" s="394">
        <v>0</v>
      </c>
      <c r="O66" s="394">
        <v>0</v>
      </c>
      <c r="P66" s="378">
        <f t="shared" si="70"/>
        <v>0</v>
      </c>
      <c r="Q66" s="394">
        <v>0</v>
      </c>
      <c r="R66" s="394">
        <v>0</v>
      </c>
      <c r="S66" s="378">
        <f t="shared" si="60"/>
        <v>0</v>
      </c>
      <c r="T66" s="378"/>
      <c r="U66" s="378"/>
      <c r="V66" s="378">
        <f t="shared" si="61"/>
        <v>0</v>
      </c>
      <c r="W66" s="379">
        <f t="shared" si="71"/>
        <v>0.16</v>
      </c>
      <c r="X66" s="379">
        <f t="shared" si="72"/>
        <v>0.13333333333333333</v>
      </c>
      <c r="Y66" s="382"/>
      <c r="Z66" s="382"/>
      <c r="AA66" s="382"/>
      <c r="AB66" s="394"/>
      <c r="AC66" s="394"/>
      <c r="AD66" s="394"/>
      <c r="AE66" s="394">
        <v>0</v>
      </c>
      <c r="AF66" s="394">
        <v>0</v>
      </c>
      <c r="AG66" s="382">
        <f t="shared" si="73"/>
        <v>0</v>
      </c>
      <c r="AH66" s="382"/>
      <c r="AI66" s="378"/>
      <c r="AJ66" s="378"/>
      <c r="AK66" s="394"/>
      <c r="AL66" s="394"/>
      <c r="AM66" s="394"/>
      <c r="AN66" s="394">
        <v>0</v>
      </c>
      <c r="AO66" s="394">
        <v>2</v>
      </c>
      <c r="AP66" s="382">
        <f t="shared" si="74"/>
        <v>2</v>
      </c>
      <c r="AQ66" s="383">
        <f t="shared" si="75"/>
        <v>3</v>
      </c>
      <c r="AR66" s="383">
        <f t="shared" si="76"/>
        <v>3</v>
      </c>
      <c r="AS66" s="384">
        <v>3</v>
      </c>
      <c r="AT66" s="384">
        <v>3</v>
      </c>
      <c r="AU66" s="385">
        <f t="shared" si="62"/>
        <v>6</v>
      </c>
      <c r="AV66" s="380">
        <f t="shared" si="77"/>
        <v>1</v>
      </c>
      <c r="AW66" s="379">
        <v>1</v>
      </c>
      <c r="AX66" s="379"/>
      <c r="AY66" s="379">
        <f t="shared" si="63"/>
        <v>9.03954802259887E-2</v>
      </c>
      <c r="AZ66" s="379">
        <f t="shared" si="64"/>
        <v>0</v>
      </c>
      <c r="BA66" s="395">
        <f t="shared" si="78"/>
        <v>10.666666666666666</v>
      </c>
      <c r="BB66" s="396">
        <f t="shared" si="65"/>
        <v>16</v>
      </c>
      <c r="BC66" s="397">
        <v>0</v>
      </c>
      <c r="BD66" s="388">
        <f t="shared" si="79"/>
        <v>0</v>
      </c>
      <c r="BE66" s="388"/>
      <c r="BF66" s="388"/>
      <c r="BG66" s="389">
        <v>5</v>
      </c>
      <c r="BH66" s="392">
        <f t="shared" si="80"/>
        <v>0</v>
      </c>
      <c r="BI66" s="392">
        <f t="shared" si="80"/>
        <v>0</v>
      </c>
      <c r="BJ66" s="390"/>
      <c r="BK66" s="390"/>
      <c r="BL66" s="394">
        <v>0</v>
      </c>
      <c r="BM66" s="394">
        <v>0</v>
      </c>
      <c r="BN66" s="394">
        <v>0</v>
      </c>
      <c r="BO66" s="394">
        <v>1</v>
      </c>
      <c r="BP66" s="394">
        <v>1</v>
      </c>
      <c r="BQ66" s="394">
        <v>0</v>
      </c>
      <c r="BR66" s="394">
        <v>1</v>
      </c>
      <c r="BS66" s="394">
        <v>0</v>
      </c>
      <c r="BT66" s="394">
        <v>0</v>
      </c>
      <c r="BU66" s="394">
        <v>0</v>
      </c>
      <c r="BV66" s="394">
        <v>0</v>
      </c>
      <c r="BW66" s="394">
        <v>0</v>
      </c>
      <c r="BX66" s="394">
        <v>1</v>
      </c>
      <c r="BY66" s="394">
        <v>0</v>
      </c>
      <c r="BZ66" s="378">
        <f t="shared" si="81"/>
        <v>3</v>
      </c>
      <c r="CA66" s="378">
        <f t="shared" si="82"/>
        <v>1</v>
      </c>
      <c r="CB66" s="385">
        <f t="shared" si="83"/>
        <v>4</v>
      </c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</row>
    <row r="67" spans="1:222" s="19" customFormat="1" ht="69.95" customHeight="1">
      <c r="A67" s="391">
        <f>'TB07-CDGK'!A9</f>
        <v>4</v>
      </c>
      <c r="B67" s="377" t="str">
        <f t="shared" si="66"/>
        <v>SAMAN ABAD DISPENSARY</v>
      </c>
      <c r="C67" s="377" t="str">
        <f t="shared" si="66"/>
        <v>GULBERG</v>
      </c>
      <c r="D67" s="377"/>
      <c r="E67" s="402">
        <f>E10</f>
        <v>500000</v>
      </c>
      <c r="F67" s="375">
        <f t="shared" si="67"/>
        <v>56.25</v>
      </c>
      <c r="G67" s="376">
        <v>25</v>
      </c>
      <c r="H67" s="377">
        <v>3</v>
      </c>
      <c r="I67" s="377">
        <v>2</v>
      </c>
      <c r="J67" s="378">
        <f t="shared" si="68"/>
        <v>5</v>
      </c>
      <c r="K67" s="377">
        <v>0</v>
      </c>
      <c r="L67" s="377">
        <v>0</v>
      </c>
      <c r="M67" s="378">
        <f t="shared" si="69"/>
        <v>0</v>
      </c>
      <c r="N67" s="377">
        <v>0</v>
      </c>
      <c r="O67" s="377">
        <v>0</v>
      </c>
      <c r="P67" s="378">
        <f t="shared" si="70"/>
        <v>0</v>
      </c>
      <c r="Q67" s="377">
        <v>1</v>
      </c>
      <c r="R67" s="377">
        <v>0</v>
      </c>
      <c r="S67" s="378">
        <f t="shared" si="60"/>
        <v>1</v>
      </c>
      <c r="T67" s="378"/>
      <c r="U67" s="378"/>
      <c r="V67" s="378">
        <f t="shared" si="61"/>
        <v>0</v>
      </c>
      <c r="W67" s="379">
        <f t="shared" si="71"/>
        <v>0.2</v>
      </c>
      <c r="X67" s="380">
        <f t="shared" si="72"/>
        <v>0.05</v>
      </c>
      <c r="Y67" s="381"/>
      <c r="Z67" s="381"/>
      <c r="AA67" s="381"/>
      <c r="AB67" s="377"/>
      <c r="AC67" s="377"/>
      <c r="AD67" s="377"/>
      <c r="AE67" s="394">
        <v>1</v>
      </c>
      <c r="AF67" s="394">
        <v>1</v>
      </c>
      <c r="AG67" s="382">
        <f t="shared" si="73"/>
        <v>2</v>
      </c>
      <c r="AH67" s="381"/>
      <c r="AI67" s="383"/>
      <c r="AJ67" s="383"/>
      <c r="AK67" s="377"/>
      <c r="AL67" s="377"/>
      <c r="AM67" s="377"/>
      <c r="AN67" s="377">
        <v>0</v>
      </c>
      <c r="AO67" s="377">
        <v>1</v>
      </c>
      <c r="AP67" s="382">
        <f t="shared" si="74"/>
        <v>1</v>
      </c>
      <c r="AQ67" s="383">
        <f t="shared" si="75"/>
        <v>5</v>
      </c>
      <c r="AR67" s="383">
        <f t="shared" si="76"/>
        <v>4</v>
      </c>
      <c r="AS67" s="384">
        <v>5</v>
      </c>
      <c r="AT67" s="384">
        <v>4</v>
      </c>
      <c r="AU67" s="385">
        <f t="shared" si="62"/>
        <v>9</v>
      </c>
      <c r="AV67" s="380">
        <f t="shared" si="77"/>
        <v>0.7142857142857143</v>
      </c>
      <c r="AW67" s="380">
        <v>0.71</v>
      </c>
      <c r="AX67" s="380"/>
      <c r="AY67" s="380">
        <f t="shared" si="63"/>
        <v>4.0677966101694912E-2</v>
      </c>
      <c r="AZ67" s="380">
        <f t="shared" si="64"/>
        <v>0.1111111111111111</v>
      </c>
      <c r="BA67" s="386">
        <f t="shared" si="78"/>
        <v>4</v>
      </c>
      <c r="BB67" s="387">
        <f t="shared" si="65"/>
        <v>7.2</v>
      </c>
      <c r="BC67" s="403">
        <v>1</v>
      </c>
      <c r="BD67" s="388">
        <f t="shared" si="79"/>
        <v>1</v>
      </c>
      <c r="BE67" s="388"/>
      <c r="BF67" s="388"/>
      <c r="BG67" s="398">
        <v>6</v>
      </c>
      <c r="BH67" s="377">
        <f t="shared" si="80"/>
        <v>0</v>
      </c>
      <c r="BI67" s="377">
        <f t="shared" si="80"/>
        <v>0</v>
      </c>
      <c r="BJ67" s="390"/>
      <c r="BK67" s="390"/>
      <c r="BL67" s="377">
        <v>0</v>
      </c>
      <c r="BM67" s="377">
        <v>0</v>
      </c>
      <c r="BN67" s="377">
        <v>0</v>
      </c>
      <c r="BO67" s="377">
        <v>0</v>
      </c>
      <c r="BP67" s="377">
        <v>0</v>
      </c>
      <c r="BQ67" s="377">
        <v>2</v>
      </c>
      <c r="BR67" s="377">
        <v>2</v>
      </c>
      <c r="BS67" s="377">
        <v>0</v>
      </c>
      <c r="BT67" s="377">
        <v>1</v>
      </c>
      <c r="BU67" s="377">
        <v>0</v>
      </c>
      <c r="BV67" s="377">
        <v>0</v>
      </c>
      <c r="BW67" s="377">
        <v>0</v>
      </c>
      <c r="BX67" s="377">
        <v>0</v>
      </c>
      <c r="BY67" s="377">
        <v>0</v>
      </c>
      <c r="BZ67" s="383">
        <f t="shared" si="81"/>
        <v>3</v>
      </c>
      <c r="CA67" s="383">
        <f t="shared" si="82"/>
        <v>2</v>
      </c>
      <c r="CB67" s="384">
        <f t="shared" si="83"/>
        <v>5</v>
      </c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</row>
    <row r="68" spans="1:222" s="19" customFormat="1" ht="69.95" customHeight="1">
      <c r="A68" s="391">
        <v>7</v>
      </c>
      <c r="B68" s="401" t="str">
        <f t="shared" ref="B68:C77" si="84">B11</f>
        <v xml:space="preserve">CDG-MEHMOODAABAD MAT.HOME </v>
      </c>
      <c r="C68" s="401" t="str">
        <f t="shared" si="84"/>
        <v>JAMSHED</v>
      </c>
      <c r="D68" s="401"/>
      <c r="E68" s="402">
        <f>E11</f>
        <v>250000</v>
      </c>
      <c r="F68" s="375">
        <f t="shared" si="67"/>
        <v>56.25</v>
      </c>
      <c r="G68" s="400">
        <v>25</v>
      </c>
      <c r="H68" s="377">
        <v>0</v>
      </c>
      <c r="I68" s="377">
        <v>0</v>
      </c>
      <c r="J68" s="378">
        <f t="shared" si="68"/>
        <v>0</v>
      </c>
      <c r="K68" s="377">
        <v>0</v>
      </c>
      <c r="L68" s="377">
        <v>0</v>
      </c>
      <c r="M68" s="378">
        <f t="shared" si="69"/>
        <v>0</v>
      </c>
      <c r="N68" s="377">
        <v>0</v>
      </c>
      <c r="O68" s="377">
        <v>0</v>
      </c>
      <c r="P68" s="378">
        <f t="shared" si="70"/>
        <v>0</v>
      </c>
      <c r="Q68" s="377">
        <v>0</v>
      </c>
      <c r="R68" s="377">
        <v>0</v>
      </c>
      <c r="S68" s="378">
        <f t="shared" si="60"/>
        <v>0</v>
      </c>
      <c r="T68" s="378"/>
      <c r="U68" s="378"/>
      <c r="V68" s="378">
        <f t="shared" si="61"/>
        <v>0</v>
      </c>
      <c r="W68" s="379">
        <f t="shared" si="71"/>
        <v>0</v>
      </c>
      <c r="X68" s="380">
        <f t="shared" si="72"/>
        <v>0</v>
      </c>
      <c r="Y68" s="381"/>
      <c r="Z68" s="381"/>
      <c r="AA68" s="381"/>
      <c r="AB68" s="377"/>
      <c r="AC68" s="377"/>
      <c r="AD68" s="377"/>
      <c r="AE68" s="377">
        <v>0</v>
      </c>
      <c r="AF68" s="377">
        <v>1</v>
      </c>
      <c r="AG68" s="382">
        <f t="shared" si="73"/>
        <v>1</v>
      </c>
      <c r="AH68" s="381"/>
      <c r="AI68" s="383"/>
      <c r="AJ68" s="383"/>
      <c r="AK68" s="377"/>
      <c r="AL68" s="377"/>
      <c r="AM68" s="377"/>
      <c r="AN68" s="377">
        <v>0</v>
      </c>
      <c r="AO68" s="377">
        <v>0</v>
      </c>
      <c r="AP68" s="382">
        <f t="shared" si="74"/>
        <v>0</v>
      </c>
      <c r="AQ68" s="383">
        <f t="shared" si="75"/>
        <v>0</v>
      </c>
      <c r="AR68" s="383">
        <f t="shared" si="76"/>
        <v>1</v>
      </c>
      <c r="AS68" s="384">
        <v>0</v>
      </c>
      <c r="AT68" s="384">
        <v>1</v>
      </c>
      <c r="AU68" s="385">
        <f t="shared" si="62"/>
        <v>1</v>
      </c>
      <c r="AV68" s="380">
        <f t="shared" si="77"/>
        <v>0</v>
      </c>
      <c r="AW68" s="380">
        <v>0</v>
      </c>
      <c r="AX68" s="380"/>
      <c r="AY68" s="380">
        <f t="shared" si="63"/>
        <v>9.0395480225988704E-3</v>
      </c>
      <c r="AZ68" s="380">
        <f t="shared" si="64"/>
        <v>0</v>
      </c>
      <c r="BA68" s="386">
        <f t="shared" si="78"/>
        <v>0</v>
      </c>
      <c r="BB68" s="387">
        <f t="shared" si="65"/>
        <v>1.5999999999999999</v>
      </c>
      <c r="BC68" s="403">
        <v>0</v>
      </c>
      <c r="BD68" s="388">
        <f t="shared" si="79"/>
        <v>0</v>
      </c>
      <c r="BE68" s="388"/>
      <c r="BF68" s="388"/>
      <c r="BG68" s="398">
        <v>8</v>
      </c>
      <c r="BH68" s="401">
        <f t="shared" si="80"/>
        <v>0</v>
      </c>
      <c r="BI68" s="401">
        <f t="shared" si="80"/>
        <v>0</v>
      </c>
      <c r="BJ68" s="390"/>
      <c r="BK68" s="390"/>
      <c r="BL68" s="377"/>
      <c r="BM68" s="377">
        <v>0</v>
      </c>
      <c r="BN68" s="377">
        <v>0</v>
      </c>
      <c r="BO68" s="377">
        <v>0</v>
      </c>
      <c r="BP68" s="377">
        <v>0</v>
      </c>
      <c r="BQ68" s="377">
        <v>0</v>
      </c>
      <c r="BR68" s="377">
        <v>0</v>
      </c>
      <c r="BS68" s="377">
        <v>0</v>
      </c>
      <c r="BT68" s="377">
        <v>0</v>
      </c>
      <c r="BU68" s="377">
        <v>0</v>
      </c>
      <c r="BV68" s="377">
        <v>0</v>
      </c>
      <c r="BW68" s="377">
        <v>0</v>
      </c>
      <c r="BX68" s="377">
        <v>0</v>
      </c>
      <c r="BY68" s="377">
        <v>0</v>
      </c>
      <c r="BZ68" s="383">
        <f t="shared" si="81"/>
        <v>0</v>
      </c>
      <c r="CA68" s="383">
        <f t="shared" si="82"/>
        <v>0</v>
      </c>
      <c r="CB68" s="384">
        <f t="shared" si="83"/>
        <v>0</v>
      </c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</row>
    <row r="69" spans="1:222" s="19" customFormat="1" ht="69.95" customHeight="1">
      <c r="A69" s="372">
        <v>8</v>
      </c>
      <c r="B69" s="392" t="str">
        <f t="shared" si="84"/>
        <v xml:space="preserve">CDG-SGD ABESENA-LINE </v>
      </c>
      <c r="C69" s="392" t="str">
        <f t="shared" si="84"/>
        <v>JAMSHED</v>
      </c>
      <c r="D69" s="392"/>
      <c r="E69" s="399">
        <f>E12</f>
        <v>200000</v>
      </c>
      <c r="F69" s="375">
        <f t="shared" si="67"/>
        <v>56.25</v>
      </c>
      <c r="G69" s="400">
        <v>25</v>
      </c>
      <c r="H69" s="377">
        <v>0</v>
      </c>
      <c r="I69" s="377">
        <v>0</v>
      </c>
      <c r="J69" s="378">
        <f t="shared" si="68"/>
        <v>0</v>
      </c>
      <c r="K69" s="377">
        <v>0</v>
      </c>
      <c r="L69" s="377">
        <v>0</v>
      </c>
      <c r="M69" s="378">
        <f t="shared" si="69"/>
        <v>0</v>
      </c>
      <c r="N69" s="377">
        <v>0</v>
      </c>
      <c r="O69" s="377">
        <v>0</v>
      </c>
      <c r="P69" s="378">
        <f t="shared" si="70"/>
        <v>0</v>
      </c>
      <c r="Q69" s="377">
        <v>0</v>
      </c>
      <c r="R69" s="377">
        <v>0</v>
      </c>
      <c r="S69" s="378">
        <f t="shared" si="60"/>
        <v>0</v>
      </c>
      <c r="T69" s="378"/>
      <c r="U69" s="378"/>
      <c r="V69" s="378">
        <f t="shared" si="61"/>
        <v>0</v>
      </c>
      <c r="W69" s="379">
        <f t="shared" si="71"/>
        <v>0</v>
      </c>
      <c r="X69" s="379">
        <f t="shared" si="72"/>
        <v>0</v>
      </c>
      <c r="Y69" s="382"/>
      <c r="Z69" s="382"/>
      <c r="AA69" s="382"/>
      <c r="AB69" s="394"/>
      <c r="AC69" s="394"/>
      <c r="AD69" s="394"/>
      <c r="AE69" s="394">
        <v>1</v>
      </c>
      <c r="AF69" s="394">
        <v>3</v>
      </c>
      <c r="AG69" s="382">
        <f t="shared" si="73"/>
        <v>4</v>
      </c>
      <c r="AH69" s="382"/>
      <c r="AI69" s="378"/>
      <c r="AJ69" s="378"/>
      <c r="AK69" s="394"/>
      <c r="AL69" s="394"/>
      <c r="AM69" s="394"/>
      <c r="AN69" s="377">
        <v>1</v>
      </c>
      <c r="AO69" s="377">
        <v>1</v>
      </c>
      <c r="AP69" s="382">
        <f t="shared" si="74"/>
        <v>2</v>
      </c>
      <c r="AQ69" s="383">
        <f t="shared" si="75"/>
        <v>2</v>
      </c>
      <c r="AR69" s="383">
        <f t="shared" si="76"/>
        <v>4</v>
      </c>
      <c r="AS69" s="384">
        <v>2</v>
      </c>
      <c r="AT69" s="384">
        <v>4</v>
      </c>
      <c r="AU69" s="385">
        <f t="shared" si="62"/>
        <v>6</v>
      </c>
      <c r="AV69" s="380">
        <f t="shared" si="77"/>
        <v>0</v>
      </c>
      <c r="AW69" s="379">
        <v>0</v>
      </c>
      <c r="AX69" s="379"/>
      <c r="AY69" s="379">
        <f t="shared" si="63"/>
        <v>6.7796610169491525E-2</v>
      </c>
      <c r="AZ69" s="379">
        <f t="shared" si="64"/>
        <v>0</v>
      </c>
      <c r="BA69" s="395">
        <f t="shared" si="78"/>
        <v>0</v>
      </c>
      <c r="BB69" s="396">
        <f t="shared" si="65"/>
        <v>12</v>
      </c>
      <c r="BC69" s="397">
        <v>0</v>
      </c>
      <c r="BD69" s="388">
        <f t="shared" si="79"/>
        <v>0</v>
      </c>
      <c r="BE69" s="388"/>
      <c r="BF69" s="388"/>
      <c r="BG69" s="389">
        <v>9</v>
      </c>
      <c r="BH69" s="392">
        <f t="shared" si="80"/>
        <v>0</v>
      </c>
      <c r="BI69" s="392">
        <f t="shared" si="80"/>
        <v>0</v>
      </c>
      <c r="BJ69" s="390"/>
      <c r="BK69" s="390"/>
      <c r="BL69" s="394"/>
      <c r="BM69" s="377">
        <v>0</v>
      </c>
      <c r="BN69" s="377">
        <v>0</v>
      </c>
      <c r="BO69" s="377">
        <v>0</v>
      </c>
      <c r="BP69" s="377">
        <v>0</v>
      </c>
      <c r="BQ69" s="377">
        <v>0</v>
      </c>
      <c r="BR69" s="377">
        <v>0</v>
      </c>
      <c r="BS69" s="377">
        <v>0</v>
      </c>
      <c r="BT69" s="377">
        <v>0</v>
      </c>
      <c r="BU69" s="377">
        <v>0</v>
      </c>
      <c r="BV69" s="377">
        <v>0</v>
      </c>
      <c r="BW69" s="377">
        <v>0</v>
      </c>
      <c r="BX69" s="377">
        <v>0</v>
      </c>
      <c r="BY69" s="377">
        <v>0</v>
      </c>
      <c r="BZ69" s="378">
        <f t="shared" si="81"/>
        <v>0</v>
      </c>
      <c r="CA69" s="378">
        <f t="shared" si="82"/>
        <v>0</v>
      </c>
      <c r="CB69" s="385">
        <f t="shared" si="83"/>
        <v>0</v>
      </c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</row>
    <row r="70" spans="1:222" s="19" customFormat="1" ht="69.95" customHeight="1">
      <c r="A70" s="391">
        <v>9</v>
      </c>
      <c r="B70" s="401" t="str">
        <f t="shared" si="84"/>
        <v xml:space="preserve">CDG-RHC KEMARI </v>
      </c>
      <c r="C70" s="401" t="str">
        <f t="shared" si="84"/>
        <v>KEMARI</v>
      </c>
      <c r="D70" s="401"/>
      <c r="E70" s="402">
        <v>200000</v>
      </c>
      <c r="F70" s="375">
        <f t="shared" si="67"/>
        <v>56.25</v>
      </c>
      <c r="G70" s="400">
        <v>25</v>
      </c>
      <c r="H70" s="377">
        <v>2</v>
      </c>
      <c r="I70" s="377">
        <v>2</v>
      </c>
      <c r="J70" s="378">
        <f t="shared" si="68"/>
        <v>4</v>
      </c>
      <c r="K70" s="377">
        <v>0</v>
      </c>
      <c r="L70" s="377">
        <v>0</v>
      </c>
      <c r="M70" s="378">
        <f t="shared" si="69"/>
        <v>0</v>
      </c>
      <c r="N70" s="377">
        <v>0</v>
      </c>
      <c r="O70" s="377">
        <v>0</v>
      </c>
      <c r="P70" s="378">
        <f t="shared" si="70"/>
        <v>0</v>
      </c>
      <c r="Q70" s="377">
        <v>0</v>
      </c>
      <c r="R70" s="377">
        <v>0</v>
      </c>
      <c r="S70" s="378">
        <f t="shared" si="60"/>
        <v>0</v>
      </c>
      <c r="T70" s="378"/>
      <c r="U70" s="378"/>
      <c r="V70" s="378">
        <f t="shared" si="61"/>
        <v>0</v>
      </c>
      <c r="W70" s="379">
        <f t="shared" si="71"/>
        <v>0.16</v>
      </c>
      <c r="X70" s="380">
        <f t="shared" si="72"/>
        <v>0.1</v>
      </c>
      <c r="Y70" s="381"/>
      <c r="Z70" s="381"/>
      <c r="AA70" s="381"/>
      <c r="AB70" s="377"/>
      <c r="AC70" s="377"/>
      <c r="AD70" s="377"/>
      <c r="AE70" s="394">
        <v>0</v>
      </c>
      <c r="AF70" s="394">
        <v>2</v>
      </c>
      <c r="AG70" s="382">
        <f t="shared" si="73"/>
        <v>2</v>
      </c>
      <c r="AH70" s="381"/>
      <c r="AI70" s="383"/>
      <c r="AJ70" s="383"/>
      <c r="AK70" s="377"/>
      <c r="AL70" s="377"/>
      <c r="AM70" s="377"/>
      <c r="AN70" s="377">
        <v>0</v>
      </c>
      <c r="AO70" s="377">
        <v>4</v>
      </c>
      <c r="AP70" s="382">
        <f t="shared" si="74"/>
        <v>4</v>
      </c>
      <c r="AQ70" s="383">
        <f t="shared" si="75"/>
        <v>2</v>
      </c>
      <c r="AR70" s="383">
        <f t="shared" si="76"/>
        <v>8</v>
      </c>
      <c r="AS70" s="384">
        <v>2</v>
      </c>
      <c r="AT70" s="384">
        <v>8</v>
      </c>
      <c r="AU70" s="385">
        <f t="shared" si="62"/>
        <v>10</v>
      </c>
      <c r="AV70" s="380">
        <f t="shared" si="77"/>
        <v>0.66666666666666663</v>
      </c>
      <c r="AW70" s="380">
        <v>0.67</v>
      </c>
      <c r="AX70" s="380"/>
      <c r="AY70" s="380">
        <f t="shared" si="63"/>
        <v>0.11299435028248588</v>
      </c>
      <c r="AZ70" s="380">
        <f t="shared" si="64"/>
        <v>0</v>
      </c>
      <c r="BA70" s="386">
        <f t="shared" si="78"/>
        <v>8</v>
      </c>
      <c r="BB70" s="387">
        <f t="shared" si="65"/>
        <v>20</v>
      </c>
      <c r="BC70" s="403">
        <v>0</v>
      </c>
      <c r="BD70" s="388">
        <f t="shared" si="79"/>
        <v>0</v>
      </c>
      <c r="BE70" s="388"/>
      <c r="BF70" s="388"/>
      <c r="BG70" s="398">
        <v>10</v>
      </c>
      <c r="BH70" s="401">
        <f t="shared" si="80"/>
        <v>0</v>
      </c>
      <c r="BI70" s="401">
        <f t="shared" si="80"/>
        <v>0</v>
      </c>
      <c r="BJ70" s="390"/>
      <c r="BK70" s="390"/>
      <c r="BL70" s="377">
        <v>0</v>
      </c>
      <c r="BM70" s="377">
        <v>0</v>
      </c>
      <c r="BN70" s="377">
        <v>1</v>
      </c>
      <c r="BO70" s="377">
        <v>0</v>
      </c>
      <c r="BP70" s="377">
        <v>1</v>
      </c>
      <c r="BQ70" s="377">
        <v>1</v>
      </c>
      <c r="BR70" s="377">
        <v>0</v>
      </c>
      <c r="BS70" s="377">
        <v>0</v>
      </c>
      <c r="BT70" s="377">
        <v>0</v>
      </c>
      <c r="BU70" s="377">
        <v>1</v>
      </c>
      <c r="BV70" s="377">
        <v>0</v>
      </c>
      <c r="BW70" s="377">
        <v>0</v>
      </c>
      <c r="BX70" s="377">
        <v>0</v>
      </c>
      <c r="BY70" s="377">
        <v>0</v>
      </c>
      <c r="BZ70" s="383">
        <f t="shared" si="81"/>
        <v>2</v>
      </c>
      <c r="CA70" s="383">
        <f t="shared" si="82"/>
        <v>2</v>
      </c>
      <c r="CB70" s="384">
        <f t="shared" si="83"/>
        <v>4</v>
      </c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</row>
    <row r="71" spans="1:222" s="19" customFormat="1" ht="69.95" customHeight="1">
      <c r="A71" s="372">
        <v>10</v>
      </c>
      <c r="B71" s="392" t="str">
        <f t="shared" si="84"/>
        <v xml:space="preserve">CDG-SHER SHAH </v>
      </c>
      <c r="C71" s="392" t="str">
        <f t="shared" si="84"/>
        <v>KEMARI</v>
      </c>
      <c r="D71" s="392"/>
      <c r="E71" s="399">
        <f>E14</f>
        <v>200000</v>
      </c>
      <c r="F71" s="375">
        <f t="shared" si="67"/>
        <v>56.25</v>
      </c>
      <c r="G71" s="400">
        <v>25</v>
      </c>
      <c r="H71" s="377">
        <v>1</v>
      </c>
      <c r="I71" s="377">
        <v>3</v>
      </c>
      <c r="J71" s="378">
        <f t="shared" si="68"/>
        <v>4</v>
      </c>
      <c r="K71" s="377">
        <v>1</v>
      </c>
      <c r="L71" s="377">
        <v>0</v>
      </c>
      <c r="M71" s="378">
        <f t="shared" si="69"/>
        <v>1</v>
      </c>
      <c r="N71" s="377">
        <v>0</v>
      </c>
      <c r="O71" s="377">
        <v>0</v>
      </c>
      <c r="P71" s="378">
        <f t="shared" si="70"/>
        <v>0</v>
      </c>
      <c r="Q71" s="377">
        <v>0</v>
      </c>
      <c r="R71" s="377">
        <v>0</v>
      </c>
      <c r="S71" s="378">
        <f t="shared" si="60"/>
        <v>0</v>
      </c>
      <c r="T71" s="378"/>
      <c r="U71" s="378"/>
      <c r="V71" s="378">
        <f t="shared" si="61"/>
        <v>0</v>
      </c>
      <c r="W71" s="379">
        <f t="shared" si="71"/>
        <v>0.16</v>
      </c>
      <c r="X71" s="379">
        <f t="shared" si="72"/>
        <v>0.1</v>
      </c>
      <c r="Y71" s="382"/>
      <c r="Z71" s="382"/>
      <c r="AA71" s="382"/>
      <c r="AB71" s="394"/>
      <c r="AC71" s="394"/>
      <c r="AD71" s="394"/>
      <c r="AE71" s="394">
        <v>2</v>
      </c>
      <c r="AF71" s="394">
        <v>1</v>
      </c>
      <c r="AG71" s="382">
        <f t="shared" si="73"/>
        <v>3</v>
      </c>
      <c r="AH71" s="382"/>
      <c r="AI71" s="378"/>
      <c r="AJ71" s="378"/>
      <c r="AK71" s="394"/>
      <c r="AL71" s="394"/>
      <c r="AM71" s="394"/>
      <c r="AN71" s="377">
        <v>1</v>
      </c>
      <c r="AO71" s="377">
        <v>0</v>
      </c>
      <c r="AP71" s="382">
        <f t="shared" si="74"/>
        <v>1</v>
      </c>
      <c r="AQ71" s="383">
        <f t="shared" si="75"/>
        <v>5</v>
      </c>
      <c r="AR71" s="383">
        <f t="shared" si="76"/>
        <v>4</v>
      </c>
      <c r="AS71" s="384">
        <v>5</v>
      </c>
      <c r="AT71" s="384">
        <v>4</v>
      </c>
      <c r="AU71" s="385">
        <f t="shared" si="62"/>
        <v>9</v>
      </c>
      <c r="AV71" s="380">
        <f t="shared" si="77"/>
        <v>0.5714285714285714</v>
      </c>
      <c r="AW71" s="379">
        <v>0.56999999999999995</v>
      </c>
      <c r="AX71" s="379"/>
      <c r="AY71" s="379">
        <f t="shared" si="63"/>
        <v>0.10169491525423729</v>
      </c>
      <c r="AZ71" s="379">
        <f t="shared" si="64"/>
        <v>0.1111111111111111</v>
      </c>
      <c r="BA71" s="395">
        <f t="shared" si="78"/>
        <v>8</v>
      </c>
      <c r="BB71" s="396">
        <f t="shared" si="65"/>
        <v>18</v>
      </c>
      <c r="BC71" s="397">
        <v>1</v>
      </c>
      <c r="BD71" s="388">
        <f t="shared" si="79"/>
        <v>1</v>
      </c>
      <c r="BE71" s="388"/>
      <c r="BF71" s="388"/>
      <c r="BG71" s="389">
        <v>11</v>
      </c>
      <c r="BH71" s="392">
        <f t="shared" si="80"/>
        <v>0</v>
      </c>
      <c r="BI71" s="392">
        <f t="shared" si="80"/>
        <v>0</v>
      </c>
      <c r="BJ71" s="390"/>
      <c r="BK71" s="390"/>
      <c r="BL71" s="394">
        <v>0</v>
      </c>
      <c r="BM71" s="377">
        <v>0</v>
      </c>
      <c r="BN71" s="377">
        <v>1</v>
      </c>
      <c r="BO71" s="377">
        <v>1</v>
      </c>
      <c r="BP71" s="377">
        <v>0</v>
      </c>
      <c r="BQ71" s="377">
        <v>0</v>
      </c>
      <c r="BR71" s="377">
        <v>0</v>
      </c>
      <c r="BS71" s="377">
        <v>1</v>
      </c>
      <c r="BT71" s="377">
        <v>0</v>
      </c>
      <c r="BU71" s="377">
        <v>0</v>
      </c>
      <c r="BV71" s="377">
        <v>0</v>
      </c>
      <c r="BW71" s="377">
        <v>1</v>
      </c>
      <c r="BX71" s="377">
        <v>0</v>
      </c>
      <c r="BY71" s="377">
        <v>0</v>
      </c>
      <c r="BZ71" s="378">
        <f t="shared" si="81"/>
        <v>1</v>
      </c>
      <c r="CA71" s="378">
        <f t="shared" si="82"/>
        <v>3</v>
      </c>
      <c r="CB71" s="385">
        <f t="shared" si="83"/>
        <v>4</v>
      </c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</row>
    <row r="72" spans="1:222" s="19" customFormat="1" ht="69.95" customHeight="1">
      <c r="A72" s="391">
        <v>11</v>
      </c>
      <c r="B72" s="401" t="str">
        <f t="shared" si="84"/>
        <v>CDG-THO OFFICE CUM MAT HOME</v>
      </c>
      <c r="C72" s="401" t="str">
        <f t="shared" si="84"/>
        <v>KORANGI</v>
      </c>
      <c r="D72" s="401"/>
      <c r="E72" s="404">
        <f>E15</f>
        <v>300000</v>
      </c>
      <c r="F72" s="375">
        <f t="shared" si="67"/>
        <v>112.5</v>
      </c>
      <c r="G72" s="400">
        <v>50</v>
      </c>
      <c r="H72" s="377">
        <v>20</v>
      </c>
      <c r="I72" s="377">
        <v>20</v>
      </c>
      <c r="J72" s="378">
        <f t="shared" si="68"/>
        <v>40</v>
      </c>
      <c r="K72" s="377">
        <v>0</v>
      </c>
      <c r="L72" s="377">
        <v>0</v>
      </c>
      <c r="M72" s="378">
        <f t="shared" si="69"/>
        <v>0</v>
      </c>
      <c r="N72" s="377">
        <v>0</v>
      </c>
      <c r="O72" s="377">
        <v>0</v>
      </c>
      <c r="P72" s="378">
        <f t="shared" si="70"/>
        <v>0</v>
      </c>
      <c r="Q72" s="377">
        <v>0</v>
      </c>
      <c r="R72" s="377">
        <v>1</v>
      </c>
      <c r="S72" s="378">
        <f t="shared" si="60"/>
        <v>1</v>
      </c>
      <c r="T72" s="378"/>
      <c r="U72" s="378"/>
      <c r="V72" s="378">
        <f t="shared" si="61"/>
        <v>0</v>
      </c>
      <c r="W72" s="379">
        <f t="shared" si="71"/>
        <v>0.8</v>
      </c>
      <c r="X72" s="380">
        <f t="shared" si="72"/>
        <v>0.66666666666666663</v>
      </c>
      <c r="Y72" s="381"/>
      <c r="Z72" s="381"/>
      <c r="AA72" s="381"/>
      <c r="AB72" s="377"/>
      <c r="AC72" s="377"/>
      <c r="AD72" s="377"/>
      <c r="AE72" s="377">
        <v>6</v>
      </c>
      <c r="AF72" s="377">
        <v>7</v>
      </c>
      <c r="AG72" s="382">
        <f t="shared" si="73"/>
        <v>13</v>
      </c>
      <c r="AH72" s="381"/>
      <c r="AI72" s="383"/>
      <c r="AJ72" s="383"/>
      <c r="AK72" s="377"/>
      <c r="AL72" s="377"/>
      <c r="AM72" s="377"/>
      <c r="AN72" s="377">
        <v>5</v>
      </c>
      <c r="AO72" s="377">
        <v>7</v>
      </c>
      <c r="AP72" s="382">
        <f t="shared" si="74"/>
        <v>12</v>
      </c>
      <c r="AQ72" s="383">
        <f t="shared" si="75"/>
        <v>31</v>
      </c>
      <c r="AR72" s="383">
        <f t="shared" si="76"/>
        <v>35</v>
      </c>
      <c r="AS72" s="384">
        <v>31</v>
      </c>
      <c r="AT72" s="384">
        <v>35</v>
      </c>
      <c r="AU72" s="385">
        <f t="shared" si="62"/>
        <v>66</v>
      </c>
      <c r="AV72" s="380">
        <f t="shared" si="77"/>
        <v>0.75471698113207553</v>
      </c>
      <c r="AW72" s="380">
        <v>0.75</v>
      </c>
      <c r="AX72" s="380"/>
      <c r="AY72" s="380">
        <f t="shared" si="63"/>
        <v>0.49717514124293788</v>
      </c>
      <c r="AZ72" s="380">
        <f t="shared" si="64"/>
        <v>1.5151515151515152E-2</v>
      </c>
      <c r="BA72" s="386">
        <f t="shared" si="78"/>
        <v>53.333333333333336</v>
      </c>
      <c r="BB72" s="387">
        <f t="shared" si="65"/>
        <v>88</v>
      </c>
      <c r="BC72" s="403">
        <v>1</v>
      </c>
      <c r="BD72" s="388">
        <f t="shared" si="79"/>
        <v>1</v>
      </c>
      <c r="BE72" s="388"/>
      <c r="BF72" s="388"/>
      <c r="BG72" s="398">
        <v>12</v>
      </c>
      <c r="BH72" s="401">
        <f t="shared" si="80"/>
        <v>0</v>
      </c>
      <c r="BI72" s="401">
        <f t="shared" si="80"/>
        <v>0</v>
      </c>
      <c r="BJ72" s="390"/>
      <c r="BK72" s="390"/>
      <c r="BL72" s="377">
        <v>0</v>
      </c>
      <c r="BM72" s="377">
        <v>2</v>
      </c>
      <c r="BN72" s="377">
        <v>14</v>
      </c>
      <c r="BO72" s="377">
        <v>9</v>
      </c>
      <c r="BP72" s="377">
        <v>1</v>
      </c>
      <c r="BQ72" s="377">
        <v>3</v>
      </c>
      <c r="BR72" s="377">
        <v>1</v>
      </c>
      <c r="BS72" s="377">
        <v>1</v>
      </c>
      <c r="BT72" s="377">
        <v>2</v>
      </c>
      <c r="BU72" s="377">
        <v>2</v>
      </c>
      <c r="BV72" s="377">
        <v>2</v>
      </c>
      <c r="BW72" s="377">
        <v>2</v>
      </c>
      <c r="BX72" s="377">
        <v>0</v>
      </c>
      <c r="BY72" s="377">
        <v>1</v>
      </c>
      <c r="BZ72" s="383">
        <f t="shared" si="81"/>
        <v>20</v>
      </c>
      <c r="CA72" s="383">
        <f t="shared" si="82"/>
        <v>20</v>
      </c>
      <c r="CB72" s="384">
        <f t="shared" si="83"/>
        <v>40</v>
      </c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</row>
    <row r="73" spans="1:222" s="19" customFormat="1" ht="69.95" customHeight="1">
      <c r="A73" s="509"/>
      <c r="B73" s="392" t="str">
        <f t="shared" si="84"/>
        <v>CDG-LANDHI MEDICAL COMPLEX</v>
      </c>
      <c r="C73" s="392" t="str">
        <f t="shared" si="84"/>
        <v>LANDHI</v>
      </c>
      <c r="D73" s="392"/>
      <c r="E73" s="399">
        <f>E16</f>
        <v>200000</v>
      </c>
      <c r="F73" s="375">
        <f t="shared" si="67"/>
        <v>56.25</v>
      </c>
      <c r="G73" s="405">
        <v>25</v>
      </c>
      <c r="H73" s="377">
        <v>0</v>
      </c>
      <c r="I73" s="377">
        <v>0</v>
      </c>
      <c r="J73" s="378">
        <f t="shared" si="68"/>
        <v>0</v>
      </c>
      <c r="K73" s="377">
        <v>0</v>
      </c>
      <c r="L73" s="377">
        <v>0</v>
      </c>
      <c r="M73" s="378">
        <f t="shared" si="69"/>
        <v>0</v>
      </c>
      <c r="N73" s="377">
        <v>0</v>
      </c>
      <c r="O73" s="377">
        <v>0</v>
      </c>
      <c r="P73" s="378">
        <f t="shared" si="70"/>
        <v>0</v>
      </c>
      <c r="Q73" s="377">
        <v>0</v>
      </c>
      <c r="R73" s="377">
        <v>0</v>
      </c>
      <c r="S73" s="378">
        <f t="shared" si="60"/>
        <v>0</v>
      </c>
      <c r="T73" s="378"/>
      <c r="U73" s="378"/>
      <c r="V73" s="378">
        <f t="shared" si="61"/>
        <v>0</v>
      </c>
      <c r="W73" s="379">
        <f t="shared" si="71"/>
        <v>0</v>
      </c>
      <c r="X73" s="379">
        <f t="shared" si="72"/>
        <v>0</v>
      </c>
      <c r="Y73" s="382"/>
      <c r="Z73" s="382"/>
      <c r="AA73" s="382"/>
      <c r="AB73" s="394"/>
      <c r="AC73" s="394"/>
      <c r="AD73" s="394"/>
      <c r="AE73" s="394">
        <v>0</v>
      </c>
      <c r="AF73" s="394">
        <v>0</v>
      </c>
      <c r="AG73" s="382">
        <f t="shared" si="73"/>
        <v>0</v>
      </c>
      <c r="AH73" s="382"/>
      <c r="AI73" s="378"/>
      <c r="AJ73" s="378"/>
      <c r="AK73" s="394"/>
      <c r="AL73" s="394"/>
      <c r="AM73" s="394"/>
      <c r="AN73" s="377">
        <v>0</v>
      </c>
      <c r="AO73" s="377">
        <v>0</v>
      </c>
      <c r="AP73" s="382">
        <f t="shared" si="74"/>
        <v>0</v>
      </c>
      <c r="AQ73" s="383">
        <f t="shared" si="75"/>
        <v>0</v>
      </c>
      <c r="AR73" s="383">
        <f t="shared" si="76"/>
        <v>0</v>
      </c>
      <c r="AS73" s="384">
        <v>0</v>
      </c>
      <c r="AT73" s="384">
        <v>0</v>
      </c>
      <c r="AU73" s="385">
        <f t="shared" si="62"/>
        <v>0</v>
      </c>
      <c r="AV73" s="380" t="e">
        <f t="shared" si="77"/>
        <v>#DIV/0!</v>
      </c>
      <c r="AW73" s="379"/>
      <c r="AX73" s="379"/>
      <c r="AY73" s="379">
        <f t="shared" si="63"/>
        <v>0</v>
      </c>
      <c r="AZ73" s="379" t="e">
        <f t="shared" si="64"/>
        <v>#DIV/0!</v>
      </c>
      <c r="BA73" s="395">
        <f t="shared" si="78"/>
        <v>0</v>
      </c>
      <c r="BB73" s="396">
        <f t="shared" si="65"/>
        <v>0</v>
      </c>
      <c r="BC73" s="397">
        <v>0</v>
      </c>
      <c r="BD73" s="388">
        <f t="shared" si="79"/>
        <v>0</v>
      </c>
      <c r="BE73" s="388"/>
      <c r="BF73" s="388"/>
      <c r="BG73" s="389">
        <v>13</v>
      </c>
      <c r="BH73" s="392">
        <f t="shared" si="80"/>
        <v>0</v>
      </c>
      <c r="BI73" s="392">
        <f t="shared" si="80"/>
        <v>0</v>
      </c>
      <c r="BJ73" s="390"/>
      <c r="BK73" s="390"/>
      <c r="BL73" s="394"/>
      <c r="BM73" s="394"/>
      <c r="BN73" s="394"/>
      <c r="BO73" s="394"/>
      <c r="BP73" s="394"/>
      <c r="BQ73" s="394"/>
      <c r="BR73" s="394"/>
      <c r="BS73" s="394"/>
      <c r="BT73" s="394"/>
      <c r="BU73" s="394"/>
      <c r="BV73" s="394"/>
      <c r="BW73" s="394"/>
      <c r="BX73" s="394"/>
      <c r="BY73" s="377">
        <v>0</v>
      </c>
      <c r="BZ73" s="378">
        <f t="shared" si="81"/>
        <v>0</v>
      </c>
      <c r="CA73" s="378">
        <f t="shared" si="82"/>
        <v>0</v>
      </c>
      <c r="CB73" s="385">
        <f t="shared" si="83"/>
        <v>0</v>
      </c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</row>
    <row r="74" spans="1:222" s="19" customFormat="1" ht="69.95" customHeight="1">
      <c r="A74" s="391">
        <v>12</v>
      </c>
      <c r="B74" s="401" t="str">
        <f t="shared" si="84"/>
        <v xml:space="preserve">CDG-UHC LAUNDHI </v>
      </c>
      <c r="C74" s="401" t="str">
        <f t="shared" si="84"/>
        <v>LANDHI</v>
      </c>
      <c r="D74" s="401"/>
      <c r="E74" s="402">
        <f>E17</f>
        <v>450000</v>
      </c>
      <c r="F74" s="375">
        <f t="shared" si="67"/>
        <v>67.5</v>
      </c>
      <c r="G74" s="400">
        <v>30</v>
      </c>
      <c r="H74" s="377">
        <v>8</v>
      </c>
      <c r="I74" s="377">
        <v>10</v>
      </c>
      <c r="J74" s="378">
        <f t="shared" si="68"/>
        <v>18</v>
      </c>
      <c r="K74" s="377">
        <v>0</v>
      </c>
      <c r="L74" s="377">
        <v>3</v>
      </c>
      <c r="M74" s="378">
        <f t="shared" si="69"/>
        <v>3</v>
      </c>
      <c r="N74" s="377">
        <v>0</v>
      </c>
      <c r="O74" s="377">
        <v>0</v>
      </c>
      <c r="P74" s="378">
        <f t="shared" si="70"/>
        <v>0</v>
      </c>
      <c r="Q74" s="377">
        <v>0</v>
      </c>
      <c r="R74" s="377">
        <v>0</v>
      </c>
      <c r="S74" s="378">
        <f t="shared" si="60"/>
        <v>0</v>
      </c>
      <c r="T74" s="378"/>
      <c r="U74" s="378"/>
      <c r="V74" s="378">
        <f t="shared" si="61"/>
        <v>0</v>
      </c>
      <c r="W74" s="379">
        <f t="shared" si="71"/>
        <v>0.6</v>
      </c>
      <c r="X74" s="380">
        <f t="shared" si="72"/>
        <v>0.2</v>
      </c>
      <c r="Y74" s="381"/>
      <c r="Z74" s="381"/>
      <c r="AA74" s="381"/>
      <c r="AB74" s="377"/>
      <c r="AC74" s="377"/>
      <c r="AD74" s="377"/>
      <c r="AE74" s="377">
        <v>3</v>
      </c>
      <c r="AF74" s="377">
        <v>4</v>
      </c>
      <c r="AG74" s="382">
        <f t="shared" si="73"/>
        <v>7</v>
      </c>
      <c r="AH74" s="381"/>
      <c r="AI74" s="383"/>
      <c r="AJ74" s="383"/>
      <c r="AK74" s="377"/>
      <c r="AL74" s="377"/>
      <c r="AM74" s="377"/>
      <c r="AN74" s="377">
        <v>2</v>
      </c>
      <c r="AO74" s="377">
        <v>6</v>
      </c>
      <c r="AP74" s="382">
        <f t="shared" si="74"/>
        <v>8</v>
      </c>
      <c r="AQ74" s="383">
        <f t="shared" si="75"/>
        <v>13</v>
      </c>
      <c r="AR74" s="383">
        <f t="shared" si="76"/>
        <v>23</v>
      </c>
      <c r="AS74" s="384">
        <v>13</v>
      </c>
      <c r="AT74" s="384">
        <v>23</v>
      </c>
      <c r="AU74" s="385">
        <f t="shared" si="62"/>
        <v>36</v>
      </c>
      <c r="AV74" s="380">
        <f t="shared" si="77"/>
        <v>0.72</v>
      </c>
      <c r="AW74" s="380">
        <v>0.72</v>
      </c>
      <c r="AX74" s="380"/>
      <c r="AY74" s="380">
        <f t="shared" si="63"/>
        <v>0.1807909604519774</v>
      </c>
      <c r="AZ74" s="380">
        <f t="shared" si="64"/>
        <v>8.3333333333333329E-2</v>
      </c>
      <c r="BA74" s="386">
        <f t="shared" si="78"/>
        <v>16</v>
      </c>
      <c r="BB74" s="387">
        <f t="shared" si="65"/>
        <v>32</v>
      </c>
      <c r="BC74" s="403">
        <v>3</v>
      </c>
      <c r="BD74" s="388">
        <f t="shared" si="79"/>
        <v>3</v>
      </c>
      <c r="BE74" s="388"/>
      <c r="BF74" s="388"/>
      <c r="BG74" s="398">
        <v>14</v>
      </c>
      <c r="BH74" s="401">
        <f t="shared" si="80"/>
        <v>0</v>
      </c>
      <c r="BI74" s="401">
        <f t="shared" si="80"/>
        <v>0</v>
      </c>
      <c r="BJ74" s="390"/>
      <c r="BK74" s="390"/>
      <c r="BL74" s="377">
        <v>1</v>
      </c>
      <c r="BM74" s="377">
        <v>0</v>
      </c>
      <c r="BN74" s="377">
        <v>1</v>
      </c>
      <c r="BO74" s="377">
        <v>8</v>
      </c>
      <c r="BP74" s="377">
        <v>1</v>
      </c>
      <c r="BQ74" s="377">
        <v>2</v>
      </c>
      <c r="BR74" s="377">
        <v>4</v>
      </c>
      <c r="BS74" s="377">
        <v>0</v>
      </c>
      <c r="BT74" s="377">
        <v>1</v>
      </c>
      <c r="BU74" s="377">
        <v>0</v>
      </c>
      <c r="BV74" s="377">
        <v>0</v>
      </c>
      <c r="BW74" s="377">
        <v>0</v>
      </c>
      <c r="BX74" s="377">
        <v>0</v>
      </c>
      <c r="BY74" s="377">
        <v>0</v>
      </c>
      <c r="BZ74" s="383">
        <f t="shared" si="81"/>
        <v>8</v>
      </c>
      <c r="CA74" s="383">
        <f t="shared" si="82"/>
        <v>10</v>
      </c>
      <c r="CB74" s="384">
        <f t="shared" si="83"/>
        <v>18</v>
      </c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</row>
    <row r="75" spans="1:222" s="19" customFormat="1" ht="69.95" customHeight="1">
      <c r="A75" s="372">
        <v>13</v>
      </c>
      <c r="B75" s="392" t="str">
        <f t="shared" si="84"/>
        <v>CDG-GHAZI QAYUM DISPENSARY</v>
      </c>
      <c r="C75" s="392" t="str">
        <f t="shared" si="84"/>
        <v>LYARI</v>
      </c>
      <c r="D75" s="392"/>
      <c r="E75" s="399">
        <v>200000</v>
      </c>
      <c r="F75" s="375">
        <f t="shared" si="67"/>
        <v>56.25</v>
      </c>
      <c r="G75" s="400">
        <v>25</v>
      </c>
      <c r="H75" s="377">
        <v>4</v>
      </c>
      <c r="I75" s="377">
        <v>3</v>
      </c>
      <c r="J75" s="378">
        <f t="shared" si="68"/>
        <v>7</v>
      </c>
      <c r="K75" s="377">
        <v>0</v>
      </c>
      <c r="L75" s="377">
        <v>0</v>
      </c>
      <c r="M75" s="378">
        <f t="shared" si="69"/>
        <v>0</v>
      </c>
      <c r="N75" s="377">
        <v>0</v>
      </c>
      <c r="O75" s="377">
        <v>0</v>
      </c>
      <c r="P75" s="378">
        <f t="shared" si="70"/>
        <v>0</v>
      </c>
      <c r="Q75" s="377">
        <v>0</v>
      </c>
      <c r="R75" s="377">
        <v>0</v>
      </c>
      <c r="S75" s="378">
        <f t="shared" si="60"/>
        <v>0</v>
      </c>
      <c r="T75" s="378"/>
      <c r="U75" s="378"/>
      <c r="V75" s="378">
        <f t="shared" si="61"/>
        <v>0</v>
      </c>
      <c r="W75" s="379">
        <f t="shared" si="71"/>
        <v>0.28000000000000003</v>
      </c>
      <c r="X75" s="379">
        <f t="shared" si="72"/>
        <v>0.17499999999999999</v>
      </c>
      <c r="Y75" s="382"/>
      <c r="Z75" s="382"/>
      <c r="AA75" s="382"/>
      <c r="AB75" s="394"/>
      <c r="AC75" s="394"/>
      <c r="AD75" s="394"/>
      <c r="AE75" s="394">
        <v>2</v>
      </c>
      <c r="AF75" s="394">
        <v>5</v>
      </c>
      <c r="AG75" s="382">
        <f t="shared" si="73"/>
        <v>7</v>
      </c>
      <c r="AH75" s="382"/>
      <c r="AI75" s="378"/>
      <c r="AJ75" s="378"/>
      <c r="AK75" s="394"/>
      <c r="AL75" s="394"/>
      <c r="AM75" s="394"/>
      <c r="AN75" s="377">
        <v>1</v>
      </c>
      <c r="AO75" s="377">
        <v>3</v>
      </c>
      <c r="AP75" s="382">
        <f t="shared" si="74"/>
        <v>4</v>
      </c>
      <c r="AQ75" s="383">
        <f t="shared" si="75"/>
        <v>7</v>
      </c>
      <c r="AR75" s="383">
        <f t="shared" si="76"/>
        <v>11</v>
      </c>
      <c r="AS75" s="384">
        <v>7</v>
      </c>
      <c r="AT75" s="384">
        <v>11</v>
      </c>
      <c r="AU75" s="385">
        <f t="shared" si="62"/>
        <v>18</v>
      </c>
      <c r="AV75" s="380">
        <f t="shared" si="77"/>
        <v>0.5</v>
      </c>
      <c r="AW75" s="379">
        <v>0.5</v>
      </c>
      <c r="AX75" s="379"/>
      <c r="AY75" s="379">
        <f t="shared" si="63"/>
        <v>0.20338983050847459</v>
      </c>
      <c r="AZ75" s="379">
        <f t="shared" si="64"/>
        <v>0</v>
      </c>
      <c r="BA75" s="395">
        <f t="shared" si="78"/>
        <v>13.999999999999998</v>
      </c>
      <c r="BB75" s="396">
        <f t="shared" si="65"/>
        <v>36</v>
      </c>
      <c r="BC75" s="397">
        <v>0</v>
      </c>
      <c r="BD75" s="388">
        <f t="shared" si="79"/>
        <v>0</v>
      </c>
      <c r="BE75" s="388"/>
      <c r="BF75" s="388"/>
      <c r="BG75" s="389">
        <v>15</v>
      </c>
      <c r="BH75" s="392">
        <f t="shared" si="80"/>
        <v>0</v>
      </c>
      <c r="BI75" s="392">
        <f t="shared" si="80"/>
        <v>0</v>
      </c>
      <c r="BJ75" s="390"/>
      <c r="BK75" s="390"/>
      <c r="BL75" s="394">
        <v>0</v>
      </c>
      <c r="BM75" s="377">
        <v>0</v>
      </c>
      <c r="BN75" s="377">
        <v>2</v>
      </c>
      <c r="BO75" s="377">
        <v>0</v>
      </c>
      <c r="BP75" s="377">
        <v>1</v>
      </c>
      <c r="BQ75" s="377">
        <v>0</v>
      </c>
      <c r="BR75" s="377">
        <v>0</v>
      </c>
      <c r="BS75" s="377">
        <v>2</v>
      </c>
      <c r="BT75" s="377">
        <v>1</v>
      </c>
      <c r="BU75" s="377">
        <v>1</v>
      </c>
      <c r="BV75" s="377">
        <v>0</v>
      </c>
      <c r="BW75" s="377">
        <v>0</v>
      </c>
      <c r="BX75" s="377">
        <v>0</v>
      </c>
      <c r="BY75" s="377">
        <v>0</v>
      </c>
      <c r="BZ75" s="378">
        <f t="shared" si="81"/>
        <v>4</v>
      </c>
      <c r="CA75" s="378">
        <f t="shared" si="82"/>
        <v>3</v>
      </c>
      <c r="CB75" s="385">
        <f t="shared" si="83"/>
        <v>7</v>
      </c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</row>
    <row r="76" spans="1:222" s="19" customFormat="1" ht="69.95" customHeight="1">
      <c r="A76" s="391"/>
      <c r="B76" s="401" t="str">
        <f t="shared" si="84"/>
        <v xml:space="preserve">CDG-MCH CENTER </v>
      </c>
      <c r="C76" s="401" t="str">
        <f t="shared" si="84"/>
        <v>NORTH KARACHI</v>
      </c>
      <c r="D76" s="401"/>
      <c r="E76" s="402">
        <v>100000</v>
      </c>
      <c r="F76" s="375">
        <f t="shared" si="67"/>
        <v>22.5</v>
      </c>
      <c r="G76" s="400">
        <v>10</v>
      </c>
      <c r="H76" s="377">
        <v>2</v>
      </c>
      <c r="I76" s="377">
        <v>2</v>
      </c>
      <c r="J76" s="378">
        <f t="shared" si="68"/>
        <v>4</v>
      </c>
      <c r="K76" s="377">
        <v>0</v>
      </c>
      <c r="L76" s="377">
        <v>2</v>
      </c>
      <c r="M76" s="378">
        <f t="shared" si="69"/>
        <v>2</v>
      </c>
      <c r="N76" s="377">
        <v>0</v>
      </c>
      <c r="O76" s="377">
        <v>0</v>
      </c>
      <c r="P76" s="378">
        <f t="shared" si="70"/>
        <v>0</v>
      </c>
      <c r="Q76" s="377">
        <v>0</v>
      </c>
      <c r="R76" s="377">
        <v>0</v>
      </c>
      <c r="S76" s="378">
        <f t="shared" si="60"/>
        <v>0</v>
      </c>
      <c r="T76" s="378"/>
      <c r="U76" s="378"/>
      <c r="V76" s="378">
        <f t="shared" si="61"/>
        <v>0</v>
      </c>
      <c r="W76" s="379">
        <f t="shared" si="71"/>
        <v>0.4</v>
      </c>
      <c r="X76" s="380">
        <f t="shared" si="72"/>
        <v>0.2</v>
      </c>
      <c r="Y76" s="381"/>
      <c r="Z76" s="381"/>
      <c r="AA76" s="381"/>
      <c r="AB76" s="377"/>
      <c r="AC76" s="377"/>
      <c r="AD76" s="377"/>
      <c r="AE76" s="394">
        <v>1</v>
      </c>
      <c r="AF76" s="394">
        <v>0</v>
      </c>
      <c r="AG76" s="382">
        <f t="shared" si="73"/>
        <v>1</v>
      </c>
      <c r="AH76" s="381"/>
      <c r="AI76" s="383"/>
      <c r="AJ76" s="383"/>
      <c r="AK76" s="377"/>
      <c r="AL76" s="377"/>
      <c r="AM76" s="377"/>
      <c r="AN76" s="377">
        <v>0</v>
      </c>
      <c r="AO76" s="377">
        <v>0</v>
      </c>
      <c r="AP76" s="382">
        <f t="shared" si="74"/>
        <v>0</v>
      </c>
      <c r="AQ76" s="383">
        <f t="shared" si="75"/>
        <v>3</v>
      </c>
      <c r="AR76" s="383">
        <f t="shared" si="76"/>
        <v>4</v>
      </c>
      <c r="AS76" s="384">
        <v>3</v>
      </c>
      <c r="AT76" s="384">
        <v>4</v>
      </c>
      <c r="AU76" s="385">
        <f t="shared" si="62"/>
        <v>7</v>
      </c>
      <c r="AV76" s="380">
        <f t="shared" si="77"/>
        <v>0.8</v>
      </c>
      <c r="AW76" s="380">
        <v>0.8</v>
      </c>
      <c r="AX76" s="380"/>
      <c r="AY76" s="380">
        <f t="shared" si="63"/>
        <v>0.15819209039548024</v>
      </c>
      <c r="AZ76" s="380">
        <f t="shared" si="64"/>
        <v>0.2857142857142857</v>
      </c>
      <c r="BA76" s="386">
        <f t="shared" si="78"/>
        <v>16</v>
      </c>
      <c r="BB76" s="387">
        <f t="shared" si="65"/>
        <v>27.999999999999996</v>
      </c>
      <c r="BC76" s="403">
        <v>2</v>
      </c>
      <c r="BD76" s="388">
        <f t="shared" si="79"/>
        <v>2</v>
      </c>
      <c r="BE76" s="388"/>
      <c r="BF76" s="388"/>
      <c r="BG76" s="398">
        <v>16</v>
      </c>
      <c r="BH76" s="401">
        <f t="shared" si="80"/>
        <v>0</v>
      </c>
      <c r="BI76" s="401">
        <f t="shared" si="80"/>
        <v>0</v>
      </c>
      <c r="BJ76" s="390"/>
      <c r="BK76" s="390"/>
      <c r="BL76" s="377">
        <v>0</v>
      </c>
      <c r="BM76" s="377">
        <v>0</v>
      </c>
      <c r="BN76" s="377">
        <v>0</v>
      </c>
      <c r="BO76" s="377">
        <v>2</v>
      </c>
      <c r="BP76" s="377">
        <v>1</v>
      </c>
      <c r="BQ76" s="377">
        <v>0</v>
      </c>
      <c r="BR76" s="377">
        <v>0</v>
      </c>
      <c r="BS76" s="377">
        <v>0</v>
      </c>
      <c r="BT76" s="377">
        <v>1</v>
      </c>
      <c r="BU76" s="377">
        <v>0</v>
      </c>
      <c r="BV76" s="377">
        <v>0</v>
      </c>
      <c r="BW76" s="377">
        <v>0</v>
      </c>
      <c r="BX76" s="377">
        <v>0</v>
      </c>
      <c r="BY76" s="377">
        <v>0</v>
      </c>
      <c r="BZ76" s="383">
        <f t="shared" si="81"/>
        <v>2</v>
      </c>
      <c r="CA76" s="383">
        <f t="shared" si="82"/>
        <v>2</v>
      </c>
      <c r="CB76" s="384">
        <f t="shared" si="83"/>
        <v>4</v>
      </c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</row>
    <row r="77" spans="1:222" s="19" customFormat="1" ht="90" customHeight="1">
      <c r="A77" s="372">
        <v>14</v>
      </c>
      <c r="B77" s="392" t="str">
        <f t="shared" si="84"/>
        <v>CDG-N. BHUTTO COLONY DISPENSARY</v>
      </c>
      <c r="C77" s="392" t="str">
        <f t="shared" si="84"/>
        <v>NORTH NAZIMABAD</v>
      </c>
      <c r="D77" s="392"/>
      <c r="E77" s="399">
        <f>E20</f>
        <v>580000</v>
      </c>
      <c r="F77" s="375">
        <f t="shared" si="67"/>
        <v>67.5</v>
      </c>
      <c r="G77" s="400">
        <v>30</v>
      </c>
      <c r="H77" s="377">
        <v>0</v>
      </c>
      <c r="I77" s="377">
        <v>8</v>
      </c>
      <c r="J77" s="378">
        <f t="shared" si="68"/>
        <v>8</v>
      </c>
      <c r="K77" s="377">
        <v>1</v>
      </c>
      <c r="L77" s="377">
        <v>1</v>
      </c>
      <c r="M77" s="378">
        <f t="shared" si="69"/>
        <v>2</v>
      </c>
      <c r="N77" s="377">
        <v>0</v>
      </c>
      <c r="O77" s="377">
        <v>0</v>
      </c>
      <c r="P77" s="378">
        <f t="shared" si="70"/>
        <v>0</v>
      </c>
      <c r="Q77" s="377">
        <v>0</v>
      </c>
      <c r="R77" s="377">
        <v>0</v>
      </c>
      <c r="S77" s="378">
        <f t="shared" si="60"/>
        <v>0</v>
      </c>
      <c r="T77" s="378"/>
      <c r="U77" s="378"/>
      <c r="V77" s="378">
        <f t="shared" si="61"/>
        <v>0</v>
      </c>
      <c r="W77" s="379">
        <f t="shared" si="71"/>
        <v>0.26666666666666666</v>
      </c>
      <c r="X77" s="379">
        <f t="shared" si="72"/>
        <v>6.8965517241379309E-2</v>
      </c>
      <c r="Y77" s="382"/>
      <c r="Z77" s="382"/>
      <c r="AA77" s="382"/>
      <c r="AB77" s="394"/>
      <c r="AC77" s="394"/>
      <c r="AD77" s="394"/>
      <c r="AE77" s="394">
        <v>1</v>
      </c>
      <c r="AF77" s="394">
        <v>5</v>
      </c>
      <c r="AG77" s="382">
        <f t="shared" si="73"/>
        <v>6</v>
      </c>
      <c r="AH77" s="382"/>
      <c r="AI77" s="378"/>
      <c r="AJ77" s="378"/>
      <c r="AK77" s="394"/>
      <c r="AL77" s="394"/>
      <c r="AM77" s="394"/>
      <c r="AN77" s="377">
        <v>1</v>
      </c>
      <c r="AO77" s="377">
        <v>0</v>
      </c>
      <c r="AP77" s="382">
        <f t="shared" si="74"/>
        <v>1</v>
      </c>
      <c r="AQ77" s="383">
        <f t="shared" si="75"/>
        <v>3</v>
      </c>
      <c r="AR77" s="383">
        <f t="shared" si="76"/>
        <v>14</v>
      </c>
      <c r="AS77" s="384">
        <v>3</v>
      </c>
      <c r="AT77" s="384">
        <v>14</v>
      </c>
      <c r="AU77" s="385">
        <f t="shared" si="62"/>
        <v>17</v>
      </c>
      <c r="AV77" s="380">
        <f t="shared" si="77"/>
        <v>0.5714285714285714</v>
      </c>
      <c r="AW77" s="379">
        <v>0.56999999999999995</v>
      </c>
      <c r="AX77" s="379"/>
      <c r="AY77" s="379">
        <f t="shared" si="63"/>
        <v>6.6238067406974466E-2</v>
      </c>
      <c r="AZ77" s="379">
        <f t="shared" si="64"/>
        <v>0.11764705882352941</v>
      </c>
      <c r="BA77" s="395">
        <f t="shared" si="78"/>
        <v>5.5172413793103443</v>
      </c>
      <c r="BB77" s="396">
        <f t="shared" si="65"/>
        <v>11.724137931034482</v>
      </c>
      <c r="BC77" s="397">
        <v>2</v>
      </c>
      <c r="BD77" s="388">
        <f t="shared" si="79"/>
        <v>2</v>
      </c>
      <c r="BE77" s="388"/>
      <c r="BF77" s="388"/>
      <c r="BG77" s="389">
        <v>17</v>
      </c>
      <c r="BH77" s="392">
        <f t="shared" si="80"/>
        <v>0</v>
      </c>
      <c r="BI77" s="392">
        <f t="shared" si="80"/>
        <v>0</v>
      </c>
      <c r="BJ77" s="390"/>
      <c r="BK77" s="390"/>
      <c r="BL77" s="394">
        <v>0</v>
      </c>
      <c r="BM77" s="377">
        <v>2</v>
      </c>
      <c r="BN77" s="377">
        <v>0</v>
      </c>
      <c r="BO77" s="377">
        <v>1</v>
      </c>
      <c r="BP77" s="377">
        <v>0</v>
      </c>
      <c r="BQ77" s="377">
        <v>1</v>
      </c>
      <c r="BR77" s="377">
        <v>0</v>
      </c>
      <c r="BS77" s="377">
        <v>0</v>
      </c>
      <c r="BT77" s="377">
        <v>0</v>
      </c>
      <c r="BU77" s="377">
        <v>0</v>
      </c>
      <c r="BV77" s="377">
        <v>0</v>
      </c>
      <c r="BW77" s="377">
        <v>3</v>
      </c>
      <c r="BX77" s="377">
        <v>0</v>
      </c>
      <c r="BY77" s="377">
        <v>1</v>
      </c>
      <c r="BZ77" s="378">
        <f t="shared" si="81"/>
        <v>0</v>
      </c>
      <c r="CA77" s="378">
        <f t="shared" si="82"/>
        <v>8</v>
      </c>
      <c r="CB77" s="385">
        <f t="shared" si="83"/>
        <v>8</v>
      </c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</row>
    <row r="78" spans="1:222" s="19" customFormat="1" ht="69.95" customHeight="1">
      <c r="A78" s="391">
        <v>15</v>
      </c>
      <c r="B78" s="401" t="str">
        <f t="shared" ref="B78:E81" si="85">B21</f>
        <v xml:space="preserve">CDG-STAFF CLINIC </v>
      </c>
      <c r="C78" s="401" t="str">
        <f t="shared" si="85"/>
        <v>SADDAR</v>
      </c>
      <c r="D78" s="401"/>
      <c r="E78" s="402">
        <f t="shared" si="85"/>
        <v>100000</v>
      </c>
      <c r="F78" s="375">
        <f t="shared" si="67"/>
        <v>56.25</v>
      </c>
      <c r="G78" s="400">
        <v>25</v>
      </c>
      <c r="H78" s="377">
        <v>2</v>
      </c>
      <c r="I78" s="377">
        <v>2</v>
      </c>
      <c r="J78" s="378">
        <f t="shared" si="68"/>
        <v>4</v>
      </c>
      <c r="K78" s="377">
        <v>0</v>
      </c>
      <c r="L78" s="377">
        <v>1</v>
      </c>
      <c r="M78" s="378">
        <f t="shared" si="69"/>
        <v>1</v>
      </c>
      <c r="N78" s="377">
        <v>0</v>
      </c>
      <c r="O78" s="377">
        <v>0</v>
      </c>
      <c r="P78" s="378">
        <f t="shared" si="70"/>
        <v>0</v>
      </c>
      <c r="Q78" s="377">
        <v>0</v>
      </c>
      <c r="R78" s="377">
        <v>0</v>
      </c>
      <c r="S78" s="378">
        <f t="shared" si="60"/>
        <v>0</v>
      </c>
      <c r="T78" s="378"/>
      <c r="U78" s="378"/>
      <c r="V78" s="378">
        <f t="shared" si="61"/>
        <v>0</v>
      </c>
      <c r="W78" s="379">
        <f t="shared" si="71"/>
        <v>0.16</v>
      </c>
      <c r="X78" s="380">
        <f t="shared" si="72"/>
        <v>0.2</v>
      </c>
      <c r="Y78" s="381"/>
      <c r="Z78" s="381"/>
      <c r="AA78" s="381"/>
      <c r="AB78" s="377"/>
      <c r="AC78" s="377"/>
      <c r="AD78" s="377"/>
      <c r="AE78" s="394">
        <v>2</v>
      </c>
      <c r="AF78" s="394">
        <v>1</v>
      </c>
      <c r="AG78" s="382">
        <f t="shared" si="73"/>
        <v>3</v>
      </c>
      <c r="AH78" s="381"/>
      <c r="AI78" s="383"/>
      <c r="AJ78" s="383"/>
      <c r="AK78" s="377"/>
      <c r="AL78" s="377"/>
      <c r="AM78" s="377"/>
      <c r="AN78" s="377">
        <v>1</v>
      </c>
      <c r="AO78" s="377">
        <v>1</v>
      </c>
      <c r="AP78" s="382">
        <f t="shared" si="74"/>
        <v>2</v>
      </c>
      <c r="AQ78" s="383">
        <f t="shared" si="75"/>
        <v>5</v>
      </c>
      <c r="AR78" s="383">
        <f t="shared" si="76"/>
        <v>5</v>
      </c>
      <c r="AS78" s="384">
        <v>5</v>
      </c>
      <c r="AT78" s="384">
        <v>5</v>
      </c>
      <c r="AU78" s="385">
        <f t="shared" si="62"/>
        <v>10</v>
      </c>
      <c r="AV78" s="380">
        <f t="shared" si="77"/>
        <v>0.5714285714285714</v>
      </c>
      <c r="AW78" s="380">
        <v>0.56999999999999995</v>
      </c>
      <c r="AX78" s="380"/>
      <c r="AY78" s="380">
        <f t="shared" si="63"/>
        <v>0.22598870056497175</v>
      </c>
      <c r="AZ78" s="380">
        <f t="shared" si="64"/>
        <v>0.1</v>
      </c>
      <c r="BA78" s="386">
        <f t="shared" si="78"/>
        <v>16</v>
      </c>
      <c r="BB78" s="387">
        <f t="shared" si="65"/>
        <v>40</v>
      </c>
      <c r="BC78" s="403">
        <v>1</v>
      </c>
      <c r="BD78" s="388">
        <f t="shared" si="79"/>
        <v>1</v>
      </c>
      <c r="BE78" s="388"/>
      <c r="BF78" s="388"/>
      <c r="BG78" s="398">
        <v>18</v>
      </c>
      <c r="BH78" s="401">
        <f t="shared" ref="BH78:BI82" si="86">BH136</f>
        <v>0</v>
      </c>
      <c r="BI78" s="401">
        <f t="shared" si="86"/>
        <v>0</v>
      </c>
      <c r="BJ78" s="390"/>
      <c r="BK78" s="390"/>
      <c r="BL78" s="377">
        <v>0</v>
      </c>
      <c r="BM78" s="377">
        <v>0</v>
      </c>
      <c r="BN78" s="377">
        <v>1</v>
      </c>
      <c r="BO78" s="377">
        <v>0</v>
      </c>
      <c r="BP78" s="377">
        <v>0</v>
      </c>
      <c r="BQ78" s="377">
        <v>1</v>
      </c>
      <c r="BR78" s="377">
        <v>0</v>
      </c>
      <c r="BS78" s="377">
        <v>1</v>
      </c>
      <c r="BT78" s="377">
        <v>0</v>
      </c>
      <c r="BU78" s="377">
        <v>0</v>
      </c>
      <c r="BV78" s="377">
        <v>0</v>
      </c>
      <c r="BW78" s="377">
        <v>0</v>
      </c>
      <c r="BX78" s="377">
        <v>1</v>
      </c>
      <c r="BY78" s="377">
        <v>0</v>
      </c>
      <c r="BZ78" s="383">
        <f t="shared" si="81"/>
        <v>2</v>
      </c>
      <c r="CA78" s="383">
        <f t="shared" si="82"/>
        <v>2</v>
      </c>
      <c r="CB78" s="384">
        <f t="shared" si="83"/>
        <v>4</v>
      </c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</row>
    <row r="79" spans="1:222" s="19" customFormat="1" ht="69.95" customHeight="1">
      <c r="A79" s="372">
        <v>16</v>
      </c>
      <c r="B79" s="392" t="str">
        <f t="shared" si="85"/>
        <v xml:space="preserve">CDG-SGD SHAH FAISAL </v>
      </c>
      <c r="C79" s="392" t="str">
        <f t="shared" si="85"/>
        <v>SHAH FAISAL</v>
      </c>
      <c r="D79" s="392"/>
      <c r="E79" s="399">
        <f t="shared" si="85"/>
        <v>200000</v>
      </c>
      <c r="F79" s="375">
        <f t="shared" si="67"/>
        <v>56.25</v>
      </c>
      <c r="G79" s="400">
        <v>25</v>
      </c>
      <c r="H79" s="377">
        <v>0</v>
      </c>
      <c r="I79" s="377">
        <v>0</v>
      </c>
      <c r="J79" s="378">
        <f t="shared" si="68"/>
        <v>0</v>
      </c>
      <c r="K79" s="377">
        <v>0</v>
      </c>
      <c r="L79" s="377">
        <v>0</v>
      </c>
      <c r="M79" s="378">
        <f t="shared" si="69"/>
        <v>0</v>
      </c>
      <c r="N79" s="377">
        <v>0</v>
      </c>
      <c r="O79" s="377">
        <v>0</v>
      </c>
      <c r="P79" s="378">
        <f t="shared" si="70"/>
        <v>0</v>
      </c>
      <c r="Q79" s="377">
        <v>0</v>
      </c>
      <c r="R79" s="377">
        <v>0</v>
      </c>
      <c r="S79" s="378">
        <f t="shared" si="60"/>
        <v>0</v>
      </c>
      <c r="T79" s="378"/>
      <c r="U79" s="378"/>
      <c r="V79" s="378">
        <f t="shared" si="61"/>
        <v>0</v>
      </c>
      <c r="W79" s="379">
        <f t="shared" si="71"/>
        <v>0</v>
      </c>
      <c r="X79" s="379">
        <f t="shared" si="72"/>
        <v>0</v>
      </c>
      <c r="Y79" s="382"/>
      <c r="Z79" s="382"/>
      <c r="AA79" s="382"/>
      <c r="AB79" s="394"/>
      <c r="AC79" s="394"/>
      <c r="AD79" s="394"/>
      <c r="AE79" s="394">
        <v>1</v>
      </c>
      <c r="AF79" s="394">
        <v>1</v>
      </c>
      <c r="AG79" s="382">
        <f t="shared" si="73"/>
        <v>2</v>
      </c>
      <c r="AH79" s="382"/>
      <c r="AI79" s="378"/>
      <c r="AJ79" s="378"/>
      <c r="AK79" s="394"/>
      <c r="AL79" s="394"/>
      <c r="AM79" s="394"/>
      <c r="AN79" s="377">
        <v>0</v>
      </c>
      <c r="AO79" s="377">
        <v>0</v>
      </c>
      <c r="AP79" s="382">
        <f t="shared" si="74"/>
        <v>0</v>
      </c>
      <c r="AQ79" s="383">
        <f t="shared" si="75"/>
        <v>1</v>
      </c>
      <c r="AR79" s="383">
        <f t="shared" si="76"/>
        <v>1</v>
      </c>
      <c r="AS79" s="384">
        <v>1</v>
      </c>
      <c r="AT79" s="384">
        <v>1</v>
      </c>
      <c r="AU79" s="385">
        <f t="shared" si="62"/>
        <v>2</v>
      </c>
      <c r="AV79" s="380">
        <f t="shared" si="77"/>
        <v>0</v>
      </c>
      <c r="AW79" s="379">
        <v>0</v>
      </c>
      <c r="AX79" s="379"/>
      <c r="AY79" s="379">
        <f t="shared" si="63"/>
        <v>2.2598870056497175E-2</v>
      </c>
      <c r="AZ79" s="379">
        <f t="shared" si="64"/>
        <v>0</v>
      </c>
      <c r="BA79" s="395">
        <f t="shared" si="78"/>
        <v>0</v>
      </c>
      <c r="BB79" s="396">
        <f t="shared" si="65"/>
        <v>4</v>
      </c>
      <c r="BC79" s="397">
        <v>0</v>
      </c>
      <c r="BD79" s="388">
        <f t="shared" si="79"/>
        <v>0</v>
      </c>
      <c r="BE79" s="388"/>
      <c r="BF79" s="388"/>
      <c r="BG79" s="389">
        <v>19</v>
      </c>
      <c r="BH79" s="392">
        <f t="shared" si="86"/>
        <v>0</v>
      </c>
      <c r="BI79" s="392">
        <f t="shared" si="86"/>
        <v>0</v>
      </c>
      <c r="BJ79" s="390"/>
      <c r="BK79" s="390"/>
      <c r="BL79" s="394"/>
      <c r="BM79" s="377">
        <v>0</v>
      </c>
      <c r="BN79" s="377">
        <v>0</v>
      </c>
      <c r="BO79" s="377">
        <v>0</v>
      </c>
      <c r="BP79" s="377">
        <v>0</v>
      </c>
      <c r="BQ79" s="377">
        <v>0</v>
      </c>
      <c r="BR79" s="377">
        <v>0</v>
      </c>
      <c r="BS79" s="377">
        <v>0</v>
      </c>
      <c r="BT79" s="377">
        <v>0</v>
      </c>
      <c r="BU79" s="377">
        <v>0</v>
      </c>
      <c r="BV79" s="377">
        <v>0</v>
      </c>
      <c r="BW79" s="377">
        <v>0</v>
      </c>
      <c r="BX79" s="377">
        <v>0</v>
      </c>
      <c r="BY79" s="377">
        <v>0</v>
      </c>
      <c r="BZ79" s="378">
        <f t="shared" si="81"/>
        <v>0</v>
      </c>
      <c r="CA79" s="378">
        <f t="shared" si="82"/>
        <v>0</v>
      </c>
      <c r="CB79" s="385">
        <f t="shared" si="83"/>
        <v>0</v>
      </c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</row>
    <row r="80" spans="1:222" s="19" customFormat="1" ht="69.95" customHeight="1">
      <c r="A80" s="391">
        <v>17</v>
      </c>
      <c r="B80" s="377" t="str">
        <f t="shared" si="85"/>
        <v xml:space="preserve">CDG-H.M.COMPLEX </v>
      </c>
      <c r="C80" s="377" t="str">
        <f t="shared" si="85"/>
        <v>SITE</v>
      </c>
      <c r="D80" s="377"/>
      <c r="E80" s="404">
        <f t="shared" si="85"/>
        <v>423500</v>
      </c>
      <c r="F80" s="375">
        <f t="shared" si="67"/>
        <v>56.25</v>
      </c>
      <c r="G80" s="400">
        <v>25</v>
      </c>
      <c r="H80" s="377">
        <v>0</v>
      </c>
      <c r="I80" s="377">
        <v>1</v>
      </c>
      <c r="J80" s="378">
        <f t="shared" si="68"/>
        <v>1</v>
      </c>
      <c r="K80" s="377">
        <v>0</v>
      </c>
      <c r="L80" s="377">
        <v>0</v>
      </c>
      <c r="M80" s="378">
        <f t="shared" si="69"/>
        <v>0</v>
      </c>
      <c r="N80" s="377">
        <v>0</v>
      </c>
      <c r="O80" s="377">
        <v>0</v>
      </c>
      <c r="P80" s="378">
        <f t="shared" si="70"/>
        <v>0</v>
      </c>
      <c r="Q80" s="377">
        <v>1</v>
      </c>
      <c r="R80" s="377">
        <v>0</v>
      </c>
      <c r="S80" s="378">
        <f t="shared" si="60"/>
        <v>1</v>
      </c>
      <c r="T80" s="378"/>
      <c r="U80" s="378"/>
      <c r="V80" s="378">
        <f t="shared" si="61"/>
        <v>0</v>
      </c>
      <c r="W80" s="379">
        <f t="shared" si="71"/>
        <v>0.04</v>
      </c>
      <c r="X80" s="380">
        <f t="shared" si="72"/>
        <v>1.1806375442739079E-2</v>
      </c>
      <c r="Y80" s="381"/>
      <c r="Z80" s="381"/>
      <c r="AA80" s="381"/>
      <c r="AB80" s="377"/>
      <c r="AC80" s="377"/>
      <c r="AD80" s="377"/>
      <c r="AE80" s="394">
        <v>5</v>
      </c>
      <c r="AF80" s="394">
        <v>1</v>
      </c>
      <c r="AG80" s="382">
        <f t="shared" si="73"/>
        <v>6</v>
      </c>
      <c r="AH80" s="381"/>
      <c r="AI80" s="383"/>
      <c r="AJ80" s="383"/>
      <c r="AK80" s="377"/>
      <c r="AL80" s="377"/>
      <c r="AM80" s="377"/>
      <c r="AN80" s="377">
        <v>1</v>
      </c>
      <c r="AO80" s="377">
        <v>3</v>
      </c>
      <c r="AP80" s="382">
        <f t="shared" si="74"/>
        <v>4</v>
      </c>
      <c r="AQ80" s="383">
        <f t="shared" si="75"/>
        <v>7</v>
      </c>
      <c r="AR80" s="383">
        <f t="shared" si="76"/>
        <v>5</v>
      </c>
      <c r="AS80" s="384">
        <v>7</v>
      </c>
      <c r="AT80" s="384">
        <v>5</v>
      </c>
      <c r="AU80" s="385">
        <f t="shared" si="62"/>
        <v>12</v>
      </c>
      <c r="AV80" s="380">
        <f t="shared" si="77"/>
        <v>0.14285714285714285</v>
      </c>
      <c r="AW80" s="380">
        <v>0.14000000000000001</v>
      </c>
      <c r="AX80" s="380"/>
      <c r="AY80" s="380">
        <f t="shared" si="63"/>
        <v>6.4034578672483133E-2</v>
      </c>
      <c r="AZ80" s="380">
        <f t="shared" si="64"/>
        <v>8.3333333333333329E-2</v>
      </c>
      <c r="BA80" s="386">
        <f t="shared" si="78"/>
        <v>0.94451003541912637</v>
      </c>
      <c r="BB80" s="387">
        <f t="shared" si="65"/>
        <v>11.334120425029516</v>
      </c>
      <c r="BC80" s="403">
        <v>1</v>
      </c>
      <c r="BD80" s="388">
        <f t="shared" si="79"/>
        <v>1</v>
      </c>
      <c r="BE80" s="388"/>
      <c r="BF80" s="388"/>
      <c r="BG80" s="398">
        <v>20</v>
      </c>
      <c r="BH80" s="401">
        <f t="shared" si="86"/>
        <v>0</v>
      </c>
      <c r="BI80" s="401">
        <f t="shared" si="86"/>
        <v>0</v>
      </c>
      <c r="BJ80" s="390"/>
      <c r="BK80" s="390"/>
      <c r="BL80" s="377">
        <v>0</v>
      </c>
      <c r="BM80" s="377">
        <v>0</v>
      </c>
      <c r="BN80" s="377">
        <v>0</v>
      </c>
      <c r="BO80" s="377">
        <v>0</v>
      </c>
      <c r="BP80" s="377">
        <v>0</v>
      </c>
      <c r="BQ80" s="377">
        <v>0</v>
      </c>
      <c r="BR80" s="377">
        <v>0</v>
      </c>
      <c r="BS80" s="377">
        <v>0</v>
      </c>
      <c r="BT80" s="377">
        <v>0</v>
      </c>
      <c r="BU80" s="377">
        <v>0</v>
      </c>
      <c r="BV80" s="377">
        <v>0</v>
      </c>
      <c r="BW80" s="377">
        <v>0</v>
      </c>
      <c r="BX80" s="377">
        <v>0</v>
      </c>
      <c r="BY80" s="377">
        <v>1</v>
      </c>
      <c r="BZ80" s="383">
        <f t="shared" si="81"/>
        <v>0</v>
      </c>
      <c r="CA80" s="383">
        <f t="shared" si="82"/>
        <v>1</v>
      </c>
      <c r="CB80" s="384">
        <f t="shared" si="83"/>
        <v>1</v>
      </c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</row>
    <row r="81" spans="1:222" s="19" customFormat="1" ht="69.95" customHeight="1">
      <c r="A81" s="372">
        <v>18</v>
      </c>
      <c r="B81" s="392" t="str">
        <f t="shared" si="85"/>
        <v xml:space="preserve">SGH N.KARACHI </v>
      </c>
      <c r="C81" s="392" t="str">
        <f t="shared" si="85"/>
        <v>N.KARACHI</v>
      </c>
      <c r="D81" s="392"/>
      <c r="E81" s="399">
        <f t="shared" si="85"/>
        <v>450000</v>
      </c>
      <c r="F81" s="375">
        <v>230</v>
      </c>
      <c r="G81" s="400">
        <v>100</v>
      </c>
      <c r="H81" s="377">
        <v>33</v>
      </c>
      <c r="I81" s="377">
        <v>32</v>
      </c>
      <c r="J81" s="378">
        <f t="shared" si="68"/>
        <v>65</v>
      </c>
      <c r="K81" s="377">
        <v>2</v>
      </c>
      <c r="L81" s="377">
        <v>3</v>
      </c>
      <c r="M81" s="378">
        <f t="shared" si="69"/>
        <v>5</v>
      </c>
      <c r="N81" s="377">
        <v>1</v>
      </c>
      <c r="O81" s="377">
        <v>0</v>
      </c>
      <c r="P81" s="378">
        <f t="shared" si="70"/>
        <v>1</v>
      </c>
      <c r="Q81" s="377">
        <v>4</v>
      </c>
      <c r="R81" s="377">
        <v>3</v>
      </c>
      <c r="S81" s="378"/>
      <c r="T81" s="378"/>
      <c r="U81" s="378"/>
      <c r="V81" s="378">
        <f t="shared" si="61"/>
        <v>0</v>
      </c>
      <c r="W81" s="379">
        <f t="shared" si="71"/>
        <v>0.65</v>
      </c>
      <c r="X81" s="379">
        <f t="shared" si="72"/>
        <v>0.72222222222222221</v>
      </c>
      <c r="Y81" s="382"/>
      <c r="Z81" s="382"/>
      <c r="AA81" s="382"/>
      <c r="AB81" s="394"/>
      <c r="AC81" s="394"/>
      <c r="AD81" s="394"/>
      <c r="AE81" s="394">
        <v>11</v>
      </c>
      <c r="AF81" s="394">
        <v>18</v>
      </c>
      <c r="AG81" s="382">
        <f t="shared" si="73"/>
        <v>29</v>
      </c>
      <c r="AH81" s="382"/>
      <c r="AI81" s="378"/>
      <c r="AJ81" s="378"/>
      <c r="AK81" s="394"/>
      <c r="AL81" s="394"/>
      <c r="AM81" s="394"/>
      <c r="AN81" s="377">
        <v>12</v>
      </c>
      <c r="AO81" s="377">
        <v>31</v>
      </c>
      <c r="AP81" s="382">
        <f t="shared" si="74"/>
        <v>43</v>
      </c>
      <c r="AQ81" s="383">
        <f t="shared" si="75"/>
        <v>63</v>
      </c>
      <c r="AR81" s="383">
        <f t="shared" si="76"/>
        <v>87</v>
      </c>
      <c r="AS81" s="384">
        <v>63</v>
      </c>
      <c r="AT81" s="384">
        <v>87</v>
      </c>
      <c r="AU81" s="385">
        <f t="shared" si="62"/>
        <v>150</v>
      </c>
      <c r="AV81" s="380">
        <f t="shared" si="77"/>
        <v>0.69148936170212771</v>
      </c>
      <c r="AW81" s="379">
        <v>0.69</v>
      </c>
      <c r="AX81" s="379"/>
      <c r="AY81" s="379">
        <f t="shared" si="63"/>
        <v>0.75329566854990582</v>
      </c>
      <c r="AZ81" s="379">
        <f t="shared" si="64"/>
        <v>0.04</v>
      </c>
      <c r="BA81" s="395">
        <f t="shared" si="78"/>
        <v>57.777777777777779</v>
      </c>
      <c r="BB81" s="396">
        <f t="shared" si="65"/>
        <v>133.33333333333334</v>
      </c>
      <c r="BC81" s="397">
        <v>6</v>
      </c>
      <c r="BD81" s="388">
        <f t="shared" si="79"/>
        <v>6</v>
      </c>
      <c r="BE81" s="388"/>
      <c r="BF81" s="388"/>
      <c r="BG81" s="389">
        <v>21</v>
      </c>
      <c r="BH81" s="392">
        <f t="shared" si="86"/>
        <v>0</v>
      </c>
      <c r="BI81" s="392">
        <f t="shared" si="86"/>
        <v>0</v>
      </c>
      <c r="BJ81" s="390"/>
      <c r="BK81" s="390"/>
      <c r="BL81" s="394">
        <v>1</v>
      </c>
      <c r="BM81" s="377">
        <v>1</v>
      </c>
      <c r="BN81" s="377">
        <v>15</v>
      </c>
      <c r="BO81" s="377">
        <v>16</v>
      </c>
      <c r="BP81" s="377">
        <v>1</v>
      </c>
      <c r="BQ81" s="377">
        <v>7</v>
      </c>
      <c r="BR81" s="377">
        <v>4</v>
      </c>
      <c r="BS81" s="377">
        <v>5</v>
      </c>
      <c r="BT81" s="377">
        <v>5</v>
      </c>
      <c r="BU81" s="377">
        <v>1</v>
      </c>
      <c r="BV81" s="377">
        <v>5</v>
      </c>
      <c r="BW81" s="377">
        <v>0</v>
      </c>
      <c r="BX81" s="377">
        <v>2</v>
      </c>
      <c r="BY81" s="377">
        <v>2</v>
      </c>
      <c r="BZ81" s="378">
        <f t="shared" si="81"/>
        <v>33</v>
      </c>
      <c r="CA81" s="378">
        <f t="shared" si="82"/>
        <v>32</v>
      </c>
      <c r="CB81" s="385">
        <f t="shared" si="83"/>
        <v>65</v>
      </c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</row>
    <row r="82" spans="1:222" s="19" customFormat="1" ht="69.95" customHeight="1">
      <c r="A82" s="391">
        <v>19</v>
      </c>
      <c r="B82" s="401" t="str">
        <f>B25</f>
        <v>UHC N.KARACHI</v>
      </c>
      <c r="C82" s="401" t="str">
        <f>C25</f>
        <v>N.KARACHI</v>
      </c>
      <c r="D82" s="401"/>
      <c r="E82" s="402">
        <v>150000</v>
      </c>
      <c r="F82" s="375">
        <f>(G82*2)+G82*0.25</f>
        <v>56.25</v>
      </c>
      <c r="G82" s="400">
        <v>25</v>
      </c>
      <c r="H82" s="377">
        <v>9</v>
      </c>
      <c r="I82" s="377">
        <v>6</v>
      </c>
      <c r="J82" s="378">
        <f t="shared" si="68"/>
        <v>15</v>
      </c>
      <c r="K82" s="377">
        <v>0</v>
      </c>
      <c r="L82" s="377">
        <v>0</v>
      </c>
      <c r="M82" s="378">
        <f t="shared" si="69"/>
        <v>0</v>
      </c>
      <c r="N82" s="377">
        <v>0</v>
      </c>
      <c r="O82" s="377">
        <v>0</v>
      </c>
      <c r="P82" s="378">
        <f t="shared" si="70"/>
        <v>0</v>
      </c>
      <c r="Q82" s="377">
        <v>0</v>
      </c>
      <c r="R82" s="377">
        <v>0</v>
      </c>
      <c r="S82" s="378">
        <f t="shared" si="60"/>
        <v>0</v>
      </c>
      <c r="T82" s="378"/>
      <c r="U82" s="378"/>
      <c r="V82" s="378">
        <f t="shared" si="61"/>
        <v>0</v>
      </c>
      <c r="W82" s="379">
        <f t="shared" si="71"/>
        <v>0.6</v>
      </c>
      <c r="X82" s="380">
        <f t="shared" si="72"/>
        <v>0.5</v>
      </c>
      <c r="Y82" s="381"/>
      <c r="Z82" s="381"/>
      <c r="AA82" s="381"/>
      <c r="AB82" s="377"/>
      <c r="AC82" s="377"/>
      <c r="AD82" s="377"/>
      <c r="AE82" s="394">
        <v>0</v>
      </c>
      <c r="AF82" s="394">
        <v>0</v>
      </c>
      <c r="AG82" s="382">
        <f t="shared" si="73"/>
        <v>0</v>
      </c>
      <c r="AH82" s="381"/>
      <c r="AI82" s="383"/>
      <c r="AJ82" s="383"/>
      <c r="AK82" s="377"/>
      <c r="AL82" s="377"/>
      <c r="AM82" s="377"/>
      <c r="AN82" s="377">
        <v>1</v>
      </c>
      <c r="AO82" s="377">
        <v>0</v>
      </c>
      <c r="AP82" s="382">
        <f t="shared" si="74"/>
        <v>1</v>
      </c>
      <c r="AQ82" s="383">
        <f t="shared" si="75"/>
        <v>10</v>
      </c>
      <c r="AR82" s="383">
        <f t="shared" si="76"/>
        <v>6</v>
      </c>
      <c r="AS82" s="384">
        <v>10</v>
      </c>
      <c r="AT82" s="384">
        <v>6</v>
      </c>
      <c r="AU82" s="385">
        <f t="shared" si="62"/>
        <v>16</v>
      </c>
      <c r="AV82" s="380">
        <f t="shared" si="77"/>
        <v>1</v>
      </c>
      <c r="AW82" s="380">
        <v>1</v>
      </c>
      <c r="AX82" s="380"/>
      <c r="AY82" s="380">
        <f t="shared" si="63"/>
        <v>0.24105461393596986</v>
      </c>
      <c r="AZ82" s="380">
        <f t="shared" si="64"/>
        <v>0</v>
      </c>
      <c r="BA82" s="386">
        <f t="shared" si="78"/>
        <v>40</v>
      </c>
      <c r="BB82" s="387">
        <f t="shared" si="65"/>
        <v>42.666666666666664</v>
      </c>
      <c r="BC82" s="403">
        <v>0</v>
      </c>
      <c r="BD82" s="388">
        <f t="shared" si="79"/>
        <v>0</v>
      </c>
      <c r="BE82" s="388"/>
      <c r="BF82" s="388"/>
      <c r="BG82" s="398">
        <v>22</v>
      </c>
      <c r="BH82" s="401">
        <f t="shared" si="86"/>
        <v>0</v>
      </c>
      <c r="BI82" s="401">
        <f t="shared" si="86"/>
        <v>0</v>
      </c>
      <c r="BJ82" s="390"/>
      <c r="BK82" s="390"/>
      <c r="BL82" s="377">
        <v>0</v>
      </c>
      <c r="BM82" s="377">
        <v>0</v>
      </c>
      <c r="BN82" s="377">
        <v>3</v>
      </c>
      <c r="BO82" s="377">
        <v>5</v>
      </c>
      <c r="BP82" s="377">
        <v>1</v>
      </c>
      <c r="BQ82" s="377">
        <v>1</v>
      </c>
      <c r="BR82" s="377">
        <v>2</v>
      </c>
      <c r="BS82" s="377">
        <v>0</v>
      </c>
      <c r="BT82" s="377">
        <v>2</v>
      </c>
      <c r="BU82" s="377">
        <v>0</v>
      </c>
      <c r="BV82" s="377">
        <v>1</v>
      </c>
      <c r="BW82" s="377">
        <v>0</v>
      </c>
      <c r="BX82" s="377">
        <v>0</v>
      </c>
      <c r="BY82" s="377">
        <v>0</v>
      </c>
      <c r="BZ82" s="383">
        <f t="shared" si="81"/>
        <v>9</v>
      </c>
      <c r="CA82" s="383">
        <f t="shared" si="82"/>
        <v>6</v>
      </c>
      <c r="CB82" s="384">
        <f t="shared" si="83"/>
        <v>15</v>
      </c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</row>
    <row r="83" spans="1:222" s="19" customFormat="1" ht="69.95" customHeight="1">
      <c r="A83" s="372">
        <v>20</v>
      </c>
      <c r="B83" s="406" t="s">
        <v>152</v>
      </c>
      <c r="C83" s="406" t="s">
        <v>153</v>
      </c>
      <c r="D83" s="406"/>
      <c r="E83" s="402">
        <v>150000</v>
      </c>
      <c r="F83" s="375">
        <f>(G83*2)+G83*0.25</f>
        <v>56.25</v>
      </c>
      <c r="G83" s="407">
        <v>25</v>
      </c>
      <c r="H83" s="377">
        <v>1</v>
      </c>
      <c r="I83" s="377">
        <v>1</v>
      </c>
      <c r="J83" s="378">
        <f t="shared" si="68"/>
        <v>2</v>
      </c>
      <c r="K83" s="377">
        <v>0</v>
      </c>
      <c r="L83" s="377">
        <v>0</v>
      </c>
      <c r="M83" s="378">
        <f t="shared" si="69"/>
        <v>0</v>
      </c>
      <c r="N83" s="377">
        <v>0</v>
      </c>
      <c r="O83" s="377">
        <v>0</v>
      </c>
      <c r="P83" s="385">
        <f>N83+O83</f>
        <v>0</v>
      </c>
      <c r="Q83" s="377">
        <v>0</v>
      </c>
      <c r="R83" s="377">
        <v>0</v>
      </c>
      <c r="S83" s="378">
        <f t="shared" si="60"/>
        <v>0</v>
      </c>
      <c r="T83" s="378"/>
      <c r="U83" s="378"/>
      <c r="V83" s="378">
        <f t="shared" si="61"/>
        <v>0</v>
      </c>
      <c r="W83" s="379">
        <f t="shared" si="71"/>
        <v>0.08</v>
      </c>
      <c r="X83" s="380">
        <f t="shared" si="72"/>
        <v>6.6666666666666666E-2</v>
      </c>
      <c r="Y83" s="381"/>
      <c r="Z83" s="381"/>
      <c r="AA83" s="381"/>
      <c r="AB83" s="377"/>
      <c r="AC83" s="377"/>
      <c r="AD83" s="377"/>
      <c r="AE83" s="394">
        <v>2</v>
      </c>
      <c r="AF83" s="394">
        <v>3</v>
      </c>
      <c r="AG83" s="382">
        <f t="shared" si="73"/>
        <v>5</v>
      </c>
      <c r="AH83" s="381"/>
      <c r="AI83" s="383"/>
      <c r="AJ83" s="383"/>
      <c r="AK83" s="377"/>
      <c r="AL83" s="377"/>
      <c r="AM83" s="377"/>
      <c r="AN83" s="377">
        <v>2</v>
      </c>
      <c r="AO83" s="377">
        <v>3</v>
      </c>
      <c r="AP83" s="382">
        <f t="shared" si="74"/>
        <v>5</v>
      </c>
      <c r="AQ83" s="383">
        <f t="shared" si="75"/>
        <v>5</v>
      </c>
      <c r="AR83" s="383">
        <f t="shared" si="76"/>
        <v>7</v>
      </c>
      <c r="AS83" s="384">
        <v>5</v>
      </c>
      <c r="AT83" s="384">
        <v>7</v>
      </c>
      <c r="AU83" s="385">
        <f t="shared" si="62"/>
        <v>12</v>
      </c>
      <c r="AV83" s="380">
        <f t="shared" si="77"/>
        <v>0.2857142857142857</v>
      </c>
      <c r="AW83" s="380">
        <v>0.28999999999999998</v>
      </c>
      <c r="AX83" s="380"/>
      <c r="AY83" s="380"/>
      <c r="AZ83" s="380"/>
      <c r="BA83" s="386"/>
      <c r="BB83" s="387"/>
      <c r="BC83" s="403">
        <v>0</v>
      </c>
      <c r="BD83" s="388">
        <f t="shared" si="79"/>
        <v>0</v>
      </c>
      <c r="BE83" s="388"/>
      <c r="BF83" s="388"/>
      <c r="BG83" s="389">
        <v>23</v>
      </c>
      <c r="BH83" s="406" t="s">
        <v>152</v>
      </c>
      <c r="BI83" s="406" t="s">
        <v>153</v>
      </c>
      <c r="BJ83" s="390"/>
      <c r="BK83" s="390"/>
      <c r="BL83" s="377">
        <v>0</v>
      </c>
      <c r="BM83" s="377">
        <v>0</v>
      </c>
      <c r="BN83" s="377">
        <v>0</v>
      </c>
      <c r="BO83" s="377">
        <v>1</v>
      </c>
      <c r="BP83" s="377">
        <v>0</v>
      </c>
      <c r="BQ83" s="377">
        <v>0</v>
      </c>
      <c r="BR83" s="377">
        <v>0</v>
      </c>
      <c r="BS83" s="377">
        <v>0</v>
      </c>
      <c r="BT83" s="377">
        <v>1</v>
      </c>
      <c r="BU83" s="377">
        <v>0</v>
      </c>
      <c r="BV83" s="377">
        <v>0</v>
      </c>
      <c r="BW83" s="377">
        <v>0</v>
      </c>
      <c r="BX83" s="377">
        <v>0</v>
      </c>
      <c r="BY83" s="377">
        <v>0</v>
      </c>
      <c r="BZ83" s="383">
        <f>BX83+BV83+BT83+BR83+BP83+BN83+BL83+BJ83</f>
        <v>1</v>
      </c>
      <c r="CA83" s="383">
        <f>BY83+BW83+BU83+BS83+BQ83+BO83+BM83+BK83</f>
        <v>1</v>
      </c>
      <c r="CB83" s="384">
        <f>CA83+BZ83</f>
        <v>2</v>
      </c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</row>
    <row r="84" spans="1:222" s="19" customFormat="1" ht="69.95" customHeight="1">
      <c r="A84" s="391">
        <v>21</v>
      </c>
      <c r="B84" s="377" t="s">
        <v>123</v>
      </c>
      <c r="C84" s="377" t="s">
        <v>53</v>
      </c>
      <c r="D84" s="377"/>
      <c r="E84" s="375">
        <v>400000</v>
      </c>
      <c r="F84" s="375">
        <v>154</v>
      </c>
      <c r="G84" s="407">
        <v>55</v>
      </c>
      <c r="H84" s="377">
        <v>13</v>
      </c>
      <c r="I84" s="377">
        <v>7</v>
      </c>
      <c r="J84" s="378">
        <f t="shared" si="68"/>
        <v>20</v>
      </c>
      <c r="K84" s="377">
        <v>1</v>
      </c>
      <c r="L84" s="377">
        <v>1</v>
      </c>
      <c r="M84" s="378">
        <f t="shared" si="69"/>
        <v>2</v>
      </c>
      <c r="N84" s="377">
        <v>0</v>
      </c>
      <c r="O84" s="377">
        <v>0</v>
      </c>
      <c r="P84" s="378">
        <f t="shared" si="70"/>
        <v>0</v>
      </c>
      <c r="Q84" s="377">
        <v>1</v>
      </c>
      <c r="R84" s="377">
        <v>0</v>
      </c>
      <c r="S84" s="378">
        <f t="shared" si="60"/>
        <v>1</v>
      </c>
      <c r="T84" s="378"/>
      <c r="U84" s="378"/>
      <c r="V84" s="378">
        <f t="shared" si="61"/>
        <v>0</v>
      </c>
      <c r="W84" s="379">
        <f t="shared" si="71"/>
        <v>0.36363636363636365</v>
      </c>
      <c r="X84" s="380">
        <f t="shared" si="72"/>
        <v>0.25</v>
      </c>
      <c r="Y84" s="381"/>
      <c r="Z84" s="381"/>
      <c r="AA84" s="381"/>
      <c r="AB84" s="377"/>
      <c r="AC84" s="377"/>
      <c r="AD84" s="377"/>
      <c r="AE84" s="377">
        <v>8</v>
      </c>
      <c r="AF84" s="377">
        <v>4</v>
      </c>
      <c r="AG84" s="382">
        <f t="shared" si="73"/>
        <v>12</v>
      </c>
      <c r="AH84" s="381"/>
      <c r="AI84" s="383"/>
      <c r="AJ84" s="383"/>
      <c r="AK84" s="377"/>
      <c r="AL84" s="377"/>
      <c r="AM84" s="377"/>
      <c r="AN84" s="377">
        <v>1</v>
      </c>
      <c r="AO84" s="377">
        <v>7</v>
      </c>
      <c r="AP84" s="382">
        <f t="shared" si="74"/>
        <v>8</v>
      </c>
      <c r="AQ84" s="383">
        <f t="shared" si="75"/>
        <v>24</v>
      </c>
      <c r="AR84" s="383">
        <f t="shared" si="76"/>
        <v>19</v>
      </c>
      <c r="AS84" s="384">
        <v>24</v>
      </c>
      <c r="AT84" s="384">
        <v>19</v>
      </c>
      <c r="AU84" s="385">
        <f t="shared" si="62"/>
        <v>43</v>
      </c>
      <c r="AV84" s="380">
        <f t="shared" si="77"/>
        <v>0.625</v>
      </c>
      <c r="AW84" s="380">
        <v>0.63</v>
      </c>
      <c r="AX84" s="380"/>
      <c r="AY84" s="380">
        <f t="shared" si="63"/>
        <v>0.24293785310734464</v>
      </c>
      <c r="AZ84" s="380">
        <f t="shared" si="64"/>
        <v>6.9767441860465115E-2</v>
      </c>
      <c r="BA84" s="386">
        <f t="shared" si="78"/>
        <v>20</v>
      </c>
      <c r="BB84" s="387">
        <f t="shared" si="65"/>
        <v>43</v>
      </c>
      <c r="BC84" s="403">
        <v>3</v>
      </c>
      <c r="BD84" s="388">
        <f t="shared" si="79"/>
        <v>3</v>
      </c>
      <c r="BE84" s="388"/>
      <c r="BF84" s="388"/>
      <c r="BG84" s="398">
        <v>24</v>
      </c>
      <c r="BH84" s="377" t="s">
        <v>124</v>
      </c>
      <c r="BI84" s="377" t="s">
        <v>53</v>
      </c>
      <c r="BJ84" s="390"/>
      <c r="BK84" s="390"/>
      <c r="BL84" s="377">
        <v>1</v>
      </c>
      <c r="BM84" s="377">
        <v>0</v>
      </c>
      <c r="BN84" s="377">
        <v>4</v>
      </c>
      <c r="BO84" s="377">
        <v>5</v>
      </c>
      <c r="BP84" s="377">
        <v>3</v>
      </c>
      <c r="BQ84" s="377">
        <v>2</v>
      </c>
      <c r="BR84" s="377">
        <v>2</v>
      </c>
      <c r="BS84" s="377">
        <v>0</v>
      </c>
      <c r="BT84" s="377">
        <v>2</v>
      </c>
      <c r="BU84" s="377">
        <v>0</v>
      </c>
      <c r="BV84" s="377">
        <v>1</v>
      </c>
      <c r="BW84" s="377">
        <v>0</v>
      </c>
      <c r="BX84" s="377">
        <v>0</v>
      </c>
      <c r="BY84" s="377">
        <v>0</v>
      </c>
      <c r="BZ84" s="383">
        <f t="shared" si="81"/>
        <v>13</v>
      </c>
      <c r="CA84" s="383">
        <f t="shared" si="82"/>
        <v>7</v>
      </c>
      <c r="CB84" s="384">
        <f t="shared" si="83"/>
        <v>20</v>
      </c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</row>
    <row r="85" spans="1:222" s="37" customFormat="1" ht="87" customHeight="1">
      <c r="A85" s="408" t="s">
        <v>32</v>
      </c>
      <c r="B85" s="409" t="s">
        <v>180</v>
      </c>
      <c r="C85" s="410" t="s">
        <v>46</v>
      </c>
      <c r="D85" s="410"/>
      <c r="E85" s="411">
        <f>SUM(E64:E84)</f>
        <v>5553500</v>
      </c>
      <c r="F85" s="412">
        <f t="shared" ref="F85:R85" si="87">SUM(F64:F84)</f>
        <v>1509</v>
      </c>
      <c r="G85" s="412">
        <f t="shared" si="87"/>
        <v>655</v>
      </c>
      <c r="H85" s="412">
        <f t="shared" si="87"/>
        <v>108</v>
      </c>
      <c r="I85" s="412">
        <f t="shared" si="87"/>
        <v>106</v>
      </c>
      <c r="J85" s="409">
        <f t="shared" si="87"/>
        <v>214</v>
      </c>
      <c r="K85" s="412">
        <f t="shared" si="87"/>
        <v>6</v>
      </c>
      <c r="L85" s="412">
        <f t="shared" si="87"/>
        <v>12</v>
      </c>
      <c r="M85" s="409">
        <f t="shared" si="87"/>
        <v>18</v>
      </c>
      <c r="N85" s="412">
        <f t="shared" si="87"/>
        <v>1</v>
      </c>
      <c r="O85" s="412">
        <f t="shared" si="87"/>
        <v>0</v>
      </c>
      <c r="P85" s="409">
        <f t="shared" si="87"/>
        <v>1</v>
      </c>
      <c r="Q85" s="412">
        <f t="shared" si="87"/>
        <v>7</v>
      </c>
      <c r="R85" s="412">
        <f t="shared" si="87"/>
        <v>4</v>
      </c>
      <c r="S85" s="599">
        <f>Q85+R85</f>
        <v>11</v>
      </c>
      <c r="T85" s="413"/>
      <c r="U85" s="413"/>
      <c r="V85" s="414">
        <f t="shared" si="61"/>
        <v>0</v>
      </c>
      <c r="W85" s="379">
        <f t="shared" si="71"/>
        <v>0.32671755725190837</v>
      </c>
      <c r="X85" s="415">
        <f>J85*4/(E85*0.0008)</f>
        <v>0.19267128837669936</v>
      </c>
      <c r="Y85" s="412">
        <f t="shared" ref="Y85:AD85" si="88">SUM(Y64:Y84)</f>
        <v>0</v>
      </c>
      <c r="Z85" s="412">
        <f t="shared" si="88"/>
        <v>0</v>
      </c>
      <c r="AA85" s="412">
        <f t="shared" si="88"/>
        <v>0</v>
      </c>
      <c r="AB85" s="412">
        <f t="shared" si="88"/>
        <v>0</v>
      </c>
      <c r="AC85" s="412">
        <f t="shared" si="88"/>
        <v>0</v>
      </c>
      <c r="AD85" s="412">
        <f t="shared" si="88"/>
        <v>0</v>
      </c>
      <c r="AE85" s="412">
        <f>SUM(AE64:AE84)</f>
        <v>50</v>
      </c>
      <c r="AF85" s="412">
        <f>SUM(AF64:AF84)</f>
        <v>63</v>
      </c>
      <c r="AG85" s="382">
        <f t="shared" si="73"/>
        <v>113</v>
      </c>
      <c r="AH85" s="412">
        <f t="shared" ref="AH85:AU85" si="89">SUM(AH64:AH84)</f>
        <v>0</v>
      </c>
      <c r="AI85" s="412">
        <f t="shared" si="89"/>
        <v>0</v>
      </c>
      <c r="AJ85" s="412">
        <f t="shared" si="89"/>
        <v>0</v>
      </c>
      <c r="AK85" s="412">
        <f t="shared" si="89"/>
        <v>0</v>
      </c>
      <c r="AL85" s="412">
        <f t="shared" si="89"/>
        <v>0</v>
      </c>
      <c r="AM85" s="412">
        <f t="shared" si="89"/>
        <v>0</v>
      </c>
      <c r="AN85" s="412">
        <f>SUM(AN64:AN84)</f>
        <v>29</v>
      </c>
      <c r="AO85" s="412">
        <f>SUM(AO64:AO84)</f>
        <v>72</v>
      </c>
      <c r="AP85" s="382">
        <f t="shared" si="74"/>
        <v>101</v>
      </c>
      <c r="AQ85" s="412">
        <f t="shared" si="89"/>
        <v>201</v>
      </c>
      <c r="AR85" s="412">
        <f t="shared" si="89"/>
        <v>257</v>
      </c>
      <c r="AS85" s="412"/>
      <c r="AT85" s="412"/>
      <c r="AU85" s="412">
        <f t="shared" si="89"/>
        <v>458</v>
      </c>
      <c r="AV85" s="380">
        <f t="shared" si="77"/>
        <v>0.65443425076452599</v>
      </c>
      <c r="AW85" s="416"/>
      <c r="AX85" s="416"/>
      <c r="AY85" s="416">
        <f t="shared" si="63"/>
        <v>0.18637404314172515</v>
      </c>
      <c r="AZ85" s="416">
        <f t="shared" si="64"/>
        <v>6.5502183406113537E-2</v>
      </c>
      <c r="BA85" s="417">
        <f t="shared" si="78"/>
        <v>15.41370307013595</v>
      </c>
      <c r="BB85" s="418">
        <f t="shared" si="65"/>
        <v>32.988205636085354</v>
      </c>
      <c r="BC85" s="418">
        <f>SUM(BC64:BC84)</f>
        <v>23</v>
      </c>
      <c r="BD85" s="388">
        <f>SUM(BD64:BD84)</f>
        <v>23</v>
      </c>
      <c r="BE85" s="388"/>
      <c r="BF85" s="388"/>
      <c r="BG85" s="935" t="s">
        <v>160</v>
      </c>
      <c r="BH85" s="935"/>
      <c r="BI85" s="419">
        <f>BI210</f>
        <v>0</v>
      </c>
      <c r="BJ85" s="409"/>
      <c r="BK85" s="409"/>
      <c r="BL85" s="409">
        <f t="shared" ref="BL85:BY85" si="90">SUM(BL64:BL84)</f>
        <v>3</v>
      </c>
      <c r="BM85" s="409">
        <f t="shared" si="90"/>
        <v>6</v>
      </c>
      <c r="BN85" s="409">
        <f t="shared" si="90"/>
        <v>44</v>
      </c>
      <c r="BO85" s="409">
        <f t="shared" si="90"/>
        <v>51</v>
      </c>
      <c r="BP85" s="409">
        <f t="shared" si="90"/>
        <v>13</v>
      </c>
      <c r="BQ85" s="409">
        <f t="shared" si="90"/>
        <v>21</v>
      </c>
      <c r="BR85" s="409">
        <f t="shared" si="90"/>
        <v>16</v>
      </c>
      <c r="BS85" s="409">
        <f t="shared" si="90"/>
        <v>10</v>
      </c>
      <c r="BT85" s="409">
        <f t="shared" si="90"/>
        <v>16</v>
      </c>
      <c r="BU85" s="409">
        <f t="shared" si="90"/>
        <v>6</v>
      </c>
      <c r="BV85" s="409">
        <f t="shared" si="90"/>
        <v>12</v>
      </c>
      <c r="BW85" s="409">
        <f t="shared" si="90"/>
        <v>6</v>
      </c>
      <c r="BX85" s="409">
        <f t="shared" si="90"/>
        <v>4</v>
      </c>
      <c r="BY85" s="409">
        <f t="shared" si="90"/>
        <v>6</v>
      </c>
      <c r="BZ85" s="409">
        <f>SUM(BZ64:BZ84)</f>
        <v>108</v>
      </c>
      <c r="CA85" s="409">
        <f>SUM(CA64:CA84)</f>
        <v>106</v>
      </c>
      <c r="CB85" s="409">
        <f>SUM(CB64:CB84)</f>
        <v>214</v>
      </c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</row>
    <row r="86" spans="1:222" ht="69.95" customHeight="1">
      <c r="A86" s="361"/>
      <c r="B86" s="420"/>
      <c r="C86" s="420"/>
      <c r="D86" s="420"/>
      <c r="E86" s="421"/>
      <c r="F86" s="421"/>
      <c r="G86" s="421"/>
      <c r="H86" s="422"/>
      <c r="I86" s="422"/>
      <c r="J86" s="422"/>
      <c r="K86" s="422"/>
      <c r="L86" s="422"/>
      <c r="M86" s="422"/>
      <c r="N86" s="422"/>
      <c r="O86" s="422"/>
      <c r="P86" s="422"/>
      <c r="Q86" s="422"/>
      <c r="R86" s="422"/>
      <c r="S86" s="422"/>
      <c r="T86" s="422"/>
      <c r="U86" s="422"/>
      <c r="V86" s="422"/>
      <c r="W86" s="422"/>
      <c r="X86" s="423"/>
      <c r="Y86" s="423"/>
      <c r="Z86" s="423"/>
      <c r="AA86" s="423"/>
      <c r="AB86" s="422"/>
      <c r="AC86" s="422"/>
      <c r="AD86" s="422"/>
      <c r="AE86" s="422"/>
      <c r="AF86" s="422"/>
      <c r="AG86" s="422"/>
      <c r="AH86" s="422"/>
      <c r="AI86" s="422"/>
      <c r="AJ86" s="422"/>
      <c r="AK86" s="422"/>
      <c r="AL86" s="422"/>
      <c r="AM86" s="422"/>
      <c r="AN86" s="422"/>
      <c r="AO86" s="422"/>
      <c r="AP86" s="422"/>
      <c r="AQ86" s="422"/>
      <c r="AR86" s="422"/>
      <c r="AS86" s="422"/>
      <c r="AT86" s="422"/>
      <c r="AU86" s="422"/>
      <c r="AV86" s="422"/>
      <c r="AW86" s="422"/>
      <c r="AX86" s="422"/>
      <c r="AY86" s="423"/>
      <c r="AZ86" s="423"/>
      <c r="BA86" s="423"/>
      <c r="BB86" s="423"/>
      <c r="BC86" s="423"/>
      <c r="BD86" s="423"/>
      <c r="BE86" s="423"/>
      <c r="BF86" s="423"/>
      <c r="BG86" s="361"/>
      <c r="BH86" s="361"/>
      <c r="BI86" s="361"/>
      <c r="BJ86" s="424"/>
      <c r="BK86" s="424"/>
      <c r="BL86" s="422"/>
      <c r="BM86" s="422"/>
      <c r="BN86" s="422"/>
      <c r="BO86" s="422"/>
      <c r="BP86" s="422"/>
      <c r="BQ86" s="422"/>
      <c r="BR86" s="422"/>
      <c r="BS86" s="422"/>
      <c r="BT86" s="422"/>
      <c r="BU86" s="422"/>
      <c r="BV86" s="422"/>
      <c r="BW86" s="422"/>
      <c r="BX86" s="422"/>
      <c r="BY86" s="422"/>
      <c r="BZ86" s="422"/>
      <c r="CA86" s="422"/>
      <c r="CB86" s="422"/>
    </row>
    <row r="87" spans="1:222" ht="69.95" customHeight="1">
      <c r="A87" s="425"/>
      <c r="B87" s="425"/>
      <c r="C87" s="425"/>
      <c r="D87" s="425"/>
      <c r="E87" s="425" t="s">
        <v>15</v>
      </c>
      <c r="F87" s="425"/>
      <c r="G87" s="425"/>
      <c r="H87" s="425"/>
      <c r="I87" s="425"/>
      <c r="J87" s="425"/>
      <c r="K87" s="425"/>
      <c r="L87" s="425"/>
      <c r="M87" s="425"/>
      <c r="N87" s="425"/>
      <c r="O87" s="425"/>
      <c r="P87" s="425"/>
      <c r="Q87" s="425"/>
      <c r="R87" s="425"/>
      <c r="S87" s="425"/>
      <c r="T87" s="425"/>
      <c r="U87" s="425"/>
      <c r="V87" s="425"/>
      <c r="W87" s="425"/>
      <c r="X87" s="425"/>
      <c r="Y87" s="425"/>
      <c r="Z87" s="425"/>
      <c r="AA87" s="425"/>
      <c r="AB87" s="425"/>
      <c r="AC87" s="425"/>
      <c r="AD87" s="425"/>
      <c r="AE87" s="425"/>
      <c r="AF87" s="425"/>
      <c r="AG87" s="425"/>
      <c r="AH87" s="425"/>
      <c r="AI87" s="425"/>
      <c r="AJ87" s="425"/>
      <c r="AK87" s="425"/>
      <c r="AL87" s="425"/>
      <c r="AM87" s="425"/>
      <c r="AN87" s="425"/>
      <c r="AO87" s="425"/>
      <c r="AP87" s="425"/>
      <c r="AQ87" s="425"/>
      <c r="AR87" s="425"/>
      <c r="AS87" s="425"/>
      <c r="AT87" s="425"/>
      <c r="AU87" s="425"/>
      <c r="AV87" s="425"/>
      <c r="AW87" s="425"/>
      <c r="AX87" s="425"/>
      <c r="AY87" s="425"/>
      <c r="AZ87" s="425"/>
      <c r="BA87" s="425"/>
      <c r="BB87" s="425"/>
      <c r="BC87" s="425"/>
      <c r="BD87" s="425"/>
      <c r="BE87" s="425"/>
      <c r="BF87" s="425"/>
      <c r="BG87" s="425"/>
      <c r="BH87" s="425"/>
      <c r="BI87" s="425"/>
      <c r="BJ87" s="426"/>
      <c r="BK87" s="426"/>
      <c r="BL87" s="425"/>
      <c r="BM87" s="425"/>
      <c r="BN87" s="425"/>
      <c r="BO87" s="425"/>
      <c r="BP87" s="425"/>
      <c r="BQ87" s="425"/>
      <c r="BR87" s="425"/>
      <c r="BS87" s="425"/>
      <c r="BT87" s="425"/>
      <c r="BU87" s="425"/>
      <c r="BV87" s="425"/>
      <c r="BW87" s="425"/>
      <c r="BX87" s="425"/>
      <c r="BY87" s="425"/>
      <c r="BZ87" s="425"/>
      <c r="CA87" s="425"/>
      <c r="CB87" s="425"/>
    </row>
    <row r="88" spans="1:222" ht="69.95" customHeight="1">
      <c r="A88" s="899" t="s">
        <v>40</v>
      </c>
      <c r="B88" s="900"/>
      <c r="C88" s="427"/>
      <c r="D88" s="427"/>
      <c r="E88" s="425"/>
      <c r="F88" s="425"/>
      <c r="G88" s="425"/>
      <c r="H88" s="425"/>
      <c r="I88" s="425"/>
      <c r="J88" s="425"/>
      <c r="K88" s="425"/>
      <c r="L88" s="425"/>
      <c r="M88" s="425"/>
      <c r="N88" s="425"/>
      <c r="O88" s="425"/>
      <c r="P88" s="425"/>
      <c r="Q88" s="425"/>
      <c r="R88" s="425"/>
      <c r="S88" s="425"/>
      <c r="T88" s="425"/>
      <c r="U88" s="425"/>
      <c r="V88" s="425"/>
      <c r="W88" s="425"/>
      <c r="X88" s="425"/>
      <c r="Y88" s="425"/>
      <c r="Z88" s="425"/>
      <c r="AA88" s="425"/>
      <c r="AB88" s="425"/>
      <c r="AC88" s="425"/>
      <c r="AD88" s="425"/>
      <c r="AE88" s="425"/>
      <c r="AF88" s="425"/>
      <c r="AG88" s="425"/>
      <c r="AH88" s="425"/>
      <c r="AI88" s="425"/>
      <c r="AJ88" s="425"/>
      <c r="AK88" s="425"/>
      <c r="AL88" s="425"/>
      <c r="AM88" s="425"/>
      <c r="AN88" s="425"/>
      <c r="AO88" s="425"/>
      <c r="AP88" s="425"/>
      <c r="AQ88" s="425"/>
      <c r="AR88" s="425"/>
      <c r="AS88" s="425"/>
      <c r="AT88" s="425"/>
      <c r="AU88" s="425"/>
      <c r="AV88" s="425"/>
      <c r="AW88" s="425"/>
      <c r="AX88" s="425"/>
      <c r="AY88" s="425"/>
      <c r="AZ88" s="425"/>
      <c r="BA88" s="425"/>
      <c r="BB88" s="425"/>
      <c r="BC88" s="425"/>
      <c r="BD88" s="425"/>
      <c r="BE88" s="425"/>
      <c r="BF88" s="425"/>
      <c r="BG88" s="899" t="s">
        <v>40</v>
      </c>
      <c r="BH88" s="900"/>
      <c r="BI88" s="427"/>
      <c r="BJ88" s="426"/>
      <c r="BK88" s="426"/>
      <c r="BL88" s="425"/>
      <c r="BM88" s="425"/>
      <c r="BN88" s="425"/>
      <c r="BO88" s="425"/>
      <c r="BP88" s="425"/>
      <c r="BQ88" s="425"/>
      <c r="BR88" s="425"/>
      <c r="BS88" s="425"/>
      <c r="BT88" s="425"/>
      <c r="BU88" s="425"/>
      <c r="BV88" s="425"/>
      <c r="BW88" s="425"/>
      <c r="BX88" s="425"/>
      <c r="BY88" s="425"/>
      <c r="BZ88" s="425"/>
      <c r="CA88" s="425"/>
      <c r="CB88" s="425"/>
    </row>
    <row r="89" spans="1:222" ht="69.95" customHeight="1">
      <c r="A89" s="940" t="s">
        <v>27</v>
      </c>
      <c r="B89" s="941"/>
      <c r="C89" s="428"/>
      <c r="D89" s="352"/>
      <c r="E89" s="353"/>
      <c r="F89" s="353"/>
      <c r="G89" s="353"/>
      <c r="H89" s="891" t="s">
        <v>34</v>
      </c>
      <c r="I89" s="891"/>
      <c r="J89" s="891"/>
      <c r="K89" s="891"/>
      <c r="L89" s="891"/>
      <c r="M89" s="891"/>
      <c r="N89" s="891"/>
      <c r="O89" s="891"/>
      <c r="P89" s="891"/>
      <c r="Q89" s="891"/>
      <c r="R89" s="891"/>
      <c r="S89" s="891"/>
      <c r="T89" s="354"/>
      <c r="U89" s="354"/>
      <c r="V89" s="354"/>
      <c r="W89" s="354"/>
      <c r="X89" s="355"/>
      <c r="Y89" s="891" t="s">
        <v>28</v>
      </c>
      <c r="Z89" s="891"/>
      <c r="AA89" s="891"/>
      <c r="AB89" s="891"/>
      <c r="AC89" s="891"/>
      <c r="AD89" s="891"/>
      <c r="AE89" s="891"/>
      <c r="AF89" s="891"/>
      <c r="AG89" s="891"/>
      <c r="AH89" s="891" t="s">
        <v>35</v>
      </c>
      <c r="AI89" s="891"/>
      <c r="AJ89" s="891"/>
      <c r="AK89" s="891"/>
      <c r="AL89" s="891"/>
      <c r="AM89" s="891"/>
      <c r="AN89" s="891"/>
      <c r="AO89" s="891"/>
      <c r="AP89" s="891"/>
      <c r="AQ89" s="356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8"/>
      <c r="BC89" s="357"/>
      <c r="BD89" s="357"/>
      <c r="BE89" s="357"/>
      <c r="BF89" s="357"/>
      <c r="BG89" s="940" t="s">
        <v>27</v>
      </c>
      <c r="BH89" s="941"/>
      <c r="BI89" s="352"/>
      <c r="BJ89" s="359"/>
      <c r="BK89" s="359"/>
      <c r="BL89" s="360"/>
      <c r="BM89" s="360"/>
      <c r="BN89" s="360"/>
      <c r="BO89" s="360"/>
      <c r="BP89" s="360"/>
      <c r="BQ89" s="360"/>
      <c r="BR89" s="360"/>
      <c r="BS89" s="360"/>
      <c r="BT89" s="360"/>
      <c r="BU89" s="360"/>
      <c r="BV89" s="360"/>
      <c r="BW89" s="360"/>
      <c r="BX89" s="360"/>
      <c r="BY89" s="360"/>
      <c r="BZ89" s="360"/>
      <c r="CA89" s="360"/>
      <c r="CB89" s="360"/>
    </row>
    <row r="90" spans="1:222" ht="69.95" customHeight="1">
      <c r="A90" s="892" t="s">
        <v>2</v>
      </c>
      <c r="B90" s="901"/>
      <c r="C90" s="364"/>
      <c r="D90" s="361"/>
      <c r="E90" s="429"/>
      <c r="F90" s="429"/>
      <c r="G90" s="429"/>
      <c r="H90" s="891" t="s">
        <v>10</v>
      </c>
      <c r="I90" s="891"/>
      <c r="J90" s="891"/>
      <c r="K90" s="894" t="s">
        <v>29</v>
      </c>
      <c r="L90" s="894"/>
      <c r="M90" s="894"/>
      <c r="N90" s="894"/>
      <c r="O90" s="894"/>
      <c r="P90" s="894"/>
      <c r="Q90" s="894"/>
      <c r="R90" s="894"/>
      <c r="S90" s="894"/>
      <c r="T90" s="345"/>
      <c r="U90" s="345"/>
      <c r="V90" s="345"/>
      <c r="W90" s="345"/>
      <c r="X90" s="363"/>
      <c r="Y90" s="891" t="s">
        <v>12</v>
      </c>
      <c r="Z90" s="891"/>
      <c r="AA90" s="891"/>
      <c r="AB90" s="891"/>
      <c r="AC90" s="891"/>
      <c r="AD90" s="891"/>
      <c r="AE90" s="891"/>
      <c r="AF90" s="891"/>
      <c r="AG90" s="891"/>
      <c r="AH90" s="891"/>
      <c r="AI90" s="891"/>
      <c r="AJ90" s="891"/>
      <c r="AK90" s="891"/>
      <c r="AL90" s="891"/>
      <c r="AM90" s="891"/>
      <c r="AN90" s="891"/>
      <c r="AO90" s="891"/>
      <c r="AP90" s="891"/>
      <c r="AQ90" s="364"/>
      <c r="AR90" s="365"/>
      <c r="AS90" s="365"/>
      <c r="AT90" s="365"/>
      <c r="AU90" s="365"/>
      <c r="AV90" s="366"/>
      <c r="AW90" s="366"/>
      <c r="AX90" s="366"/>
      <c r="AY90" s="366"/>
      <c r="AZ90" s="366"/>
      <c r="BA90" s="366"/>
      <c r="BB90" s="367"/>
      <c r="BC90" s="366"/>
      <c r="BD90" s="366"/>
      <c r="BE90" s="366"/>
      <c r="BF90" s="366"/>
      <c r="BG90" s="892" t="s">
        <v>3</v>
      </c>
      <c r="BH90" s="901"/>
      <c r="BI90" s="361"/>
      <c r="BJ90" s="359"/>
      <c r="BK90" s="359"/>
      <c r="BL90" s="360"/>
      <c r="BM90" s="360"/>
      <c r="BN90" s="360"/>
      <c r="BO90" s="360"/>
      <c r="BP90" s="360"/>
      <c r="BQ90" s="360"/>
      <c r="BR90" s="360"/>
      <c r="BS90" s="360"/>
      <c r="BT90" s="360"/>
      <c r="BU90" s="360"/>
      <c r="BV90" s="360"/>
      <c r="BW90" s="360"/>
      <c r="BX90" s="360"/>
      <c r="BY90" s="360"/>
      <c r="BZ90" s="360"/>
      <c r="CA90" s="360"/>
      <c r="CB90" s="360"/>
    </row>
    <row r="91" spans="1:222" ht="69.95" customHeight="1">
      <c r="A91" s="894" t="s">
        <v>0</v>
      </c>
      <c r="B91" s="896" t="s">
        <v>42</v>
      </c>
      <c r="C91" s="896" t="s">
        <v>43</v>
      </c>
      <c r="D91" s="349"/>
      <c r="E91" s="894" t="s">
        <v>44</v>
      </c>
      <c r="F91" s="957" t="s">
        <v>136</v>
      </c>
      <c r="G91" s="957" t="s">
        <v>129</v>
      </c>
      <c r="H91" s="891"/>
      <c r="I91" s="891"/>
      <c r="J91" s="891"/>
      <c r="K91" s="891" t="s">
        <v>11</v>
      </c>
      <c r="L91" s="891"/>
      <c r="M91" s="891"/>
      <c r="N91" s="891" t="s">
        <v>38</v>
      </c>
      <c r="O91" s="891"/>
      <c r="P91" s="891"/>
      <c r="Q91" s="891" t="s">
        <v>39</v>
      </c>
      <c r="R91" s="891"/>
      <c r="S91" s="891"/>
      <c r="T91" s="946" t="s">
        <v>47</v>
      </c>
      <c r="U91" s="947"/>
      <c r="V91" s="948"/>
      <c r="W91" s="368"/>
      <c r="X91" s="891" t="s">
        <v>13</v>
      </c>
      <c r="Y91" s="894" t="s">
        <v>30</v>
      </c>
      <c r="Z91" s="894"/>
      <c r="AA91" s="894" t="s">
        <v>23</v>
      </c>
      <c r="AB91" s="894"/>
      <c r="AC91" s="894" t="s">
        <v>31</v>
      </c>
      <c r="AD91" s="894"/>
      <c r="AE91" s="892" t="s">
        <v>1</v>
      </c>
      <c r="AF91" s="893"/>
      <c r="AG91" s="894" t="s">
        <v>32</v>
      </c>
      <c r="AH91" s="894" t="s">
        <v>30</v>
      </c>
      <c r="AI91" s="894"/>
      <c r="AJ91" s="894" t="s">
        <v>23</v>
      </c>
      <c r="AK91" s="894"/>
      <c r="AL91" s="894" t="s">
        <v>31</v>
      </c>
      <c r="AM91" s="894"/>
      <c r="AN91" s="892" t="s">
        <v>1</v>
      </c>
      <c r="AO91" s="893"/>
      <c r="AP91" s="894" t="s">
        <v>32</v>
      </c>
      <c r="AQ91" s="891" t="s">
        <v>33</v>
      </c>
      <c r="AR91" s="891"/>
      <c r="AS91" s="891"/>
      <c r="AT91" s="891"/>
      <c r="AU91" s="891"/>
      <c r="AV91" s="902" t="s">
        <v>22</v>
      </c>
      <c r="AW91" s="348"/>
      <c r="AX91" s="348"/>
      <c r="AY91" s="891" t="s">
        <v>14</v>
      </c>
      <c r="AZ91" s="891" t="s">
        <v>18</v>
      </c>
      <c r="BA91" s="891" t="s">
        <v>19</v>
      </c>
      <c r="BB91" s="891" t="s">
        <v>20</v>
      </c>
      <c r="BC91" s="368"/>
      <c r="BD91" s="368"/>
      <c r="BE91" s="936" t="s">
        <v>175</v>
      </c>
      <c r="BF91" s="937"/>
      <c r="BG91" s="901" t="s">
        <v>0</v>
      </c>
      <c r="BH91" s="896" t="s">
        <v>42</v>
      </c>
      <c r="BI91" s="896" t="s">
        <v>43</v>
      </c>
      <c r="BJ91" s="909" t="s">
        <v>36</v>
      </c>
      <c r="BK91" s="909"/>
      <c r="BL91" s="910" t="s">
        <v>141</v>
      </c>
      <c r="BM91" s="910"/>
      <c r="BN91" s="894" t="s">
        <v>4</v>
      </c>
      <c r="BO91" s="894"/>
      <c r="BP91" s="894" t="s">
        <v>5</v>
      </c>
      <c r="BQ91" s="894"/>
      <c r="BR91" s="894" t="s">
        <v>6</v>
      </c>
      <c r="BS91" s="894"/>
      <c r="BT91" s="894" t="s">
        <v>7</v>
      </c>
      <c r="BU91" s="894"/>
      <c r="BV91" s="894" t="s">
        <v>8</v>
      </c>
      <c r="BW91" s="894"/>
      <c r="BX91" s="894" t="s">
        <v>9</v>
      </c>
      <c r="BY91" s="894"/>
      <c r="BZ91" s="894" t="s">
        <v>21</v>
      </c>
      <c r="CA91" s="894"/>
      <c r="CB91" s="894"/>
    </row>
    <row r="92" spans="1:222" ht="69.95" customHeight="1">
      <c r="A92" s="894"/>
      <c r="B92" s="897"/>
      <c r="C92" s="897"/>
      <c r="D92" s="350"/>
      <c r="E92" s="894"/>
      <c r="F92" s="958"/>
      <c r="G92" s="958"/>
      <c r="H92" s="346" t="s">
        <v>16</v>
      </c>
      <c r="I92" s="346" t="s">
        <v>17</v>
      </c>
      <c r="J92" s="346" t="s">
        <v>32</v>
      </c>
      <c r="K92" s="346" t="s">
        <v>16</v>
      </c>
      <c r="L92" s="346" t="s">
        <v>17</v>
      </c>
      <c r="M92" s="346" t="s">
        <v>32</v>
      </c>
      <c r="N92" s="346" t="s">
        <v>16</v>
      </c>
      <c r="O92" s="346" t="s">
        <v>17</v>
      </c>
      <c r="P92" s="346" t="s">
        <v>32</v>
      </c>
      <c r="Q92" s="346" t="s">
        <v>16</v>
      </c>
      <c r="R92" s="346" t="s">
        <v>17</v>
      </c>
      <c r="S92" s="346" t="s">
        <v>32</v>
      </c>
      <c r="T92" s="346" t="s">
        <v>16</v>
      </c>
      <c r="U92" s="346" t="s">
        <v>17</v>
      </c>
      <c r="V92" s="346" t="s">
        <v>32</v>
      </c>
      <c r="W92" s="346"/>
      <c r="X92" s="891"/>
      <c r="Y92" s="346" t="s">
        <v>16</v>
      </c>
      <c r="Z92" s="346" t="s">
        <v>17</v>
      </c>
      <c r="AA92" s="346" t="s">
        <v>16</v>
      </c>
      <c r="AB92" s="346" t="s">
        <v>17</v>
      </c>
      <c r="AC92" s="346" t="s">
        <v>16</v>
      </c>
      <c r="AD92" s="346" t="s">
        <v>17</v>
      </c>
      <c r="AE92" s="346" t="s">
        <v>16</v>
      </c>
      <c r="AF92" s="346" t="s">
        <v>17</v>
      </c>
      <c r="AG92" s="894"/>
      <c r="AH92" s="346" t="s">
        <v>16</v>
      </c>
      <c r="AI92" s="346" t="s">
        <v>17</v>
      </c>
      <c r="AJ92" s="346" t="s">
        <v>16</v>
      </c>
      <c r="AK92" s="346" t="s">
        <v>17</v>
      </c>
      <c r="AL92" s="346" t="s">
        <v>16</v>
      </c>
      <c r="AM92" s="346" t="s">
        <v>17</v>
      </c>
      <c r="AN92" s="346" t="s">
        <v>16</v>
      </c>
      <c r="AO92" s="346" t="s">
        <v>17</v>
      </c>
      <c r="AP92" s="894"/>
      <c r="AQ92" s="346" t="s">
        <v>16</v>
      </c>
      <c r="AR92" s="346" t="s">
        <v>17</v>
      </c>
      <c r="AS92" s="346"/>
      <c r="AT92" s="346"/>
      <c r="AU92" s="346" t="s">
        <v>32</v>
      </c>
      <c r="AV92" s="902"/>
      <c r="AW92" s="348"/>
      <c r="AX92" s="348"/>
      <c r="AY92" s="891"/>
      <c r="AZ92" s="891"/>
      <c r="BA92" s="891"/>
      <c r="BB92" s="891"/>
      <c r="BC92" s="368"/>
      <c r="BD92" s="368"/>
      <c r="BE92" s="938"/>
      <c r="BF92" s="939"/>
      <c r="BG92" s="901"/>
      <c r="BH92" s="897"/>
      <c r="BI92" s="897"/>
      <c r="BJ92" s="371" t="s">
        <v>16</v>
      </c>
      <c r="BK92" s="371" t="s">
        <v>17</v>
      </c>
      <c r="BL92" s="346" t="s">
        <v>16</v>
      </c>
      <c r="BM92" s="346" t="s">
        <v>17</v>
      </c>
      <c r="BN92" s="346" t="s">
        <v>16</v>
      </c>
      <c r="BO92" s="346" t="s">
        <v>17</v>
      </c>
      <c r="BP92" s="346" t="s">
        <v>16</v>
      </c>
      <c r="BQ92" s="346" t="s">
        <v>17</v>
      </c>
      <c r="BR92" s="346" t="s">
        <v>16</v>
      </c>
      <c r="BS92" s="346" t="s">
        <v>17</v>
      </c>
      <c r="BT92" s="346" t="s">
        <v>16</v>
      </c>
      <c r="BU92" s="346" t="s">
        <v>17</v>
      </c>
      <c r="BV92" s="346" t="s">
        <v>16</v>
      </c>
      <c r="BW92" s="346" t="s">
        <v>17</v>
      </c>
      <c r="BX92" s="346" t="s">
        <v>16</v>
      </c>
      <c r="BY92" s="346" t="s">
        <v>17</v>
      </c>
      <c r="BZ92" s="346" t="s">
        <v>16</v>
      </c>
      <c r="CA92" s="346" t="s">
        <v>17</v>
      </c>
      <c r="CB92" s="351" t="s">
        <v>32</v>
      </c>
    </row>
    <row r="93" spans="1:222" s="13" customFormat="1" ht="69.95" customHeight="1">
      <c r="A93" s="430">
        <v>1</v>
      </c>
      <c r="B93" s="431" t="str">
        <f t="shared" ref="B93:C97" si="91">B6</f>
        <v xml:space="preserve">CDG-UHC BALDIA </v>
      </c>
      <c r="C93" s="431" t="str">
        <f t="shared" si="91"/>
        <v>BALDIA</v>
      </c>
      <c r="D93" s="431"/>
      <c r="E93" s="432">
        <f>E6</f>
        <v>250000</v>
      </c>
      <c r="F93" s="613">
        <f>(G93*2)+G93*0.25</f>
        <v>56.25</v>
      </c>
      <c r="G93" s="449">
        <v>25</v>
      </c>
      <c r="H93" s="377">
        <v>2</v>
      </c>
      <c r="I93" s="377">
        <v>4</v>
      </c>
      <c r="J93" s="378">
        <f>SUM(H93:I93)</f>
        <v>6</v>
      </c>
      <c r="K93" s="394">
        <v>1</v>
      </c>
      <c r="L93" s="394">
        <v>0</v>
      </c>
      <c r="M93" s="378">
        <f>SUM(K93:L93)</f>
        <v>1</v>
      </c>
      <c r="N93" s="394">
        <v>0</v>
      </c>
      <c r="O93" s="394">
        <v>0</v>
      </c>
      <c r="P93" s="378">
        <f>SUM(N93:O93)</f>
        <v>0</v>
      </c>
      <c r="Q93" s="394">
        <v>0</v>
      </c>
      <c r="R93" s="394">
        <v>0</v>
      </c>
      <c r="S93" s="378">
        <f t="shared" ref="S93:S110" si="92">SUM(Q93:R93)</f>
        <v>0</v>
      </c>
      <c r="T93" s="378"/>
      <c r="U93" s="378"/>
      <c r="V93" s="378">
        <f t="shared" ref="V93:V113" si="93">SUM(S93,P93,M93,J93)</f>
        <v>7</v>
      </c>
      <c r="W93" s="378"/>
      <c r="X93" s="380">
        <f>J93*4/(E93*0.0008)</f>
        <v>0.12</v>
      </c>
      <c r="Y93" s="381"/>
      <c r="Z93" s="381"/>
      <c r="AA93" s="381"/>
      <c r="AB93" s="377"/>
      <c r="AC93" s="377"/>
      <c r="AD93" s="377"/>
      <c r="AE93" s="377">
        <v>1</v>
      </c>
      <c r="AF93" s="377">
        <v>2</v>
      </c>
      <c r="AG93" s="382">
        <f>AE93+AF93</f>
        <v>3</v>
      </c>
      <c r="AH93" s="381"/>
      <c r="AI93" s="383"/>
      <c r="AJ93" s="383"/>
      <c r="AK93" s="377"/>
      <c r="AL93" s="377"/>
      <c r="AM93" s="377"/>
      <c r="AN93" s="377">
        <v>1</v>
      </c>
      <c r="AO93" s="377">
        <v>4</v>
      </c>
      <c r="AP93" s="382">
        <f t="shared" ref="AP93:AP110" si="94">AN93+AO93</f>
        <v>5</v>
      </c>
      <c r="AQ93" s="383">
        <f>AN93+AE93+T93+Q93+N93+K93+H93</f>
        <v>5</v>
      </c>
      <c r="AR93" s="383">
        <f>AO93+AF93+U93+R93+O93+L93+I93</f>
        <v>10</v>
      </c>
      <c r="AS93" s="384"/>
      <c r="AT93" s="384"/>
      <c r="AU93" s="385">
        <f>AQ93+AR93</f>
        <v>15</v>
      </c>
      <c r="AV93" s="380">
        <f>H93/(H93+AG93)</f>
        <v>0.4</v>
      </c>
      <c r="AW93" s="380"/>
      <c r="AX93" s="380"/>
      <c r="AY93" s="380">
        <f t="shared" ref="AY93:AY113" si="95">AU93*4/(E93*0.00177)</f>
        <v>0.13559322033898305</v>
      </c>
      <c r="AZ93" s="380">
        <f t="shared" ref="AZ93:AZ113" si="96">(M93+P93+S93)/AU93</f>
        <v>6.6666666666666666E-2</v>
      </c>
      <c r="BA93" s="386">
        <f>J93*4/E93*100000</f>
        <v>9.6</v>
      </c>
      <c r="BB93" s="387">
        <f t="shared" ref="BB93:BB113" si="97">AU93*4/E93*100000</f>
        <v>24</v>
      </c>
      <c r="BC93" s="433"/>
      <c r="BD93" s="433"/>
      <c r="BE93" s="433"/>
      <c r="BF93" s="433"/>
      <c r="BG93" s="434">
        <v>1</v>
      </c>
      <c r="BH93" s="431">
        <f t="shared" ref="BH93:BI97" si="98">BH121</f>
        <v>0</v>
      </c>
      <c r="BI93" s="431">
        <f t="shared" si="98"/>
        <v>0</v>
      </c>
      <c r="BJ93" s="390"/>
      <c r="BK93" s="390"/>
      <c r="BL93" s="394">
        <v>0</v>
      </c>
      <c r="BM93" s="394">
        <v>2</v>
      </c>
      <c r="BN93" s="394">
        <v>0</v>
      </c>
      <c r="BO93" s="394">
        <v>1</v>
      </c>
      <c r="BP93" s="394">
        <v>0</v>
      </c>
      <c r="BQ93" s="394">
        <v>0</v>
      </c>
      <c r="BR93" s="394">
        <v>0</v>
      </c>
      <c r="BS93" s="394">
        <v>1</v>
      </c>
      <c r="BT93" s="394">
        <v>0</v>
      </c>
      <c r="BU93" s="394">
        <v>0</v>
      </c>
      <c r="BV93" s="394">
        <v>2</v>
      </c>
      <c r="BW93" s="394">
        <v>0</v>
      </c>
      <c r="BX93" s="394">
        <v>0</v>
      </c>
      <c r="BY93" s="394">
        <v>0</v>
      </c>
      <c r="BZ93" s="383">
        <f>BX93+BV93+BT93+BR93+BP93+BN93+BL93+BJ93</f>
        <v>2</v>
      </c>
      <c r="CA93" s="383">
        <f>BY93+BW93+BU93+BS93+BQ93+BO93+BM93+BK93</f>
        <v>4</v>
      </c>
      <c r="CB93" s="384">
        <f>CA93+BZ93</f>
        <v>6</v>
      </c>
      <c r="CC93" s="16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4"/>
      <c r="HM93" s="14"/>
      <c r="HN93" s="14"/>
    </row>
    <row r="94" spans="1:222" s="25" customFormat="1" ht="69.95" customHeight="1">
      <c r="A94" s="435">
        <v>2</v>
      </c>
      <c r="B94" s="436" t="str">
        <f t="shared" si="91"/>
        <v xml:space="preserve">CDG-SGH I.HAIDERI </v>
      </c>
      <c r="C94" s="436" t="str">
        <f t="shared" si="91"/>
        <v>BIN-QASIM</v>
      </c>
      <c r="D94" s="436"/>
      <c r="E94" s="441">
        <f>E7</f>
        <v>250000</v>
      </c>
      <c r="F94" s="613">
        <f t="shared" ref="F94:F108" si="99">(G94*2)+G94*0.25</f>
        <v>67.5</v>
      </c>
      <c r="G94" s="614">
        <v>30</v>
      </c>
      <c r="H94" s="394">
        <v>6</v>
      </c>
      <c r="I94" s="394">
        <v>10</v>
      </c>
      <c r="J94" s="378">
        <f t="shared" ref="J94:J110" si="100">SUM(H94:I94)</f>
        <v>16</v>
      </c>
      <c r="K94" s="394">
        <v>2</v>
      </c>
      <c r="L94" s="394">
        <v>0</v>
      </c>
      <c r="M94" s="378">
        <f t="shared" ref="M94:M110" si="101">SUM(K94:L94)</f>
        <v>2</v>
      </c>
      <c r="N94" s="394">
        <v>0</v>
      </c>
      <c r="O94" s="394">
        <v>0</v>
      </c>
      <c r="P94" s="378">
        <f t="shared" ref="P94:P110" si="102">SUM(N94:O94)</f>
        <v>0</v>
      </c>
      <c r="Q94" s="394">
        <v>0</v>
      </c>
      <c r="R94" s="394">
        <v>0</v>
      </c>
      <c r="S94" s="378">
        <f t="shared" si="92"/>
        <v>0</v>
      </c>
      <c r="T94" s="378"/>
      <c r="U94" s="378"/>
      <c r="V94" s="378">
        <f t="shared" si="93"/>
        <v>18</v>
      </c>
      <c r="W94" s="378"/>
      <c r="X94" s="379">
        <f t="shared" ref="X94:X110" si="103">J94*4/(E94*0.0008)</f>
        <v>0.32</v>
      </c>
      <c r="Y94" s="382"/>
      <c r="Z94" s="382"/>
      <c r="AA94" s="382"/>
      <c r="AB94" s="394"/>
      <c r="AC94" s="394"/>
      <c r="AD94" s="394"/>
      <c r="AE94" s="377">
        <v>3</v>
      </c>
      <c r="AF94" s="377">
        <v>1</v>
      </c>
      <c r="AG94" s="382">
        <f t="shared" ref="AG94:AG110" si="104">AE94+AF94</f>
        <v>4</v>
      </c>
      <c r="AH94" s="382"/>
      <c r="AI94" s="378"/>
      <c r="AJ94" s="378"/>
      <c r="AK94" s="394"/>
      <c r="AL94" s="394"/>
      <c r="AM94" s="394"/>
      <c r="AN94" s="377">
        <v>1</v>
      </c>
      <c r="AO94" s="377">
        <v>2</v>
      </c>
      <c r="AP94" s="382">
        <f t="shared" si="94"/>
        <v>3</v>
      </c>
      <c r="AQ94" s="383">
        <f t="shared" ref="AQ94:AQ111" si="105">AN94+AE94+T94+Q94+N94+K94+H94</f>
        <v>12</v>
      </c>
      <c r="AR94" s="383">
        <f t="shared" ref="AR94:AR111" si="106">AO94+AF94+U94+R94+O94+L94+I94</f>
        <v>13</v>
      </c>
      <c r="AS94" s="384"/>
      <c r="AT94" s="384"/>
      <c r="AU94" s="385">
        <f t="shared" ref="AU94:AU113" si="107">AQ94+AR94</f>
        <v>25</v>
      </c>
      <c r="AV94" s="380">
        <f t="shared" ref="AV94:AV113" si="108">H94/(H94+AG94)</f>
        <v>0.6</v>
      </c>
      <c r="AW94" s="379"/>
      <c r="AX94" s="379"/>
      <c r="AY94" s="379">
        <f t="shared" si="95"/>
        <v>0.22598870056497175</v>
      </c>
      <c r="AZ94" s="379">
        <f t="shared" si="96"/>
        <v>0.08</v>
      </c>
      <c r="BA94" s="395">
        <f t="shared" ref="BA94:BA113" si="109">J94*4/E94*100000</f>
        <v>25.599999999999998</v>
      </c>
      <c r="BB94" s="396">
        <f t="shared" si="97"/>
        <v>40</v>
      </c>
      <c r="BC94" s="396"/>
      <c r="BD94" s="396"/>
      <c r="BE94" s="396"/>
      <c r="BF94" s="396"/>
      <c r="BG94" s="438">
        <v>4</v>
      </c>
      <c r="BH94" s="436">
        <f t="shared" si="98"/>
        <v>0</v>
      </c>
      <c r="BI94" s="436">
        <f t="shared" si="98"/>
        <v>0</v>
      </c>
      <c r="BJ94" s="390"/>
      <c r="BK94" s="390"/>
      <c r="BL94" s="394">
        <v>0</v>
      </c>
      <c r="BM94" s="394">
        <v>1</v>
      </c>
      <c r="BN94" s="394">
        <v>1</v>
      </c>
      <c r="BO94" s="394">
        <v>4</v>
      </c>
      <c r="BP94" s="394">
        <v>2</v>
      </c>
      <c r="BQ94" s="394">
        <v>0</v>
      </c>
      <c r="BR94" s="394">
        <v>0</v>
      </c>
      <c r="BS94" s="394">
        <v>2</v>
      </c>
      <c r="BT94" s="394">
        <v>0</v>
      </c>
      <c r="BU94" s="394">
        <v>2</v>
      </c>
      <c r="BV94" s="394">
        <v>1</v>
      </c>
      <c r="BW94" s="394">
        <v>0</v>
      </c>
      <c r="BX94" s="394">
        <v>2</v>
      </c>
      <c r="BY94" s="394">
        <v>1</v>
      </c>
      <c r="BZ94" s="378">
        <f t="shared" ref="BZ94:BZ110" si="110">BX94+BV94+BT94+BR94+BP94+BN94+BL94+BJ94</f>
        <v>6</v>
      </c>
      <c r="CA94" s="378">
        <f t="shared" ref="CA94:CA110" si="111">BY94+BW94+BU94+BS94+BQ94+BO94+BM94+BK94</f>
        <v>10</v>
      </c>
      <c r="CB94" s="385">
        <f t="shared" ref="CB94:CB110" si="112">CA94+BZ94</f>
        <v>16</v>
      </c>
      <c r="CC94" s="26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</row>
    <row r="95" spans="1:222" s="13" customFormat="1" ht="69.95" customHeight="1">
      <c r="A95" s="430">
        <v>3</v>
      </c>
      <c r="B95" s="439" t="str">
        <f t="shared" si="91"/>
        <v>CDG- LEPROSY HOSPITAL</v>
      </c>
      <c r="C95" s="439" t="str">
        <f t="shared" si="91"/>
        <v>GADAP</v>
      </c>
      <c r="D95" s="439"/>
      <c r="E95" s="440">
        <f>E8</f>
        <v>100000</v>
      </c>
      <c r="F95" s="613">
        <f t="shared" si="99"/>
        <v>67.5</v>
      </c>
      <c r="G95" s="614">
        <v>30</v>
      </c>
      <c r="H95" s="377">
        <v>5</v>
      </c>
      <c r="I95" s="377">
        <v>5</v>
      </c>
      <c r="J95" s="378">
        <f t="shared" si="100"/>
        <v>10</v>
      </c>
      <c r="K95" s="394">
        <v>1</v>
      </c>
      <c r="L95" s="394">
        <v>1</v>
      </c>
      <c r="M95" s="378">
        <f t="shared" si="101"/>
        <v>2</v>
      </c>
      <c r="N95" s="394">
        <v>0</v>
      </c>
      <c r="O95" s="394">
        <v>0</v>
      </c>
      <c r="P95" s="378">
        <f t="shared" si="102"/>
        <v>0</v>
      </c>
      <c r="Q95" s="394">
        <v>1</v>
      </c>
      <c r="R95" s="394">
        <v>0</v>
      </c>
      <c r="S95" s="378">
        <f t="shared" si="92"/>
        <v>1</v>
      </c>
      <c r="T95" s="378"/>
      <c r="U95" s="378"/>
      <c r="V95" s="378">
        <f t="shared" si="93"/>
        <v>13</v>
      </c>
      <c r="W95" s="378"/>
      <c r="X95" s="380">
        <f t="shared" si="103"/>
        <v>0.5</v>
      </c>
      <c r="Y95" s="381"/>
      <c r="Z95" s="381"/>
      <c r="AA95" s="381"/>
      <c r="AB95" s="377"/>
      <c r="AC95" s="377"/>
      <c r="AD95" s="377"/>
      <c r="AE95" s="377">
        <v>2</v>
      </c>
      <c r="AF95" s="377">
        <v>3</v>
      </c>
      <c r="AG95" s="382">
        <f t="shared" si="104"/>
        <v>5</v>
      </c>
      <c r="AH95" s="381"/>
      <c r="AI95" s="383"/>
      <c r="AJ95" s="383"/>
      <c r="AK95" s="377"/>
      <c r="AL95" s="377"/>
      <c r="AM95" s="377"/>
      <c r="AN95" s="377">
        <v>2</v>
      </c>
      <c r="AO95" s="377">
        <v>0</v>
      </c>
      <c r="AP95" s="382">
        <f t="shared" si="94"/>
        <v>2</v>
      </c>
      <c r="AQ95" s="383">
        <f t="shared" si="105"/>
        <v>11</v>
      </c>
      <c r="AR95" s="383">
        <f t="shared" si="106"/>
        <v>9</v>
      </c>
      <c r="AS95" s="384"/>
      <c r="AT95" s="384"/>
      <c r="AU95" s="385">
        <f t="shared" si="107"/>
        <v>20</v>
      </c>
      <c r="AV95" s="380">
        <f t="shared" si="108"/>
        <v>0.5</v>
      </c>
      <c r="AW95" s="380"/>
      <c r="AX95" s="380"/>
      <c r="AY95" s="380">
        <f t="shared" si="95"/>
        <v>0.4519774011299435</v>
      </c>
      <c r="AZ95" s="380">
        <f t="shared" si="96"/>
        <v>0.15</v>
      </c>
      <c r="BA95" s="386">
        <f t="shared" si="109"/>
        <v>40</v>
      </c>
      <c r="BB95" s="387">
        <f t="shared" si="97"/>
        <v>80</v>
      </c>
      <c r="BC95" s="387"/>
      <c r="BD95" s="387"/>
      <c r="BE95" s="387"/>
      <c r="BF95" s="387"/>
      <c r="BG95" s="438">
        <v>5</v>
      </c>
      <c r="BH95" s="439">
        <f t="shared" si="98"/>
        <v>0</v>
      </c>
      <c r="BI95" s="439">
        <f t="shared" si="98"/>
        <v>0</v>
      </c>
      <c r="BJ95" s="390"/>
      <c r="BK95" s="390"/>
      <c r="BL95" s="394">
        <v>0</v>
      </c>
      <c r="BM95" s="394">
        <v>0</v>
      </c>
      <c r="BN95" s="394">
        <v>2</v>
      </c>
      <c r="BO95" s="394">
        <v>2</v>
      </c>
      <c r="BP95" s="394">
        <v>1</v>
      </c>
      <c r="BQ95" s="394">
        <v>0</v>
      </c>
      <c r="BR95" s="394">
        <v>2</v>
      </c>
      <c r="BS95" s="394">
        <v>1</v>
      </c>
      <c r="BT95" s="394">
        <v>0</v>
      </c>
      <c r="BU95" s="394">
        <v>1</v>
      </c>
      <c r="BV95" s="394">
        <v>0</v>
      </c>
      <c r="BW95" s="394">
        <v>1</v>
      </c>
      <c r="BX95" s="394">
        <v>0</v>
      </c>
      <c r="BY95" s="394">
        <v>0</v>
      </c>
      <c r="BZ95" s="383">
        <f t="shared" si="110"/>
        <v>5</v>
      </c>
      <c r="CA95" s="383">
        <f t="shared" si="111"/>
        <v>5</v>
      </c>
      <c r="CB95" s="384">
        <f t="shared" si="112"/>
        <v>10</v>
      </c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</row>
    <row r="96" spans="1:222" s="25" customFormat="1" ht="69.95" customHeight="1">
      <c r="A96" s="435">
        <v>4</v>
      </c>
      <c r="B96" s="436" t="str">
        <f t="shared" si="91"/>
        <v xml:space="preserve">CDG-RHC MURAD MEMON GOTH </v>
      </c>
      <c r="C96" s="436" t="str">
        <f t="shared" si="91"/>
        <v>GADAP</v>
      </c>
      <c r="D96" s="436"/>
      <c r="E96" s="437">
        <f>E9</f>
        <v>100000</v>
      </c>
      <c r="F96" s="613">
        <f t="shared" si="99"/>
        <v>56.25</v>
      </c>
      <c r="G96" s="614">
        <v>25</v>
      </c>
      <c r="H96" s="394">
        <v>3</v>
      </c>
      <c r="I96" s="394">
        <v>4</v>
      </c>
      <c r="J96" s="378">
        <f t="shared" si="100"/>
        <v>7</v>
      </c>
      <c r="K96" s="394">
        <v>0</v>
      </c>
      <c r="L96" s="394">
        <v>0</v>
      </c>
      <c r="M96" s="378">
        <f t="shared" si="101"/>
        <v>0</v>
      </c>
      <c r="N96" s="394">
        <v>0</v>
      </c>
      <c r="O96" s="394">
        <v>0</v>
      </c>
      <c r="P96" s="378">
        <f t="shared" si="102"/>
        <v>0</v>
      </c>
      <c r="Q96" s="394">
        <v>0</v>
      </c>
      <c r="R96" s="394">
        <v>1</v>
      </c>
      <c r="S96" s="378">
        <f t="shared" si="92"/>
        <v>1</v>
      </c>
      <c r="T96" s="378"/>
      <c r="U96" s="378"/>
      <c r="V96" s="378">
        <f t="shared" si="93"/>
        <v>8</v>
      </c>
      <c r="W96" s="378"/>
      <c r="X96" s="379">
        <f t="shared" si="103"/>
        <v>0.35</v>
      </c>
      <c r="Y96" s="382"/>
      <c r="Z96" s="382"/>
      <c r="AA96" s="382"/>
      <c r="AB96" s="394"/>
      <c r="AC96" s="394"/>
      <c r="AD96" s="394"/>
      <c r="AE96" s="377">
        <v>0</v>
      </c>
      <c r="AF96" s="377">
        <v>0</v>
      </c>
      <c r="AG96" s="382">
        <f t="shared" si="104"/>
        <v>0</v>
      </c>
      <c r="AH96" s="382"/>
      <c r="AI96" s="378"/>
      <c r="AJ96" s="378"/>
      <c r="AK96" s="394"/>
      <c r="AL96" s="394"/>
      <c r="AM96" s="394"/>
      <c r="AN96" s="377">
        <v>0</v>
      </c>
      <c r="AO96" s="377">
        <v>1</v>
      </c>
      <c r="AP96" s="382">
        <f t="shared" si="94"/>
        <v>1</v>
      </c>
      <c r="AQ96" s="383">
        <f t="shared" si="105"/>
        <v>3</v>
      </c>
      <c r="AR96" s="383">
        <f t="shared" si="106"/>
        <v>6</v>
      </c>
      <c r="AS96" s="384"/>
      <c r="AT96" s="384"/>
      <c r="AU96" s="385">
        <f t="shared" si="107"/>
        <v>9</v>
      </c>
      <c r="AV96" s="380">
        <f t="shared" si="108"/>
        <v>1</v>
      </c>
      <c r="AW96" s="379"/>
      <c r="AX96" s="379"/>
      <c r="AY96" s="379">
        <f t="shared" si="95"/>
        <v>0.20338983050847459</v>
      </c>
      <c r="AZ96" s="379">
        <f t="shared" si="96"/>
        <v>0.1111111111111111</v>
      </c>
      <c r="BA96" s="395">
        <f t="shared" si="109"/>
        <v>27.999999999999996</v>
      </c>
      <c r="BB96" s="396">
        <f t="shared" si="97"/>
        <v>36</v>
      </c>
      <c r="BC96" s="396"/>
      <c r="BD96" s="396"/>
      <c r="BE96" s="396"/>
      <c r="BF96" s="396"/>
      <c r="BG96" s="438">
        <v>6</v>
      </c>
      <c r="BH96" s="436">
        <f t="shared" si="98"/>
        <v>0</v>
      </c>
      <c r="BI96" s="436">
        <f t="shared" si="98"/>
        <v>0</v>
      </c>
      <c r="BJ96" s="390"/>
      <c r="BK96" s="390"/>
      <c r="BL96" s="394">
        <v>0</v>
      </c>
      <c r="BM96" s="394">
        <v>0</v>
      </c>
      <c r="BN96" s="394">
        <v>2</v>
      </c>
      <c r="BO96" s="394">
        <v>2</v>
      </c>
      <c r="BP96" s="394">
        <v>1</v>
      </c>
      <c r="BQ96" s="394">
        <v>0</v>
      </c>
      <c r="BR96" s="394">
        <v>0</v>
      </c>
      <c r="BS96" s="394">
        <v>0</v>
      </c>
      <c r="BT96" s="394">
        <v>0</v>
      </c>
      <c r="BU96" s="394">
        <v>1</v>
      </c>
      <c r="BV96" s="394">
        <v>0</v>
      </c>
      <c r="BW96" s="394">
        <v>0</v>
      </c>
      <c r="BX96" s="394">
        <v>0</v>
      </c>
      <c r="BY96" s="394">
        <v>1</v>
      </c>
      <c r="BZ96" s="378">
        <f t="shared" si="110"/>
        <v>3</v>
      </c>
      <c r="CA96" s="378">
        <f t="shared" si="111"/>
        <v>4</v>
      </c>
      <c r="CB96" s="385">
        <f t="shared" si="112"/>
        <v>7</v>
      </c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</row>
    <row r="97" spans="1:222" s="13" customFormat="1" ht="69.95" customHeight="1">
      <c r="A97" s="430">
        <v>5</v>
      </c>
      <c r="B97" s="439" t="str">
        <f t="shared" si="91"/>
        <v>SAMAN ABAD DISPENSARY</v>
      </c>
      <c r="C97" s="439" t="str">
        <f t="shared" si="91"/>
        <v>GULBERG</v>
      </c>
      <c r="D97" s="439"/>
      <c r="E97" s="440">
        <f>E10</f>
        <v>500000</v>
      </c>
      <c r="F97" s="613">
        <f t="shared" si="99"/>
        <v>56.25</v>
      </c>
      <c r="G97" s="449">
        <v>25</v>
      </c>
      <c r="H97" s="377">
        <v>1</v>
      </c>
      <c r="I97" s="377">
        <v>3</v>
      </c>
      <c r="J97" s="378">
        <f t="shared" si="100"/>
        <v>4</v>
      </c>
      <c r="K97" s="394">
        <v>0</v>
      </c>
      <c r="L97" s="394">
        <v>0</v>
      </c>
      <c r="M97" s="378">
        <f t="shared" si="101"/>
        <v>0</v>
      </c>
      <c r="N97" s="394">
        <v>0</v>
      </c>
      <c r="O97" s="394">
        <v>0</v>
      </c>
      <c r="P97" s="378">
        <f t="shared" si="102"/>
        <v>0</v>
      </c>
      <c r="Q97" s="394">
        <v>0</v>
      </c>
      <c r="R97" s="394">
        <v>0</v>
      </c>
      <c r="S97" s="378">
        <f t="shared" si="92"/>
        <v>0</v>
      </c>
      <c r="T97" s="378"/>
      <c r="U97" s="378"/>
      <c r="V97" s="378">
        <f t="shared" si="93"/>
        <v>4</v>
      </c>
      <c r="W97" s="378"/>
      <c r="X97" s="380">
        <f t="shared" si="103"/>
        <v>0.04</v>
      </c>
      <c r="Y97" s="381"/>
      <c r="Z97" s="381"/>
      <c r="AA97" s="381"/>
      <c r="AB97" s="377"/>
      <c r="AC97" s="377"/>
      <c r="AD97" s="377"/>
      <c r="AE97" s="377">
        <v>1</v>
      </c>
      <c r="AF97" s="377">
        <v>4</v>
      </c>
      <c r="AG97" s="382">
        <f t="shared" si="104"/>
        <v>5</v>
      </c>
      <c r="AH97" s="381"/>
      <c r="AI97" s="383"/>
      <c r="AJ97" s="383"/>
      <c r="AK97" s="377"/>
      <c r="AL97" s="377"/>
      <c r="AM97" s="377"/>
      <c r="AN97" s="377">
        <v>1</v>
      </c>
      <c r="AO97" s="377">
        <v>3</v>
      </c>
      <c r="AP97" s="382">
        <f t="shared" si="94"/>
        <v>4</v>
      </c>
      <c r="AQ97" s="383">
        <f t="shared" si="105"/>
        <v>3</v>
      </c>
      <c r="AR97" s="383">
        <f t="shared" si="106"/>
        <v>10</v>
      </c>
      <c r="AS97" s="384"/>
      <c r="AT97" s="384"/>
      <c r="AU97" s="385">
        <f t="shared" si="107"/>
        <v>13</v>
      </c>
      <c r="AV97" s="380">
        <f t="shared" si="108"/>
        <v>0.16666666666666666</v>
      </c>
      <c r="AW97" s="380"/>
      <c r="AX97" s="380"/>
      <c r="AY97" s="380">
        <f t="shared" si="95"/>
        <v>5.8757062146892657E-2</v>
      </c>
      <c r="AZ97" s="380">
        <f t="shared" si="96"/>
        <v>0</v>
      </c>
      <c r="BA97" s="386">
        <f t="shared" si="109"/>
        <v>3.1999999999999997</v>
      </c>
      <c r="BB97" s="387">
        <f t="shared" si="97"/>
        <v>10.399999999999999</v>
      </c>
      <c r="BC97" s="387"/>
      <c r="BD97" s="387"/>
      <c r="BE97" s="387"/>
      <c r="BF97" s="387"/>
      <c r="BG97" s="438">
        <v>7</v>
      </c>
      <c r="BH97" s="439">
        <f t="shared" si="98"/>
        <v>0</v>
      </c>
      <c r="BI97" s="439">
        <f t="shared" si="98"/>
        <v>0</v>
      </c>
      <c r="BJ97" s="390"/>
      <c r="BK97" s="390"/>
      <c r="BL97" s="394">
        <v>0</v>
      </c>
      <c r="BM97" s="394">
        <v>0</v>
      </c>
      <c r="BN97" s="394">
        <v>0</v>
      </c>
      <c r="BO97" s="394">
        <v>1</v>
      </c>
      <c r="BP97" s="394">
        <v>0</v>
      </c>
      <c r="BQ97" s="394">
        <v>1</v>
      </c>
      <c r="BR97" s="394">
        <v>1</v>
      </c>
      <c r="BS97" s="394">
        <v>1</v>
      </c>
      <c r="BT97" s="394">
        <v>0</v>
      </c>
      <c r="BU97" s="394">
        <v>0</v>
      </c>
      <c r="BV97" s="394">
        <v>0</v>
      </c>
      <c r="BW97" s="394">
        <v>0</v>
      </c>
      <c r="BX97" s="394">
        <v>0</v>
      </c>
      <c r="BY97" s="394">
        <v>0</v>
      </c>
      <c r="BZ97" s="383">
        <f t="shared" si="110"/>
        <v>1</v>
      </c>
      <c r="CA97" s="383">
        <f t="shared" si="111"/>
        <v>3</v>
      </c>
      <c r="CB97" s="384">
        <f t="shared" si="112"/>
        <v>4</v>
      </c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4"/>
      <c r="HM97" s="14"/>
      <c r="HN97" s="14"/>
    </row>
    <row r="98" spans="1:222" s="25" customFormat="1" ht="69.95" customHeight="1">
      <c r="A98" s="435">
        <v>6</v>
      </c>
      <c r="B98" s="436" t="str">
        <f t="shared" ref="B98:C104" si="113">B12</f>
        <v xml:space="preserve">CDG-SGD ABESENA-LINE </v>
      </c>
      <c r="C98" s="436" t="str">
        <f t="shared" si="113"/>
        <v>JAMSHED</v>
      </c>
      <c r="D98" s="436"/>
      <c r="E98" s="441">
        <f t="shared" ref="E98:E104" si="114">E12</f>
        <v>200000</v>
      </c>
      <c r="F98" s="613">
        <f t="shared" si="99"/>
        <v>56.25</v>
      </c>
      <c r="G98" s="614">
        <v>25</v>
      </c>
      <c r="H98" s="394">
        <v>0</v>
      </c>
      <c r="I98" s="394">
        <v>0</v>
      </c>
      <c r="J98" s="378">
        <f t="shared" si="100"/>
        <v>0</v>
      </c>
      <c r="K98" s="394">
        <v>0</v>
      </c>
      <c r="L98" s="394">
        <v>0</v>
      </c>
      <c r="M98" s="378">
        <f t="shared" si="101"/>
        <v>0</v>
      </c>
      <c r="N98" s="394">
        <v>0</v>
      </c>
      <c r="O98" s="394">
        <v>0</v>
      </c>
      <c r="P98" s="378">
        <f t="shared" si="102"/>
        <v>0</v>
      </c>
      <c r="Q98" s="394">
        <v>0</v>
      </c>
      <c r="R98" s="394">
        <v>0</v>
      </c>
      <c r="S98" s="378">
        <f t="shared" si="92"/>
        <v>0</v>
      </c>
      <c r="T98" s="378"/>
      <c r="U98" s="378"/>
      <c r="V98" s="378">
        <f t="shared" si="93"/>
        <v>0</v>
      </c>
      <c r="W98" s="378"/>
      <c r="X98" s="379">
        <f t="shared" si="103"/>
        <v>0</v>
      </c>
      <c r="Y98" s="382"/>
      <c r="Z98" s="382"/>
      <c r="AA98" s="382"/>
      <c r="AB98" s="394"/>
      <c r="AC98" s="394"/>
      <c r="AD98" s="394"/>
      <c r="AE98" s="377">
        <v>1</v>
      </c>
      <c r="AF98" s="377">
        <v>3</v>
      </c>
      <c r="AG98" s="382">
        <f t="shared" si="104"/>
        <v>4</v>
      </c>
      <c r="AH98" s="382"/>
      <c r="AI98" s="378"/>
      <c r="AJ98" s="378"/>
      <c r="AK98" s="394"/>
      <c r="AL98" s="394"/>
      <c r="AM98" s="394"/>
      <c r="AN98" s="377">
        <v>1</v>
      </c>
      <c r="AO98" s="377">
        <v>3</v>
      </c>
      <c r="AP98" s="382">
        <f t="shared" si="94"/>
        <v>4</v>
      </c>
      <c r="AQ98" s="383">
        <f t="shared" si="105"/>
        <v>2</v>
      </c>
      <c r="AR98" s="383">
        <f t="shared" si="106"/>
        <v>6</v>
      </c>
      <c r="AS98" s="384"/>
      <c r="AT98" s="384"/>
      <c r="AU98" s="385">
        <f t="shared" si="107"/>
        <v>8</v>
      </c>
      <c r="AV98" s="380">
        <f t="shared" si="108"/>
        <v>0</v>
      </c>
      <c r="AW98" s="379"/>
      <c r="AX98" s="379"/>
      <c r="AY98" s="379">
        <f t="shared" si="95"/>
        <v>9.03954802259887E-2</v>
      </c>
      <c r="AZ98" s="379">
        <f t="shared" si="96"/>
        <v>0</v>
      </c>
      <c r="BA98" s="395">
        <f t="shared" si="109"/>
        <v>0</v>
      </c>
      <c r="BB98" s="396">
        <f t="shared" si="97"/>
        <v>16</v>
      </c>
      <c r="BC98" s="396"/>
      <c r="BD98" s="396"/>
      <c r="BE98" s="396"/>
      <c r="BF98" s="396"/>
      <c r="BG98" s="438">
        <v>10</v>
      </c>
      <c r="BH98" s="436">
        <f t="shared" ref="BH98:BI104" si="115">BH127</f>
        <v>0</v>
      </c>
      <c r="BI98" s="436">
        <f t="shared" si="115"/>
        <v>0</v>
      </c>
      <c r="BJ98" s="390"/>
      <c r="BK98" s="390"/>
      <c r="BL98" s="394">
        <v>0</v>
      </c>
      <c r="BM98" s="394">
        <v>0</v>
      </c>
      <c r="BN98" s="394">
        <v>0</v>
      </c>
      <c r="BO98" s="394">
        <v>0</v>
      </c>
      <c r="BP98" s="394">
        <v>0</v>
      </c>
      <c r="BQ98" s="394">
        <v>0</v>
      </c>
      <c r="BR98" s="394">
        <v>0</v>
      </c>
      <c r="BS98" s="394">
        <v>0</v>
      </c>
      <c r="BT98" s="394">
        <v>0</v>
      </c>
      <c r="BU98" s="394">
        <v>0</v>
      </c>
      <c r="BV98" s="394">
        <v>0</v>
      </c>
      <c r="BW98" s="394">
        <v>0</v>
      </c>
      <c r="BX98" s="394">
        <v>0</v>
      </c>
      <c r="BY98" s="394">
        <v>0</v>
      </c>
      <c r="BZ98" s="378">
        <f t="shared" si="110"/>
        <v>0</v>
      </c>
      <c r="CA98" s="378">
        <f t="shared" si="111"/>
        <v>0</v>
      </c>
      <c r="CB98" s="385">
        <f t="shared" si="112"/>
        <v>0</v>
      </c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/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/>
      <c r="HH98" s="24"/>
      <c r="HI98" s="24"/>
      <c r="HJ98" s="24"/>
      <c r="HK98" s="24"/>
      <c r="HL98" s="24"/>
      <c r="HM98" s="24"/>
      <c r="HN98" s="24"/>
    </row>
    <row r="99" spans="1:222" s="13" customFormat="1" ht="69.95" customHeight="1">
      <c r="A99" s="430">
        <v>7</v>
      </c>
      <c r="B99" s="439" t="str">
        <f t="shared" si="113"/>
        <v xml:space="preserve">CDG-RHC KEMARI </v>
      </c>
      <c r="C99" s="439" t="str">
        <f t="shared" si="113"/>
        <v>KEMARI</v>
      </c>
      <c r="D99" s="439"/>
      <c r="E99" s="440">
        <f t="shared" si="114"/>
        <v>150000</v>
      </c>
      <c r="F99" s="613">
        <f t="shared" si="99"/>
        <v>56.25</v>
      </c>
      <c r="G99" s="614">
        <v>25</v>
      </c>
      <c r="H99" s="377">
        <v>3</v>
      </c>
      <c r="I99" s="377">
        <v>4</v>
      </c>
      <c r="J99" s="378">
        <f t="shared" si="100"/>
        <v>7</v>
      </c>
      <c r="K99" s="394">
        <v>0</v>
      </c>
      <c r="L99" s="394">
        <v>0</v>
      </c>
      <c r="M99" s="378">
        <f t="shared" si="101"/>
        <v>0</v>
      </c>
      <c r="N99" s="394">
        <v>0</v>
      </c>
      <c r="O99" s="394">
        <v>0</v>
      </c>
      <c r="P99" s="378">
        <f t="shared" si="102"/>
        <v>0</v>
      </c>
      <c r="Q99" s="394">
        <v>0</v>
      </c>
      <c r="R99" s="394">
        <v>0</v>
      </c>
      <c r="S99" s="378">
        <f t="shared" si="92"/>
        <v>0</v>
      </c>
      <c r="T99" s="378"/>
      <c r="U99" s="378"/>
      <c r="V99" s="378">
        <f t="shared" si="93"/>
        <v>7</v>
      </c>
      <c r="W99" s="378"/>
      <c r="X99" s="380">
        <f t="shared" si="103"/>
        <v>0.23333333333333334</v>
      </c>
      <c r="Y99" s="381"/>
      <c r="Z99" s="381"/>
      <c r="AA99" s="381"/>
      <c r="AB99" s="377"/>
      <c r="AC99" s="377"/>
      <c r="AD99" s="377"/>
      <c r="AE99" s="377">
        <v>3</v>
      </c>
      <c r="AF99" s="377">
        <v>7</v>
      </c>
      <c r="AG99" s="382">
        <f t="shared" si="104"/>
        <v>10</v>
      </c>
      <c r="AH99" s="381"/>
      <c r="AI99" s="383"/>
      <c r="AJ99" s="383"/>
      <c r="AK99" s="377"/>
      <c r="AL99" s="377"/>
      <c r="AM99" s="377"/>
      <c r="AN99" s="377">
        <v>2</v>
      </c>
      <c r="AO99" s="377">
        <v>3</v>
      </c>
      <c r="AP99" s="382">
        <f t="shared" si="94"/>
        <v>5</v>
      </c>
      <c r="AQ99" s="383">
        <f t="shared" si="105"/>
        <v>8</v>
      </c>
      <c r="AR99" s="383">
        <f t="shared" si="106"/>
        <v>14</v>
      </c>
      <c r="AS99" s="384"/>
      <c r="AT99" s="384"/>
      <c r="AU99" s="385">
        <f t="shared" si="107"/>
        <v>22</v>
      </c>
      <c r="AV99" s="380">
        <f t="shared" si="108"/>
        <v>0.23076923076923078</v>
      </c>
      <c r="AW99" s="380"/>
      <c r="AX99" s="380"/>
      <c r="AY99" s="380">
        <f t="shared" si="95"/>
        <v>0.33145009416195859</v>
      </c>
      <c r="AZ99" s="380">
        <f t="shared" si="96"/>
        <v>0</v>
      </c>
      <c r="BA99" s="386">
        <f t="shared" si="109"/>
        <v>18.666666666666664</v>
      </c>
      <c r="BB99" s="387">
        <f t="shared" si="97"/>
        <v>58.666666666666664</v>
      </c>
      <c r="BC99" s="387"/>
      <c r="BD99" s="387"/>
      <c r="BE99" s="387"/>
      <c r="BF99" s="387"/>
      <c r="BG99" s="438">
        <v>11</v>
      </c>
      <c r="BH99" s="439">
        <f t="shared" si="115"/>
        <v>0</v>
      </c>
      <c r="BI99" s="439">
        <f t="shared" si="115"/>
        <v>0</v>
      </c>
      <c r="BJ99" s="390"/>
      <c r="BK99" s="390"/>
      <c r="BL99" s="394">
        <v>0</v>
      </c>
      <c r="BM99" s="394">
        <v>0</v>
      </c>
      <c r="BN99" s="394">
        <v>1</v>
      </c>
      <c r="BO99" s="394">
        <v>0</v>
      </c>
      <c r="BP99" s="394">
        <v>1</v>
      </c>
      <c r="BQ99" s="394">
        <v>3</v>
      </c>
      <c r="BR99" s="394">
        <v>0</v>
      </c>
      <c r="BS99" s="394">
        <v>0</v>
      </c>
      <c r="BT99" s="394">
        <v>0</v>
      </c>
      <c r="BU99" s="394">
        <v>0</v>
      </c>
      <c r="BV99" s="394">
        <v>1</v>
      </c>
      <c r="BW99" s="394">
        <v>1</v>
      </c>
      <c r="BX99" s="394">
        <v>0</v>
      </c>
      <c r="BY99" s="394">
        <v>0</v>
      </c>
      <c r="BZ99" s="383">
        <f t="shared" si="110"/>
        <v>3</v>
      </c>
      <c r="CA99" s="383">
        <f t="shared" si="111"/>
        <v>4</v>
      </c>
      <c r="CB99" s="384">
        <f t="shared" si="112"/>
        <v>7</v>
      </c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4"/>
      <c r="HM99" s="14"/>
      <c r="HN99" s="14"/>
    </row>
    <row r="100" spans="1:222" s="25" customFormat="1" ht="69.95" customHeight="1">
      <c r="A100" s="435">
        <v>8</v>
      </c>
      <c r="B100" s="436" t="str">
        <f t="shared" si="113"/>
        <v xml:space="preserve">CDG-SHER SHAH </v>
      </c>
      <c r="C100" s="436" t="str">
        <f t="shared" si="113"/>
        <v>KEMARI</v>
      </c>
      <c r="D100" s="436"/>
      <c r="E100" s="441">
        <f t="shared" si="114"/>
        <v>200000</v>
      </c>
      <c r="F100" s="613">
        <f t="shared" si="99"/>
        <v>56.25</v>
      </c>
      <c r="G100" s="614">
        <v>25</v>
      </c>
      <c r="H100" s="394">
        <v>0</v>
      </c>
      <c r="I100" s="394">
        <v>2</v>
      </c>
      <c r="J100" s="378">
        <f t="shared" si="100"/>
        <v>2</v>
      </c>
      <c r="K100" s="394">
        <v>0</v>
      </c>
      <c r="L100" s="394">
        <v>0</v>
      </c>
      <c r="M100" s="378">
        <f t="shared" si="101"/>
        <v>0</v>
      </c>
      <c r="N100" s="394">
        <v>0</v>
      </c>
      <c r="O100" s="394">
        <v>0</v>
      </c>
      <c r="P100" s="378">
        <f t="shared" si="102"/>
        <v>0</v>
      </c>
      <c r="Q100" s="394">
        <v>0</v>
      </c>
      <c r="R100" s="394">
        <v>0</v>
      </c>
      <c r="S100" s="378">
        <f t="shared" si="92"/>
        <v>0</v>
      </c>
      <c r="T100" s="378"/>
      <c r="U100" s="378"/>
      <c r="V100" s="378">
        <f t="shared" si="93"/>
        <v>2</v>
      </c>
      <c r="W100" s="378"/>
      <c r="X100" s="379">
        <f t="shared" si="103"/>
        <v>0.05</v>
      </c>
      <c r="Y100" s="382"/>
      <c r="Z100" s="382"/>
      <c r="AA100" s="382"/>
      <c r="AB100" s="394"/>
      <c r="AC100" s="394"/>
      <c r="AD100" s="394"/>
      <c r="AE100" s="377">
        <v>0</v>
      </c>
      <c r="AF100" s="377">
        <v>0</v>
      </c>
      <c r="AG100" s="382">
        <f t="shared" si="104"/>
        <v>0</v>
      </c>
      <c r="AH100" s="382"/>
      <c r="AI100" s="378"/>
      <c r="AJ100" s="378"/>
      <c r="AK100" s="394"/>
      <c r="AL100" s="394"/>
      <c r="AM100" s="394"/>
      <c r="AN100" s="377">
        <v>0</v>
      </c>
      <c r="AO100" s="377">
        <v>0</v>
      </c>
      <c r="AP100" s="382">
        <f t="shared" si="94"/>
        <v>0</v>
      </c>
      <c r="AQ100" s="383">
        <f t="shared" si="105"/>
        <v>0</v>
      </c>
      <c r="AR100" s="383">
        <f t="shared" si="106"/>
        <v>2</v>
      </c>
      <c r="AS100" s="384"/>
      <c r="AT100" s="384"/>
      <c r="AU100" s="385">
        <f t="shared" si="107"/>
        <v>2</v>
      </c>
      <c r="AV100" s="380" t="e">
        <f t="shared" si="108"/>
        <v>#DIV/0!</v>
      </c>
      <c r="AW100" s="379"/>
      <c r="AX100" s="379"/>
      <c r="AY100" s="379">
        <f t="shared" si="95"/>
        <v>2.2598870056497175E-2</v>
      </c>
      <c r="AZ100" s="379">
        <f t="shared" si="96"/>
        <v>0</v>
      </c>
      <c r="BA100" s="395">
        <f t="shared" si="109"/>
        <v>4</v>
      </c>
      <c r="BB100" s="396">
        <f t="shared" si="97"/>
        <v>4</v>
      </c>
      <c r="BC100" s="396"/>
      <c r="BD100" s="396"/>
      <c r="BE100" s="396"/>
      <c r="BF100" s="396"/>
      <c r="BG100" s="438">
        <v>12</v>
      </c>
      <c r="BH100" s="436">
        <f t="shared" si="115"/>
        <v>0</v>
      </c>
      <c r="BI100" s="436">
        <f t="shared" si="115"/>
        <v>0</v>
      </c>
      <c r="BJ100" s="390"/>
      <c r="BK100" s="390"/>
      <c r="BL100" s="394">
        <v>0</v>
      </c>
      <c r="BM100" s="394">
        <v>0</v>
      </c>
      <c r="BN100" s="394">
        <v>0</v>
      </c>
      <c r="BO100" s="394">
        <v>2</v>
      </c>
      <c r="BP100" s="394">
        <v>0</v>
      </c>
      <c r="BQ100" s="394">
        <v>0</v>
      </c>
      <c r="BR100" s="394">
        <v>0</v>
      </c>
      <c r="BS100" s="394">
        <v>0</v>
      </c>
      <c r="BT100" s="394">
        <v>0</v>
      </c>
      <c r="BU100" s="394">
        <v>0</v>
      </c>
      <c r="BV100" s="394">
        <v>0</v>
      </c>
      <c r="BW100" s="394">
        <v>0</v>
      </c>
      <c r="BX100" s="394">
        <v>0</v>
      </c>
      <c r="BY100" s="394">
        <v>0</v>
      </c>
      <c r="BZ100" s="378">
        <f t="shared" si="110"/>
        <v>0</v>
      </c>
      <c r="CA100" s="378">
        <f t="shared" si="111"/>
        <v>2</v>
      </c>
      <c r="CB100" s="385">
        <f t="shared" si="112"/>
        <v>2</v>
      </c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/>
      <c r="GV100" s="24"/>
      <c r="GW100" s="24"/>
      <c r="GX100" s="24"/>
      <c r="GY100" s="24"/>
      <c r="GZ100" s="24"/>
      <c r="HA100" s="24"/>
      <c r="HB100" s="24"/>
      <c r="HC100" s="24"/>
      <c r="HD100" s="24"/>
      <c r="HE100" s="24"/>
      <c r="HF100" s="24"/>
      <c r="HG100" s="24"/>
      <c r="HH100" s="24"/>
      <c r="HI100" s="24"/>
      <c r="HJ100" s="24"/>
      <c r="HK100" s="24"/>
      <c r="HL100" s="24"/>
      <c r="HM100" s="24"/>
      <c r="HN100" s="24"/>
    </row>
    <row r="101" spans="1:222" s="13" customFormat="1" ht="69.95" customHeight="1">
      <c r="A101" s="430">
        <v>9</v>
      </c>
      <c r="B101" s="439" t="str">
        <f t="shared" si="113"/>
        <v>CDG-THO OFFICE CUM MAT HOME</v>
      </c>
      <c r="C101" s="439" t="str">
        <f t="shared" si="113"/>
        <v>KORANGI</v>
      </c>
      <c r="D101" s="439"/>
      <c r="E101" s="442">
        <f t="shared" si="114"/>
        <v>300000</v>
      </c>
      <c r="F101" s="613">
        <f t="shared" si="99"/>
        <v>112.5</v>
      </c>
      <c r="G101" s="614">
        <v>50</v>
      </c>
      <c r="H101" s="377">
        <v>13</v>
      </c>
      <c r="I101" s="377">
        <v>18</v>
      </c>
      <c r="J101" s="378">
        <f t="shared" si="100"/>
        <v>31</v>
      </c>
      <c r="K101" s="394">
        <v>0</v>
      </c>
      <c r="L101" s="394">
        <v>0</v>
      </c>
      <c r="M101" s="378">
        <f t="shared" si="101"/>
        <v>0</v>
      </c>
      <c r="N101" s="394">
        <v>1</v>
      </c>
      <c r="O101" s="394">
        <v>1</v>
      </c>
      <c r="P101" s="378">
        <f t="shared" si="102"/>
        <v>2</v>
      </c>
      <c r="Q101" s="394">
        <v>0</v>
      </c>
      <c r="R101" s="394">
        <v>1</v>
      </c>
      <c r="S101" s="378">
        <f t="shared" si="92"/>
        <v>1</v>
      </c>
      <c r="T101" s="378"/>
      <c r="U101" s="378"/>
      <c r="V101" s="378">
        <f t="shared" si="93"/>
        <v>34</v>
      </c>
      <c r="W101" s="378"/>
      <c r="X101" s="380">
        <f t="shared" si="103"/>
        <v>0.51666666666666672</v>
      </c>
      <c r="Y101" s="381"/>
      <c r="Z101" s="381"/>
      <c r="AA101" s="381"/>
      <c r="AB101" s="377"/>
      <c r="AC101" s="377"/>
      <c r="AD101" s="377"/>
      <c r="AE101" s="377">
        <v>4</v>
      </c>
      <c r="AF101" s="377">
        <v>6</v>
      </c>
      <c r="AG101" s="382">
        <f t="shared" si="104"/>
        <v>10</v>
      </c>
      <c r="AH101" s="381"/>
      <c r="AI101" s="383"/>
      <c r="AJ101" s="383"/>
      <c r="AK101" s="377"/>
      <c r="AL101" s="377"/>
      <c r="AM101" s="377"/>
      <c r="AN101" s="377">
        <v>4</v>
      </c>
      <c r="AO101" s="377">
        <v>4</v>
      </c>
      <c r="AP101" s="382">
        <f t="shared" si="94"/>
        <v>8</v>
      </c>
      <c r="AQ101" s="383">
        <f t="shared" si="105"/>
        <v>22</v>
      </c>
      <c r="AR101" s="383">
        <f t="shared" si="106"/>
        <v>30</v>
      </c>
      <c r="AS101" s="384"/>
      <c r="AT101" s="384"/>
      <c r="AU101" s="385">
        <f t="shared" si="107"/>
        <v>52</v>
      </c>
      <c r="AV101" s="380">
        <f t="shared" si="108"/>
        <v>0.56521739130434778</v>
      </c>
      <c r="AW101" s="380"/>
      <c r="AX101" s="380"/>
      <c r="AY101" s="380">
        <f t="shared" si="95"/>
        <v>0.39171374764595102</v>
      </c>
      <c r="AZ101" s="380">
        <f t="shared" si="96"/>
        <v>5.7692307692307696E-2</v>
      </c>
      <c r="BA101" s="386">
        <f t="shared" si="109"/>
        <v>41.333333333333329</v>
      </c>
      <c r="BB101" s="387">
        <f t="shared" si="97"/>
        <v>69.333333333333329</v>
      </c>
      <c r="BC101" s="387"/>
      <c r="BD101" s="387"/>
      <c r="BE101" s="387"/>
      <c r="BF101" s="387"/>
      <c r="BG101" s="438">
        <v>13</v>
      </c>
      <c r="BH101" s="439">
        <f t="shared" si="115"/>
        <v>0</v>
      </c>
      <c r="BI101" s="439">
        <f t="shared" si="115"/>
        <v>0</v>
      </c>
      <c r="BJ101" s="390"/>
      <c r="BK101" s="390"/>
      <c r="BL101" s="394">
        <v>0</v>
      </c>
      <c r="BM101" s="394">
        <v>3</v>
      </c>
      <c r="BN101" s="394">
        <v>5</v>
      </c>
      <c r="BO101" s="394">
        <v>11</v>
      </c>
      <c r="BP101" s="394">
        <v>4</v>
      </c>
      <c r="BQ101" s="394">
        <v>3</v>
      </c>
      <c r="BR101" s="394">
        <v>2</v>
      </c>
      <c r="BS101" s="394">
        <v>0</v>
      </c>
      <c r="BT101" s="394">
        <v>1</v>
      </c>
      <c r="BU101" s="394">
        <v>0</v>
      </c>
      <c r="BV101" s="394">
        <v>0</v>
      </c>
      <c r="BW101" s="394">
        <v>0</v>
      </c>
      <c r="BX101" s="394">
        <v>1</v>
      </c>
      <c r="BY101" s="394">
        <v>1</v>
      </c>
      <c r="BZ101" s="383">
        <f t="shared" si="110"/>
        <v>13</v>
      </c>
      <c r="CA101" s="383">
        <f t="shared" si="111"/>
        <v>18</v>
      </c>
      <c r="CB101" s="384">
        <f t="shared" si="112"/>
        <v>31</v>
      </c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  <c r="HN101" s="14"/>
    </row>
    <row r="102" spans="1:222" s="25" customFormat="1" ht="69.95" customHeight="1">
      <c r="A102" s="435">
        <v>10</v>
      </c>
      <c r="B102" s="446" t="str">
        <f t="shared" si="113"/>
        <v>CDG-LANDHI MEDICAL COMPLEX</v>
      </c>
      <c r="C102" s="446" t="str">
        <f t="shared" si="113"/>
        <v>LANDHI</v>
      </c>
      <c r="D102" s="446"/>
      <c r="E102" s="444">
        <f t="shared" si="114"/>
        <v>200000</v>
      </c>
      <c r="F102" s="728">
        <f t="shared" si="99"/>
        <v>56.25</v>
      </c>
      <c r="G102" s="405">
        <v>25</v>
      </c>
      <c r="H102" s="729"/>
      <c r="I102" s="729"/>
      <c r="J102" s="383">
        <f t="shared" si="100"/>
        <v>0</v>
      </c>
      <c r="K102" s="729">
        <v>0</v>
      </c>
      <c r="L102" s="729">
        <v>0</v>
      </c>
      <c r="M102" s="383">
        <f t="shared" si="101"/>
        <v>0</v>
      </c>
      <c r="N102" s="729">
        <v>0</v>
      </c>
      <c r="O102" s="729">
        <v>0</v>
      </c>
      <c r="P102" s="383">
        <f t="shared" si="102"/>
        <v>0</v>
      </c>
      <c r="Q102" s="729">
        <v>0</v>
      </c>
      <c r="R102" s="729">
        <v>0</v>
      </c>
      <c r="S102" s="383">
        <f t="shared" si="92"/>
        <v>0</v>
      </c>
      <c r="T102" s="383"/>
      <c r="U102" s="383"/>
      <c r="V102" s="383">
        <f t="shared" si="93"/>
        <v>0</v>
      </c>
      <c r="W102" s="383"/>
      <c r="X102" s="380">
        <f t="shared" si="103"/>
        <v>0</v>
      </c>
      <c r="Y102" s="381"/>
      <c r="Z102" s="381"/>
      <c r="AA102" s="381"/>
      <c r="AB102" s="729"/>
      <c r="AC102" s="729"/>
      <c r="AD102" s="729"/>
      <c r="AE102" s="729">
        <v>0</v>
      </c>
      <c r="AF102" s="729">
        <v>0</v>
      </c>
      <c r="AG102" s="381">
        <f t="shared" si="104"/>
        <v>0</v>
      </c>
      <c r="AH102" s="381"/>
      <c r="AI102" s="383"/>
      <c r="AJ102" s="383"/>
      <c r="AK102" s="729"/>
      <c r="AL102" s="729"/>
      <c r="AM102" s="729"/>
      <c r="AN102" s="729">
        <v>0</v>
      </c>
      <c r="AO102" s="729">
        <v>0</v>
      </c>
      <c r="AP102" s="381">
        <f t="shared" si="94"/>
        <v>0</v>
      </c>
      <c r="AQ102" s="383">
        <f t="shared" si="105"/>
        <v>0</v>
      </c>
      <c r="AR102" s="383">
        <f t="shared" si="106"/>
        <v>0</v>
      </c>
      <c r="AS102" s="384"/>
      <c r="AT102" s="384"/>
      <c r="AU102" s="384">
        <f t="shared" si="107"/>
        <v>0</v>
      </c>
      <c r="AV102" s="380" t="e">
        <f t="shared" si="108"/>
        <v>#DIV/0!</v>
      </c>
      <c r="AW102" s="380"/>
      <c r="AX102" s="380"/>
      <c r="AY102" s="380">
        <f t="shared" si="95"/>
        <v>0</v>
      </c>
      <c r="AZ102" s="380" t="e">
        <f t="shared" si="96"/>
        <v>#DIV/0!</v>
      </c>
      <c r="BA102" s="386">
        <f t="shared" si="109"/>
        <v>0</v>
      </c>
      <c r="BB102" s="387">
        <f t="shared" si="97"/>
        <v>0</v>
      </c>
      <c r="BC102" s="387"/>
      <c r="BD102" s="387"/>
      <c r="BE102" s="387"/>
      <c r="BF102" s="387"/>
      <c r="BG102" s="445">
        <v>14</v>
      </c>
      <c r="BH102" s="446">
        <f t="shared" si="115"/>
        <v>0</v>
      </c>
      <c r="BI102" s="446">
        <f t="shared" si="115"/>
        <v>0</v>
      </c>
      <c r="BJ102" s="729"/>
      <c r="BK102" s="729"/>
      <c r="BL102" s="729">
        <v>0</v>
      </c>
      <c r="BM102" s="729">
        <v>0</v>
      </c>
      <c r="BN102" s="729">
        <v>0</v>
      </c>
      <c r="BO102" s="729">
        <v>0</v>
      </c>
      <c r="BP102" s="729">
        <v>0</v>
      </c>
      <c r="BQ102" s="729">
        <v>0</v>
      </c>
      <c r="BR102" s="729">
        <v>0</v>
      </c>
      <c r="BS102" s="729">
        <v>0</v>
      </c>
      <c r="BT102" s="729">
        <v>0</v>
      </c>
      <c r="BU102" s="729">
        <v>0</v>
      </c>
      <c r="BV102" s="729">
        <v>0</v>
      </c>
      <c r="BW102" s="729">
        <v>0</v>
      </c>
      <c r="BX102" s="729">
        <v>0</v>
      </c>
      <c r="BY102" s="729">
        <v>0</v>
      </c>
      <c r="BZ102" s="383">
        <f t="shared" si="110"/>
        <v>0</v>
      </c>
      <c r="CA102" s="383">
        <f t="shared" si="111"/>
        <v>0</v>
      </c>
      <c r="CB102" s="384">
        <f t="shared" si="112"/>
        <v>0</v>
      </c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</row>
    <row r="103" spans="1:222" s="13" customFormat="1" ht="69.95" customHeight="1">
      <c r="A103" s="430">
        <v>11</v>
      </c>
      <c r="B103" s="439" t="str">
        <f t="shared" si="113"/>
        <v xml:space="preserve">CDG-UHC LAUNDHI </v>
      </c>
      <c r="C103" s="439" t="str">
        <f t="shared" si="113"/>
        <v>LANDHI</v>
      </c>
      <c r="D103" s="439"/>
      <c r="E103" s="440">
        <f t="shared" si="114"/>
        <v>450000</v>
      </c>
      <c r="F103" s="613">
        <f t="shared" si="99"/>
        <v>67.5</v>
      </c>
      <c r="G103" s="614">
        <v>30</v>
      </c>
      <c r="H103" s="377">
        <v>12</v>
      </c>
      <c r="I103" s="377">
        <v>11</v>
      </c>
      <c r="J103" s="378">
        <f t="shared" si="100"/>
        <v>23</v>
      </c>
      <c r="K103" s="394">
        <v>1</v>
      </c>
      <c r="L103" s="394">
        <v>2</v>
      </c>
      <c r="M103" s="378">
        <f t="shared" si="101"/>
        <v>3</v>
      </c>
      <c r="N103" s="394">
        <v>1</v>
      </c>
      <c r="O103" s="394">
        <v>0</v>
      </c>
      <c r="P103" s="378">
        <f t="shared" si="102"/>
        <v>1</v>
      </c>
      <c r="Q103" s="394">
        <v>1</v>
      </c>
      <c r="R103" s="394">
        <v>0</v>
      </c>
      <c r="S103" s="378">
        <f t="shared" si="92"/>
        <v>1</v>
      </c>
      <c r="T103" s="378"/>
      <c r="U103" s="378"/>
      <c r="V103" s="378">
        <f t="shared" si="93"/>
        <v>28</v>
      </c>
      <c r="W103" s="378"/>
      <c r="X103" s="380">
        <f t="shared" si="103"/>
        <v>0.25555555555555554</v>
      </c>
      <c r="Y103" s="381"/>
      <c r="Z103" s="381"/>
      <c r="AA103" s="381"/>
      <c r="AB103" s="377"/>
      <c r="AC103" s="377"/>
      <c r="AD103" s="377"/>
      <c r="AE103" s="377">
        <v>1</v>
      </c>
      <c r="AF103" s="377">
        <v>3</v>
      </c>
      <c r="AG103" s="382">
        <f t="shared" si="104"/>
        <v>4</v>
      </c>
      <c r="AH103" s="381"/>
      <c r="AI103" s="383"/>
      <c r="AJ103" s="383"/>
      <c r="AK103" s="377"/>
      <c r="AL103" s="377"/>
      <c r="AM103" s="377"/>
      <c r="AN103" s="377">
        <v>3</v>
      </c>
      <c r="AO103" s="377">
        <v>8</v>
      </c>
      <c r="AP103" s="382">
        <f t="shared" si="94"/>
        <v>11</v>
      </c>
      <c r="AQ103" s="383">
        <f t="shared" si="105"/>
        <v>19</v>
      </c>
      <c r="AR103" s="383">
        <f t="shared" si="106"/>
        <v>24</v>
      </c>
      <c r="AS103" s="384"/>
      <c r="AT103" s="384"/>
      <c r="AU103" s="385">
        <f t="shared" si="107"/>
        <v>43</v>
      </c>
      <c r="AV103" s="380">
        <f t="shared" si="108"/>
        <v>0.75</v>
      </c>
      <c r="AW103" s="380"/>
      <c r="AX103" s="380"/>
      <c r="AY103" s="380">
        <f t="shared" si="95"/>
        <v>0.21594475831763968</v>
      </c>
      <c r="AZ103" s="380">
        <f t="shared" si="96"/>
        <v>0.11627906976744186</v>
      </c>
      <c r="BA103" s="386">
        <f t="shared" si="109"/>
        <v>20.444444444444443</v>
      </c>
      <c r="BB103" s="387">
        <f t="shared" si="97"/>
        <v>38.222222222222221</v>
      </c>
      <c r="BC103" s="387"/>
      <c r="BD103" s="387"/>
      <c r="BE103" s="387"/>
      <c r="BF103" s="387"/>
      <c r="BG103" s="438">
        <v>15</v>
      </c>
      <c r="BH103" s="439">
        <f t="shared" si="115"/>
        <v>0</v>
      </c>
      <c r="BI103" s="439">
        <f t="shared" si="115"/>
        <v>0</v>
      </c>
      <c r="BJ103" s="390"/>
      <c r="BK103" s="390"/>
      <c r="BL103" s="394">
        <v>0</v>
      </c>
      <c r="BM103" s="394">
        <v>0</v>
      </c>
      <c r="BN103" s="394">
        <v>4</v>
      </c>
      <c r="BO103" s="394">
        <v>5</v>
      </c>
      <c r="BP103" s="394">
        <v>2</v>
      </c>
      <c r="BQ103" s="394">
        <v>5</v>
      </c>
      <c r="BR103" s="394">
        <v>3</v>
      </c>
      <c r="BS103" s="394">
        <v>1</v>
      </c>
      <c r="BT103" s="394">
        <v>1</v>
      </c>
      <c r="BU103" s="394">
        <v>0</v>
      </c>
      <c r="BV103" s="394">
        <v>1</v>
      </c>
      <c r="BW103" s="394">
        <v>0</v>
      </c>
      <c r="BX103" s="394">
        <v>1</v>
      </c>
      <c r="BY103" s="394">
        <v>0</v>
      </c>
      <c r="BZ103" s="383">
        <f t="shared" si="110"/>
        <v>12</v>
      </c>
      <c r="CA103" s="383">
        <f t="shared" si="111"/>
        <v>11</v>
      </c>
      <c r="CB103" s="384">
        <f t="shared" si="112"/>
        <v>23</v>
      </c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</row>
    <row r="104" spans="1:222" s="25" customFormat="1" ht="69.95" customHeight="1">
      <c r="A104" s="435">
        <v>12</v>
      </c>
      <c r="B104" s="436" t="str">
        <f t="shared" si="113"/>
        <v>CDG-GHAZI QAYUM DISPENSARY</v>
      </c>
      <c r="C104" s="436" t="str">
        <f t="shared" si="113"/>
        <v>LYARI</v>
      </c>
      <c r="D104" s="436"/>
      <c r="E104" s="441">
        <f t="shared" si="114"/>
        <v>150000</v>
      </c>
      <c r="F104" s="613">
        <f t="shared" si="99"/>
        <v>56.25</v>
      </c>
      <c r="G104" s="614">
        <v>25</v>
      </c>
      <c r="H104" s="394">
        <v>5</v>
      </c>
      <c r="I104" s="394">
        <v>4</v>
      </c>
      <c r="J104" s="378">
        <f t="shared" si="100"/>
        <v>9</v>
      </c>
      <c r="K104" s="394">
        <v>0</v>
      </c>
      <c r="L104" s="394">
        <v>0</v>
      </c>
      <c r="M104" s="378">
        <f t="shared" si="101"/>
        <v>0</v>
      </c>
      <c r="N104" s="394">
        <v>0</v>
      </c>
      <c r="O104" s="394">
        <v>0</v>
      </c>
      <c r="P104" s="378">
        <f t="shared" si="102"/>
        <v>0</v>
      </c>
      <c r="Q104" s="394">
        <v>0</v>
      </c>
      <c r="R104" s="394">
        <v>0</v>
      </c>
      <c r="S104" s="378">
        <f t="shared" si="92"/>
        <v>0</v>
      </c>
      <c r="T104" s="378"/>
      <c r="U104" s="378"/>
      <c r="V104" s="378">
        <f t="shared" si="93"/>
        <v>9</v>
      </c>
      <c r="W104" s="378"/>
      <c r="X104" s="379">
        <f t="shared" si="103"/>
        <v>0.3</v>
      </c>
      <c r="Y104" s="382"/>
      <c r="Z104" s="382"/>
      <c r="AA104" s="382"/>
      <c r="AB104" s="394"/>
      <c r="AC104" s="394"/>
      <c r="AD104" s="394"/>
      <c r="AE104" s="377">
        <v>3</v>
      </c>
      <c r="AF104" s="377">
        <v>4</v>
      </c>
      <c r="AG104" s="382">
        <f t="shared" si="104"/>
        <v>7</v>
      </c>
      <c r="AH104" s="382"/>
      <c r="AI104" s="378"/>
      <c r="AJ104" s="378"/>
      <c r="AK104" s="394"/>
      <c r="AL104" s="394"/>
      <c r="AM104" s="394"/>
      <c r="AN104" s="377">
        <v>0</v>
      </c>
      <c r="AO104" s="377">
        <v>6</v>
      </c>
      <c r="AP104" s="382">
        <f t="shared" si="94"/>
        <v>6</v>
      </c>
      <c r="AQ104" s="383">
        <f t="shared" si="105"/>
        <v>8</v>
      </c>
      <c r="AR104" s="383">
        <f t="shared" si="106"/>
        <v>14</v>
      </c>
      <c r="AS104" s="384"/>
      <c r="AT104" s="384"/>
      <c r="AU104" s="385">
        <f t="shared" si="107"/>
        <v>22</v>
      </c>
      <c r="AV104" s="380">
        <f t="shared" si="108"/>
        <v>0.41666666666666669</v>
      </c>
      <c r="AW104" s="379"/>
      <c r="AX104" s="379"/>
      <c r="AY104" s="379">
        <f t="shared" si="95"/>
        <v>0.33145009416195859</v>
      </c>
      <c r="AZ104" s="379">
        <f t="shared" si="96"/>
        <v>0</v>
      </c>
      <c r="BA104" s="395">
        <f t="shared" si="109"/>
        <v>24</v>
      </c>
      <c r="BB104" s="396">
        <f t="shared" si="97"/>
        <v>58.666666666666664</v>
      </c>
      <c r="BC104" s="396"/>
      <c r="BD104" s="396"/>
      <c r="BE104" s="396"/>
      <c r="BF104" s="396"/>
      <c r="BG104" s="438">
        <v>16</v>
      </c>
      <c r="BH104" s="436">
        <f t="shared" si="115"/>
        <v>0</v>
      </c>
      <c r="BI104" s="436">
        <f t="shared" si="115"/>
        <v>0</v>
      </c>
      <c r="BJ104" s="390"/>
      <c r="BK104" s="390"/>
      <c r="BL104" s="394">
        <v>0</v>
      </c>
      <c r="BM104" s="394">
        <v>2</v>
      </c>
      <c r="BN104" s="394">
        <v>0</v>
      </c>
      <c r="BO104" s="394">
        <v>0</v>
      </c>
      <c r="BP104" s="394">
        <v>3</v>
      </c>
      <c r="BQ104" s="394">
        <v>0</v>
      </c>
      <c r="BR104" s="394">
        <v>0</v>
      </c>
      <c r="BS104" s="394">
        <v>0</v>
      </c>
      <c r="BT104" s="394">
        <v>0</v>
      </c>
      <c r="BU104" s="394">
        <v>2</v>
      </c>
      <c r="BV104" s="394">
        <v>2</v>
      </c>
      <c r="BW104" s="394">
        <v>0</v>
      </c>
      <c r="BX104" s="394">
        <v>0</v>
      </c>
      <c r="BY104" s="394">
        <v>0</v>
      </c>
      <c r="BZ104" s="378">
        <f t="shared" si="110"/>
        <v>5</v>
      </c>
      <c r="CA104" s="378">
        <f t="shared" si="111"/>
        <v>4</v>
      </c>
      <c r="CB104" s="385">
        <f t="shared" si="112"/>
        <v>9</v>
      </c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</row>
    <row r="105" spans="1:222" s="25" customFormat="1" ht="69.95" customHeight="1">
      <c r="A105" s="430">
        <v>13</v>
      </c>
      <c r="B105" s="436" t="str">
        <f>B20</f>
        <v>CDG-N. BHUTTO COLONY DISPENSARY</v>
      </c>
      <c r="C105" s="436" t="str">
        <f>C20</f>
        <v>NORTH NAZIMABAD</v>
      </c>
      <c r="D105" s="436"/>
      <c r="E105" s="441">
        <f>E20</f>
        <v>580000</v>
      </c>
      <c r="F105" s="613">
        <f t="shared" si="99"/>
        <v>67.5</v>
      </c>
      <c r="G105" s="614">
        <v>30</v>
      </c>
      <c r="H105" s="394">
        <v>8</v>
      </c>
      <c r="I105" s="394">
        <v>6</v>
      </c>
      <c r="J105" s="378">
        <f t="shared" si="100"/>
        <v>14</v>
      </c>
      <c r="K105" s="394">
        <v>0</v>
      </c>
      <c r="L105" s="394">
        <v>0</v>
      </c>
      <c r="M105" s="378">
        <f t="shared" si="101"/>
        <v>0</v>
      </c>
      <c r="N105" s="394">
        <v>0</v>
      </c>
      <c r="O105" s="394">
        <v>0</v>
      </c>
      <c r="P105" s="378">
        <f t="shared" si="102"/>
        <v>0</v>
      </c>
      <c r="Q105" s="394">
        <v>0</v>
      </c>
      <c r="R105" s="394">
        <v>0</v>
      </c>
      <c r="S105" s="378">
        <f t="shared" si="92"/>
        <v>0</v>
      </c>
      <c r="T105" s="378"/>
      <c r="U105" s="378"/>
      <c r="V105" s="378">
        <f t="shared" si="93"/>
        <v>14</v>
      </c>
      <c r="W105" s="378"/>
      <c r="X105" s="379">
        <f t="shared" si="103"/>
        <v>0.1206896551724138</v>
      </c>
      <c r="Y105" s="382"/>
      <c r="Z105" s="382"/>
      <c r="AA105" s="382"/>
      <c r="AB105" s="394"/>
      <c r="AC105" s="394"/>
      <c r="AD105" s="394"/>
      <c r="AE105" s="377">
        <v>2</v>
      </c>
      <c r="AF105" s="377">
        <v>2</v>
      </c>
      <c r="AG105" s="382">
        <f t="shared" si="104"/>
        <v>4</v>
      </c>
      <c r="AH105" s="382"/>
      <c r="AI105" s="378"/>
      <c r="AJ105" s="378"/>
      <c r="AK105" s="394"/>
      <c r="AL105" s="394"/>
      <c r="AM105" s="394"/>
      <c r="AN105" s="377">
        <v>0</v>
      </c>
      <c r="AO105" s="377">
        <v>0</v>
      </c>
      <c r="AP105" s="382">
        <f t="shared" si="94"/>
        <v>0</v>
      </c>
      <c r="AQ105" s="383">
        <f t="shared" si="105"/>
        <v>10</v>
      </c>
      <c r="AR105" s="383">
        <f t="shared" si="106"/>
        <v>8</v>
      </c>
      <c r="AS105" s="384"/>
      <c r="AT105" s="384"/>
      <c r="AU105" s="385">
        <f t="shared" si="107"/>
        <v>18</v>
      </c>
      <c r="AV105" s="380">
        <f t="shared" si="108"/>
        <v>0.66666666666666663</v>
      </c>
      <c r="AW105" s="379"/>
      <c r="AX105" s="379"/>
      <c r="AY105" s="379">
        <f t="shared" si="95"/>
        <v>7.013442431326708E-2</v>
      </c>
      <c r="AZ105" s="379">
        <f t="shared" si="96"/>
        <v>0</v>
      </c>
      <c r="BA105" s="395">
        <f t="shared" si="109"/>
        <v>9.6551724137931032</v>
      </c>
      <c r="BB105" s="396">
        <f t="shared" si="97"/>
        <v>12.413793103448276</v>
      </c>
      <c r="BC105" s="396"/>
      <c r="BD105" s="396"/>
      <c r="BE105" s="396"/>
      <c r="BF105" s="396"/>
      <c r="BG105" s="438">
        <v>18</v>
      </c>
      <c r="BH105" s="436">
        <f t="shared" ref="BH105:BI110" si="116">BH135</f>
        <v>0</v>
      </c>
      <c r="BI105" s="436">
        <f t="shared" si="116"/>
        <v>0</v>
      </c>
      <c r="BJ105" s="390"/>
      <c r="BK105" s="390"/>
      <c r="BL105" s="394">
        <v>0</v>
      </c>
      <c r="BM105" s="394">
        <v>2</v>
      </c>
      <c r="BN105" s="394">
        <v>4</v>
      </c>
      <c r="BO105" s="394">
        <v>3</v>
      </c>
      <c r="BP105" s="394">
        <v>0</v>
      </c>
      <c r="BQ105" s="394">
        <v>0</v>
      </c>
      <c r="BR105" s="394">
        <v>1</v>
      </c>
      <c r="BS105" s="394">
        <v>0</v>
      </c>
      <c r="BT105" s="394">
        <v>1</v>
      </c>
      <c r="BU105" s="394">
        <v>1</v>
      </c>
      <c r="BV105" s="394">
        <v>1</v>
      </c>
      <c r="BW105" s="394">
        <v>0</v>
      </c>
      <c r="BX105" s="394">
        <v>1</v>
      </c>
      <c r="BY105" s="394">
        <v>0</v>
      </c>
      <c r="BZ105" s="378">
        <f t="shared" si="110"/>
        <v>8</v>
      </c>
      <c r="CA105" s="378">
        <f t="shared" si="111"/>
        <v>6</v>
      </c>
      <c r="CB105" s="385">
        <f t="shared" si="112"/>
        <v>14</v>
      </c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  <c r="GS105" s="24"/>
      <c r="GT105" s="24"/>
      <c r="GU105" s="24"/>
      <c r="GV105" s="24"/>
      <c r="GW105" s="24"/>
      <c r="GX105" s="24"/>
      <c r="GY105" s="24"/>
      <c r="GZ105" s="24"/>
      <c r="HA105" s="24"/>
      <c r="HB105" s="24"/>
      <c r="HC105" s="24"/>
      <c r="HD105" s="24"/>
      <c r="HE105" s="24"/>
      <c r="HF105" s="24"/>
      <c r="HG105" s="24"/>
      <c r="HH105" s="24"/>
      <c r="HI105" s="24"/>
      <c r="HJ105" s="24"/>
      <c r="HK105" s="24"/>
      <c r="HL105" s="24"/>
      <c r="HM105" s="24"/>
      <c r="HN105" s="24"/>
    </row>
    <row r="106" spans="1:222" s="17" customFormat="1" ht="69.95" customHeight="1">
      <c r="A106" s="435">
        <v>14</v>
      </c>
      <c r="B106" s="439" t="str">
        <f t="shared" ref="B106:E110" si="117">B21</f>
        <v xml:space="preserve">CDG-STAFF CLINIC </v>
      </c>
      <c r="C106" s="439" t="str">
        <f t="shared" si="117"/>
        <v>SADDAR</v>
      </c>
      <c r="D106" s="439"/>
      <c r="E106" s="440">
        <f t="shared" si="117"/>
        <v>100000</v>
      </c>
      <c r="F106" s="613">
        <f t="shared" si="99"/>
        <v>56.25</v>
      </c>
      <c r="G106" s="614">
        <v>25</v>
      </c>
      <c r="H106" s="377">
        <v>3</v>
      </c>
      <c r="I106" s="377">
        <v>2</v>
      </c>
      <c r="J106" s="378">
        <f t="shared" si="100"/>
        <v>5</v>
      </c>
      <c r="K106" s="394">
        <v>0</v>
      </c>
      <c r="L106" s="394">
        <v>0</v>
      </c>
      <c r="M106" s="378">
        <f t="shared" si="101"/>
        <v>0</v>
      </c>
      <c r="N106" s="394">
        <v>0</v>
      </c>
      <c r="O106" s="394">
        <v>0</v>
      </c>
      <c r="P106" s="378">
        <f t="shared" si="102"/>
        <v>0</v>
      </c>
      <c r="Q106" s="394">
        <v>0</v>
      </c>
      <c r="R106" s="394">
        <v>0</v>
      </c>
      <c r="S106" s="378">
        <f t="shared" si="92"/>
        <v>0</v>
      </c>
      <c r="T106" s="378"/>
      <c r="U106" s="378"/>
      <c r="V106" s="378">
        <f t="shared" si="93"/>
        <v>5</v>
      </c>
      <c r="W106" s="378"/>
      <c r="X106" s="380">
        <f t="shared" si="103"/>
        <v>0.25</v>
      </c>
      <c r="Y106" s="381"/>
      <c r="Z106" s="381"/>
      <c r="AA106" s="381"/>
      <c r="AB106" s="377"/>
      <c r="AC106" s="377"/>
      <c r="AD106" s="377"/>
      <c r="AE106" s="377">
        <v>3</v>
      </c>
      <c r="AF106" s="377">
        <v>3</v>
      </c>
      <c r="AG106" s="382">
        <f t="shared" si="104"/>
        <v>6</v>
      </c>
      <c r="AH106" s="381"/>
      <c r="AI106" s="383"/>
      <c r="AJ106" s="383"/>
      <c r="AK106" s="377"/>
      <c r="AL106" s="377"/>
      <c r="AM106" s="377"/>
      <c r="AN106" s="377">
        <v>0</v>
      </c>
      <c r="AO106" s="377">
        <v>2</v>
      </c>
      <c r="AP106" s="382">
        <f t="shared" si="94"/>
        <v>2</v>
      </c>
      <c r="AQ106" s="383">
        <f t="shared" si="105"/>
        <v>6</v>
      </c>
      <c r="AR106" s="383">
        <f t="shared" si="106"/>
        <v>7</v>
      </c>
      <c r="AS106" s="384"/>
      <c r="AT106" s="384"/>
      <c r="AU106" s="385">
        <f t="shared" si="107"/>
        <v>13</v>
      </c>
      <c r="AV106" s="380">
        <f t="shared" si="108"/>
        <v>0.33333333333333331</v>
      </c>
      <c r="AW106" s="380"/>
      <c r="AX106" s="380"/>
      <c r="AY106" s="380">
        <f t="shared" si="95"/>
        <v>0.29378531073446329</v>
      </c>
      <c r="AZ106" s="380">
        <f t="shared" si="96"/>
        <v>0</v>
      </c>
      <c r="BA106" s="386">
        <f t="shared" si="109"/>
        <v>20</v>
      </c>
      <c r="BB106" s="387">
        <f t="shared" si="97"/>
        <v>51.999999999999993</v>
      </c>
      <c r="BC106" s="387"/>
      <c r="BD106" s="387"/>
      <c r="BE106" s="387"/>
      <c r="BF106" s="387"/>
      <c r="BG106" s="438">
        <v>21</v>
      </c>
      <c r="BH106" s="439">
        <f t="shared" si="116"/>
        <v>0</v>
      </c>
      <c r="BI106" s="439">
        <f t="shared" si="116"/>
        <v>0</v>
      </c>
      <c r="BJ106" s="390"/>
      <c r="BK106" s="390"/>
      <c r="BL106" s="394">
        <v>0</v>
      </c>
      <c r="BM106" s="394">
        <v>0</v>
      </c>
      <c r="BN106" s="394">
        <v>2</v>
      </c>
      <c r="BO106" s="394">
        <v>1</v>
      </c>
      <c r="BP106" s="394">
        <v>1</v>
      </c>
      <c r="BQ106" s="394">
        <v>1</v>
      </c>
      <c r="BR106" s="394">
        <v>0</v>
      </c>
      <c r="BS106" s="394">
        <v>0</v>
      </c>
      <c r="BT106" s="394">
        <v>0</v>
      </c>
      <c r="BU106" s="394">
        <v>0</v>
      </c>
      <c r="BV106" s="394">
        <v>0</v>
      </c>
      <c r="BW106" s="394">
        <v>0</v>
      </c>
      <c r="BX106" s="394">
        <v>0</v>
      </c>
      <c r="BY106" s="394">
        <v>0</v>
      </c>
      <c r="BZ106" s="383">
        <f t="shared" si="110"/>
        <v>3</v>
      </c>
      <c r="CA106" s="383">
        <f t="shared" si="111"/>
        <v>2</v>
      </c>
      <c r="CB106" s="384">
        <f t="shared" si="112"/>
        <v>5</v>
      </c>
      <c r="CC106" s="14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</row>
    <row r="107" spans="1:222" s="25" customFormat="1" ht="69.95" customHeight="1">
      <c r="A107" s="430">
        <v>15</v>
      </c>
      <c r="B107" s="436" t="str">
        <f t="shared" si="117"/>
        <v xml:space="preserve">CDG-SGD SHAH FAISAL </v>
      </c>
      <c r="C107" s="436" t="str">
        <f t="shared" si="117"/>
        <v>SHAH FAISAL</v>
      </c>
      <c r="D107" s="436"/>
      <c r="E107" s="441">
        <f t="shared" si="117"/>
        <v>200000</v>
      </c>
      <c r="F107" s="613">
        <f t="shared" si="99"/>
        <v>56.25</v>
      </c>
      <c r="G107" s="614">
        <v>25</v>
      </c>
      <c r="H107" s="394">
        <v>0</v>
      </c>
      <c r="I107" s="394">
        <v>0</v>
      </c>
      <c r="J107" s="378">
        <f t="shared" si="100"/>
        <v>0</v>
      </c>
      <c r="K107" s="394">
        <v>0</v>
      </c>
      <c r="L107" s="394">
        <v>0</v>
      </c>
      <c r="M107" s="378">
        <f t="shared" si="101"/>
        <v>0</v>
      </c>
      <c r="N107" s="394">
        <v>0</v>
      </c>
      <c r="O107" s="394">
        <v>0</v>
      </c>
      <c r="P107" s="378">
        <f t="shared" si="102"/>
        <v>0</v>
      </c>
      <c r="Q107" s="394">
        <v>0</v>
      </c>
      <c r="R107" s="394">
        <v>0</v>
      </c>
      <c r="S107" s="378">
        <f t="shared" si="92"/>
        <v>0</v>
      </c>
      <c r="T107" s="378"/>
      <c r="U107" s="378"/>
      <c r="V107" s="378">
        <f t="shared" si="93"/>
        <v>0</v>
      </c>
      <c r="W107" s="378"/>
      <c r="X107" s="379">
        <f t="shared" si="103"/>
        <v>0</v>
      </c>
      <c r="Y107" s="382"/>
      <c r="Z107" s="382"/>
      <c r="AA107" s="382"/>
      <c r="AB107" s="394"/>
      <c r="AC107" s="394"/>
      <c r="AD107" s="394"/>
      <c r="AE107" s="377">
        <v>0</v>
      </c>
      <c r="AF107" s="377">
        <v>0</v>
      </c>
      <c r="AG107" s="382">
        <f t="shared" si="104"/>
        <v>0</v>
      </c>
      <c r="AH107" s="382"/>
      <c r="AI107" s="378"/>
      <c r="AJ107" s="378"/>
      <c r="AK107" s="394"/>
      <c r="AL107" s="394"/>
      <c r="AM107" s="394"/>
      <c r="AN107" s="377">
        <v>0</v>
      </c>
      <c r="AO107" s="377">
        <v>0</v>
      </c>
      <c r="AP107" s="382">
        <f t="shared" si="94"/>
        <v>0</v>
      </c>
      <c r="AQ107" s="383">
        <f t="shared" si="105"/>
        <v>0</v>
      </c>
      <c r="AR107" s="383">
        <f t="shared" si="106"/>
        <v>0</v>
      </c>
      <c r="AS107" s="384"/>
      <c r="AT107" s="384"/>
      <c r="AU107" s="385">
        <f t="shared" si="107"/>
        <v>0</v>
      </c>
      <c r="AV107" s="380" t="e">
        <f t="shared" si="108"/>
        <v>#DIV/0!</v>
      </c>
      <c r="AW107" s="379"/>
      <c r="AX107" s="379"/>
      <c r="AY107" s="379">
        <f t="shared" si="95"/>
        <v>0</v>
      </c>
      <c r="AZ107" s="379" t="e">
        <f t="shared" si="96"/>
        <v>#DIV/0!</v>
      </c>
      <c r="BA107" s="395">
        <f t="shared" si="109"/>
        <v>0</v>
      </c>
      <c r="BB107" s="396">
        <f t="shared" si="97"/>
        <v>0</v>
      </c>
      <c r="BC107" s="396"/>
      <c r="BD107" s="396"/>
      <c r="BE107" s="396"/>
      <c r="BF107" s="396"/>
      <c r="BG107" s="438">
        <v>22</v>
      </c>
      <c r="BH107" s="436">
        <f t="shared" si="116"/>
        <v>0</v>
      </c>
      <c r="BI107" s="436">
        <f t="shared" si="116"/>
        <v>0</v>
      </c>
      <c r="BJ107" s="390"/>
      <c r="BK107" s="390"/>
      <c r="BL107" s="394">
        <v>0</v>
      </c>
      <c r="BM107" s="394">
        <v>0</v>
      </c>
      <c r="BN107" s="394">
        <v>0</v>
      </c>
      <c r="BO107" s="394">
        <v>0</v>
      </c>
      <c r="BP107" s="394">
        <v>0</v>
      </c>
      <c r="BQ107" s="394">
        <v>0</v>
      </c>
      <c r="BR107" s="394">
        <v>0</v>
      </c>
      <c r="BS107" s="394">
        <v>0</v>
      </c>
      <c r="BT107" s="394">
        <v>0</v>
      </c>
      <c r="BU107" s="394">
        <v>0</v>
      </c>
      <c r="BV107" s="394">
        <v>0</v>
      </c>
      <c r="BW107" s="394">
        <v>0</v>
      </c>
      <c r="BX107" s="394">
        <v>0</v>
      </c>
      <c r="BY107" s="394">
        <v>0</v>
      </c>
      <c r="BZ107" s="378">
        <f t="shared" si="110"/>
        <v>0</v>
      </c>
      <c r="CA107" s="378">
        <f t="shared" si="111"/>
        <v>0</v>
      </c>
      <c r="CB107" s="385">
        <f t="shared" si="112"/>
        <v>0</v>
      </c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4"/>
      <c r="HB107" s="24"/>
      <c r="HC107" s="24"/>
      <c r="HD107" s="24"/>
      <c r="HE107" s="24"/>
      <c r="HF107" s="24"/>
      <c r="HG107" s="24"/>
      <c r="HH107" s="24"/>
      <c r="HI107" s="24"/>
      <c r="HJ107" s="24"/>
      <c r="HK107" s="24"/>
      <c r="HL107" s="24"/>
      <c r="HM107" s="24"/>
      <c r="HN107" s="24"/>
    </row>
    <row r="108" spans="1:222" s="13" customFormat="1" ht="69.95" customHeight="1">
      <c r="A108" s="435">
        <v>16</v>
      </c>
      <c r="B108" s="443" t="str">
        <f t="shared" si="117"/>
        <v xml:space="preserve">CDG-H.M.COMPLEX </v>
      </c>
      <c r="C108" s="443" t="str">
        <f t="shared" si="117"/>
        <v>SITE</v>
      </c>
      <c r="D108" s="443"/>
      <c r="E108" s="444">
        <f t="shared" si="117"/>
        <v>423500</v>
      </c>
      <c r="F108" s="613">
        <f t="shared" si="99"/>
        <v>56.25</v>
      </c>
      <c r="G108" s="614">
        <v>25</v>
      </c>
      <c r="H108" s="377">
        <v>2</v>
      </c>
      <c r="I108" s="377">
        <v>2</v>
      </c>
      <c r="J108" s="378">
        <f t="shared" si="100"/>
        <v>4</v>
      </c>
      <c r="K108" s="394">
        <v>0</v>
      </c>
      <c r="L108" s="394">
        <v>0</v>
      </c>
      <c r="M108" s="378">
        <f t="shared" si="101"/>
        <v>0</v>
      </c>
      <c r="N108" s="394">
        <v>0</v>
      </c>
      <c r="O108" s="394">
        <v>0</v>
      </c>
      <c r="P108" s="378">
        <f t="shared" si="102"/>
        <v>0</v>
      </c>
      <c r="Q108" s="394">
        <v>0</v>
      </c>
      <c r="R108" s="394">
        <v>0</v>
      </c>
      <c r="S108" s="378">
        <f t="shared" si="92"/>
        <v>0</v>
      </c>
      <c r="T108" s="378"/>
      <c r="U108" s="378"/>
      <c r="V108" s="378">
        <f t="shared" si="93"/>
        <v>4</v>
      </c>
      <c r="W108" s="378"/>
      <c r="X108" s="380">
        <f t="shared" si="103"/>
        <v>4.7225501770956316E-2</v>
      </c>
      <c r="Y108" s="381"/>
      <c r="Z108" s="381"/>
      <c r="AA108" s="381"/>
      <c r="AB108" s="377"/>
      <c r="AC108" s="377"/>
      <c r="AD108" s="377"/>
      <c r="AE108" s="377">
        <v>2</v>
      </c>
      <c r="AF108" s="377">
        <v>4</v>
      </c>
      <c r="AG108" s="382">
        <f t="shared" si="104"/>
        <v>6</v>
      </c>
      <c r="AH108" s="381"/>
      <c r="AI108" s="383"/>
      <c r="AJ108" s="383"/>
      <c r="AK108" s="377"/>
      <c r="AL108" s="377"/>
      <c r="AM108" s="377"/>
      <c r="AN108" s="377">
        <v>1</v>
      </c>
      <c r="AO108" s="377">
        <v>1</v>
      </c>
      <c r="AP108" s="382">
        <f t="shared" si="94"/>
        <v>2</v>
      </c>
      <c r="AQ108" s="383">
        <f t="shared" si="105"/>
        <v>5</v>
      </c>
      <c r="AR108" s="383">
        <f t="shared" si="106"/>
        <v>7</v>
      </c>
      <c r="AS108" s="384"/>
      <c r="AT108" s="384"/>
      <c r="AU108" s="385">
        <f t="shared" si="107"/>
        <v>12</v>
      </c>
      <c r="AV108" s="380">
        <f t="shared" si="108"/>
        <v>0.25</v>
      </c>
      <c r="AW108" s="380"/>
      <c r="AX108" s="380"/>
      <c r="AY108" s="380">
        <f t="shared" si="95"/>
        <v>6.4034578672483133E-2</v>
      </c>
      <c r="AZ108" s="380">
        <f t="shared" si="96"/>
        <v>0</v>
      </c>
      <c r="BA108" s="386">
        <f t="shared" si="109"/>
        <v>3.7780401416765055</v>
      </c>
      <c r="BB108" s="387">
        <f t="shared" si="97"/>
        <v>11.334120425029516</v>
      </c>
      <c r="BC108" s="387"/>
      <c r="BD108" s="387"/>
      <c r="BE108" s="387"/>
      <c r="BF108" s="387"/>
      <c r="BG108" s="445">
        <v>23</v>
      </c>
      <c r="BH108" s="443">
        <f t="shared" si="116"/>
        <v>0</v>
      </c>
      <c r="BI108" s="443">
        <f t="shared" si="116"/>
        <v>0</v>
      </c>
      <c r="BJ108" s="390"/>
      <c r="BK108" s="390"/>
      <c r="BL108" s="394">
        <v>0</v>
      </c>
      <c r="BM108" s="394">
        <v>1</v>
      </c>
      <c r="BN108" s="394">
        <v>1</v>
      </c>
      <c r="BO108" s="394">
        <v>0</v>
      </c>
      <c r="BP108" s="394">
        <v>0</v>
      </c>
      <c r="BQ108" s="394">
        <v>0</v>
      </c>
      <c r="BR108" s="394">
        <v>1</v>
      </c>
      <c r="BS108" s="394">
        <v>0</v>
      </c>
      <c r="BT108" s="394">
        <v>0</v>
      </c>
      <c r="BU108" s="394">
        <v>0</v>
      </c>
      <c r="BV108" s="394">
        <v>0</v>
      </c>
      <c r="BW108" s="394">
        <v>0</v>
      </c>
      <c r="BX108" s="394">
        <v>0</v>
      </c>
      <c r="BY108" s="394">
        <v>1</v>
      </c>
      <c r="BZ108" s="383">
        <f t="shared" si="110"/>
        <v>2</v>
      </c>
      <c r="CA108" s="383">
        <f t="shared" si="111"/>
        <v>2</v>
      </c>
      <c r="CB108" s="384">
        <f t="shared" si="112"/>
        <v>4</v>
      </c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</row>
    <row r="109" spans="1:222" s="25" customFormat="1" ht="69.95" customHeight="1">
      <c r="A109" s="430">
        <v>17</v>
      </c>
      <c r="B109" s="436" t="str">
        <f t="shared" si="117"/>
        <v xml:space="preserve">SGH N.KARACHI </v>
      </c>
      <c r="C109" s="436" t="str">
        <f t="shared" si="117"/>
        <v>N.KARACHI</v>
      </c>
      <c r="D109" s="436"/>
      <c r="E109" s="441">
        <f t="shared" si="117"/>
        <v>450000</v>
      </c>
      <c r="F109" s="613">
        <v>230</v>
      </c>
      <c r="G109" s="614">
        <v>100</v>
      </c>
      <c r="H109" s="394">
        <v>35</v>
      </c>
      <c r="I109" s="394">
        <v>36</v>
      </c>
      <c r="J109" s="378">
        <f t="shared" si="100"/>
        <v>71</v>
      </c>
      <c r="K109" s="394">
        <v>3</v>
      </c>
      <c r="L109" s="394">
        <v>2</v>
      </c>
      <c r="M109" s="378">
        <f t="shared" si="101"/>
        <v>5</v>
      </c>
      <c r="N109" s="394">
        <v>2</v>
      </c>
      <c r="O109" s="394">
        <v>0</v>
      </c>
      <c r="P109" s="378">
        <f t="shared" si="102"/>
        <v>2</v>
      </c>
      <c r="Q109" s="394">
        <v>2</v>
      </c>
      <c r="R109" s="394">
        <v>2</v>
      </c>
      <c r="S109" s="378">
        <f t="shared" si="92"/>
        <v>4</v>
      </c>
      <c r="T109" s="378"/>
      <c r="U109" s="378"/>
      <c r="V109" s="378">
        <f t="shared" si="93"/>
        <v>82</v>
      </c>
      <c r="W109" s="378"/>
      <c r="X109" s="379">
        <f t="shared" si="103"/>
        <v>0.78888888888888886</v>
      </c>
      <c r="Y109" s="382"/>
      <c r="Z109" s="382"/>
      <c r="AA109" s="382"/>
      <c r="AB109" s="394"/>
      <c r="AC109" s="394"/>
      <c r="AD109" s="394"/>
      <c r="AE109" s="377">
        <v>14</v>
      </c>
      <c r="AF109" s="377">
        <v>20</v>
      </c>
      <c r="AG109" s="382">
        <f t="shared" si="104"/>
        <v>34</v>
      </c>
      <c r="AH109" s="382"/>
      <c r="AI109" s="378"/>
      <c r="AJ109" s="378"/>
      <c r="AK109" s="394"/>
      <c r="AL109" s="394"/>
      <c r="AM109" s="394"/>
      <c r="AN109" s="377">
        <v>14</v>
      </c>
      <c r="AO109" s="377">
        <v>26</v>
      </c>
      <c r="AP109" s="382">
        <f t="shared" si="94"/>
        <v>40</v>
      </c>
      <c r="AQ109" s="383">
        <f t="shared" si="105"/>
        <v>70</v>
      </c>
      <c r="AR109" s="383">
        <f t="shared" si="106"/>
        <v>86</v>
      </c>
      <c r="AS109" s="384"/>
      <c r="AT109" s="384"/>
      <c r="AU109" s="385">
        <f t="shared" si="107"/>
        <v>156</v>
      </c>
      <c r="AV109" s="380">
        <f t="shared" si="108"/>
        <v>0.50724637681159424</v>
      </c>
      <c r="AW109" s="379"/>
      <c r="AX109" s="379"/>
      <c r="AY109" s="379">
        <f t="shared" si="95"/>
        <v>0.78342749529190203</v>
      </c>
      <c r="AZ109" s="379">
        <f t="shared" si="96"/>
        <v>7.0512820512820512E-2</v>
      </c>
      <c r="BA109" s="395">
        <f t="shared" si="109"/>
        <v>63.111111111111114</v>
      </c>
      <c r="BB109" s="396">
        <f t="shared" si="97"/>
        <v>138.66666666666666</v>
      </c>
      <c r="BC109" s="396"/>
      <c r="BD109" s="396"/>
      <c r="BE109" s="396"/>
      <c r="BF109" s="396">
        <v>15</v>
      </c>
      <c r="BG109" s="438">
        <v>24</v>
      </c>
      <c r="BH109" s="436">
        <f t="shared" si="116"/>
        <v>0</v>
      </c>
      <c r="BI109" s="436">
        <f t="shared" si="116"/>
        <v>0</v>
      </c>
      <c r="BJ109" s="390"/>
      <c r="BK109" s="390"/>
      <c r="BL109" s="394">
        <v>2</v>
      </c>
      <c r="BM109" s="394">
        <v>1</v>
      </c>
      <c r="BN109" s="394">
        <v>9</v>
      </c>
      <c r="BO109" s="394">
        <v>14</v>
      </c>
      <c r="BP109" s="394">
        <v>8</v>
      </c>
      <c r="BQ109" s="394">
        <v>6</v>
      </c>
      <c r="BR109" s="394">
        <v>4</v>
      </c>
      <c r="BS109" s="394">
        <v>7</v>
      </c>
      <c r="BT109" s="394">
        <v>6</v>
      </c>
      <c r="BU109" s="394">
        <v>3</v>
      </c>
      <c r="BV109" s="394">
        <v>4</v>
      </c>
      <c r="BW109" s="394">
        <v>3</v>
      </c>
      <c r="BX109" s="394">
        <v>2</v>
      </c>
      <c r="BY109" s="394">
        <v>2</v>
      </c>
      <c r="BZ109" s="378">
        <f t="shared" si="110"/>
        <v>35</v>
      </c>
      <c r="CA109" s="378">
        <f t="shared" si="111"/>
        <v>36</v>
      </c>
      <c r="CB109" s="385">
        <f t="shared" si="112"/>
        <v>71</v>
      </c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4"/>
      <c r="HB109" s="24"/>
      <c r="HC109" s="24"/>
      <c r="HD109" s="24"/>
      <c r="HE109" s="24"/>
      <c r="HF109" s="24"/>
      <c r="HG109" s="24"/>
      <c r="HH109" s="24"/>
      <c r="HI109" s="24"/>
      <c r="HJ109" s="24"/>
      <c r="HK109" s="24"/>
      <c r="HL109" s="24"/>
      <c r="HM109" s="24"/>
      <c r="HN109" s="24"/>
    </row>
    <row r="110" spans="1:222" s="17" customFormat="1" ht="69.95" customHeight="1">
      <c r="A110" s="435">
        <v>18</v>
      </c>
      <c r="B110" s="446" t="str">
        <f t="shared" si="117"/>
        <v>UHC N.KARACHI</v>
      </c>
      <c r="C110" s="446" t="str">
        <f t="shared" si="117"/>
        <v>N.KARACHI</v>
      </c>
      <c r="D110" s="446"/>
      <c r="E110" s="444">
        <f t="shared" si="117"/>
        <v>137000</v>
      </c>
      <c r="F110" s="613">
        <f>(G110*2)+G110*0.25</f>
        <v>56.25</v>
      </c>
      <c r="G110" s="614">
        <v>25</v>
      </c>
      <c r="H110" s="377">
        <v>2</v>
      </c>
      <c r="I110" s="377">
        <v>4</v>
      </c>
      <c r="J110" s="378">
        <f t="shared" si="100"/>
        <v>6</v>
      </c>
      <c r="K110" s="394">
        <v>0</v>
      </c>
      <c r="L110" s="394">
        <v>0</v>
      </c>
      <c r="M110" s="378">
        <f t="shared" si="101"/>
        <v>0</v>
      </c>
      <c r="N110" s="394">
        <v>0</v>
      </c>
      <c r="O110" s="394">
        <v>0</v>
      </c>
      <c r="P110" s="378">
        <f t="shared" si="102"/>
        <v>0</v>
      </c>
      <c r="Q110" s="394">
        <v>0</v>
      </c>
      <c r="R110" s="394">
        <v>0</v>
      </c>
      <c r="S110" s="378">
        <f t="shared" si="92"/>
        <v>0</v>
      </c>
      <c r="T110" s="378"/>
      <c r="U110" s="378"/>
      <c r="V110" s="378">
        <f t="shared" si="93"/>
        <v>6</v>
      </c>
      <c r="W110" s="378"/>
      <c r="X110" s="380">
        <f t="shared" si="103"/>
        <v>0.218978102189781</v>
      </c>
      <c r="Y110" s="381"/>
      <c r="Z110" s="381"/>
      <c r="AA110" s="381"/>
      <c r="AB110" s="377"/>
      <c r="AC110" s="377"/>
      <c r="AD110" s="377"/>
      <c r="AE110" s="377">
        <v>0</v>
      </c>
      <c r="AF110" s="377">
        <v>0</v>
      </c>
      <c r="AG110" s="382">
        <f t="shared" si="104"/>
        <v>0</v>
      </c>
      <c r="AH110" s="381"/>
      <c r="AI110" s="383"/>
      <c r="AJ110" s="383"/>
      <c r="AK110" s="377"/>
      <c r="AL110" s="377"/>
      <c r="AM110" s="377"/>
      <c r="AN110" s="377">
        <v>1</v>
      </c>
      <c r="AO110" s="377">
        <v>0</v>
      </c>
      <c r="AP110" s="382">
        <f t="shared" si="94"/>
        <v>1</v>
      </c>
      <c r="AQ110" s="383">
        <f t="shared" si="105"/>
        <v>3</v>
      </c>
      <c r="AR110" s="383">
        <f t="shared" si="106"/>
        <v>4</v>
      </c>
      <c r="AS110" s="384"/>
      <c r="AT110" s="384"/>
      <c r="AU110" s="385">
        <f t="shared" si="107"/>
        <v>7</v>
      </c>
      <c r="AV110" s="380">
        <f t="shared" si="108"/>
        <v>1</v>
      </c>
      <c r="AW110" s="380"/>
      <c r="AX110" s="380"/>
      <c r="AY110" s="380">
        <f t="shared" si="95"/>
        <v>0.11546867912078848</v>
      </c>
      <c r="AZ110" s="380">
        <f t="shared" si="96"/>
        <v>0</v>
      </c>
      <c r="BA110" s="386">
        <f t="shared" si="109"/>
        <v>17.518248175182482</v>
      </c>
      <c r="BB110" s="387">
        <f t="shared" si="97"/>
        <v>20.437956204379564</v>
      </c>
      <c r="BC110" s="387"/>
      <c r="BD110" s="387"/>
      <c r="BE110" s="387"/>
      <c r="BF110" s="387"/>
      <c r="BG110" s="445">
        <v>25</v>
      </c>
      <c r="BH110" s="446">
        <f t="shared" si="116"/>
        <v>0</v>
      </c>
      <c r="BI110" s="446">
        <f t="shared" si="116"/>
        <v>0</v>
      </c>
      <c r="BJ110" s="390"/>
      <c r="BK110" s="390"/>
      <c r="BL110" s="394">
        <v>1</v>
      </c>
      <c r="BM110" s="394">
        <v>1</v>
      </c>
      <c r="BN110" s="394">
        <v>0</v>
      </c>
      <c r="BO110" s="394">
        <v>2</v>
      </c>
      <c r="BP110" s="394">
        <v>1</v>
      </c>
      <c r="BQ110" s="394">
        <v>1</v>
      </c>
      <c r="BR110" s="394">
        <v>0</v>
      </c>
      <c r="BS110" s="394">
        <v>0</v>
      </c>
      <c r="BT110" s="394">
        <v>0</v>
      </c>
      <c r="BU110" s="394">
        <v>0</v>
      </c>
      <c r="BV110" s="394">
        <v>0</v>
      </c>
      <c r="BW110" s="394">
        <v>0</v>
      </c>
      <c r="BX110" s="394">
        <v>0</v>
      </c>
      <c r="BY110" s="394">
        <v>0</v>
      </c>
      <c r="BZ110" s="383">
        <f t="shared" si="110"/>
        <v>2</v>
      </c>
      <c r="CA110" s="383">
        <f t="shared" si="111"/>
        <v>4</v>
      </c>
      <c r="CB110" s="384">
        <f t="shared" si="112"/>
        <v>6</v>
      </c>
      <c r="CC110" s="14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</row>
    <row r="111" spans="1:222" s="17" customFormat="1" ht="69.95" customHeight="1">
      <c r="A111" s="430">
        <v>19</v>
      </c>
      <c r="B111" s="406" t="s">
        <v>152</v>
      </c>
      <c r="C111" s="406" t="s">
        <v>153</v>
      </c>
      <c r="D111" s="406"/>
      <c r="E111" s="402">
        <v>150000</v>
      </c>
      <c r="F111" s="613">
        <f>(G111*2)+G111*0.25</f>
        <v>56.25</v>
      </c>
      <c r="G111" s="615">
        <v>25</v>
      </c>
      <c r="H111" s="377">
        <v>4</v>
      </c>
      <c r="I111" s="377">
        <v>2</v>
      </c>
      <c r="J111" s="378">
        <f>SUM(H111:I111)</f>
        <v>6</v>
      </c>
      <c r="K111" s="394">
        <v>0</v>
      </c>
      <c r="L111" s="394">
        <v>0</v>
      </c>
      <c r="M111" s="378">
        <f>SUM(K111:L111)</f>
        <v>0</v>
      </c>
      <c r="N111" s="394">
        <v>0</v>
      </c>
      <c r="O111" s="394">
        <v>0</v>
      </c>
      <c r="P111" s="378">
        <f>SUM(N111:O111)</f>
        <v>0</v>
      </c>
      <c r="Q111" s="394">
        <v>0</v>
      </c>
      <c r="R111" s="394">
        <v>0</v>
      </c>
      <c r="S111" s="378">
        <f>SUM(Q111:R111)</f>
        <v>0</v>
      </c>
      <c r="T111" s="378"/>
      <c r="U111" s="378"/>
      <c r="V111" s="378">
        <f t="shared" si="93"/>
        <v>6</v>
      </c>
      <c r="W111" s="378"/>
      <c r="X111" s="380">
        <f>J111*4/(E111*0.0008)</f>
        <v>0.2</v>
      </c>
      <c r="Y111" s="381"/>
      <c r="Z111" s="381"/>
      <c r="AA111" s="381"/>
      <c r="AB111" s="377"/>
      <c r="AC111" s="377"/>
      <c r="AD111" s="377"/>
      <c r="AE111" s="377">
        <v>0</v>
      </c>
      <c r="AF111" s="377">
        <v>2</v>
      </c>
      <c r="AG111" s="382">
        <f>AE111+AF111</f>
        <v>2</v>
      </c>
      <c r="AH111" s="381"/>
      <c r="AI111" s="383"/>
      <c r="AJ111" s="383"/>
      <c r="AK111" s="377"/>
      <c r="AL111" s="377"/>
      <c r="AM111" s="377"/>
      <c r="AN111" s="377">
        <v>1</v>
      </c>
      <c r="AO111" s="377">
        <v>4</v>
      </c>
      <c r="AP111" s="382">
        <f>AN111+AO111</f>
        <v>5</v>
      </c>
      <c r="AQ111" s="383">
        <f t="shared" si="105"/>
        <v>5</v>
      </c>
      <c r="AR111" s="383">
        <f t="shared" si="106"/>
        <v>8</v>
      </c>
      <c r="AS111" s="384"/>
      <c r="AT111" s="384"/>
      <c r="AU111" s="385">
        <f t="shared" si="107"/>
        <v>13</v>
      </c>
      <c r="AV111" s="380">
        <f t="shared" si="108"/>
        <v>0.66666666666666663</v>
      </c>
      <c r="AW111" s="380"/>
      <c r="AX111" s="380"/>
      <c r="AY111" s="380">
        <f>AU111*4/(E111*0.00177)</f>
        <v>0.19585687382297551</v>
      </c>
      <c r="AZ111" s="380">
        <f>(M111+P111+S111)/AU111</f>
        <v>0</v>
      </c>
      <c r="BA111" s="386">
        <f>J111*4/E111*100000</f>
        <v>16</v>
      </c>
      <c r="BB111" s="387">
        <f>AU111*4/E111*100000</f>
        <v>34.666666666666664</v>
      </c>
      <c r="BC111" s="387"/>
      <c r="BD111" s="403"/>
      <c r="BE111" s="403"/>
      <c r="BF111" s="403"/>
      <c r="BG111" s="435">
        <v>20</v>
      </c>
      <c r="BH111" s="406" t="s">
        <v>152</v>
      </c>
      <c r="BI111" s="406" t="s">
        <v>153</v>
      </c>
      <c r="BJ111" s="390"/>
      <c r="BK111" s="390"/>
      <c r="BL111" s="394">
        <v>0</v>
      </c>
      <c r="BM111" s="394">
        <v>0</v>
      </c>
      <c r="BN111" s="394">
        <v>0</v>
      </c>
      <c r="BO111" s="394">
        <v>2</v>
      </c>
      <c r="BP111" s="394">
        <v>1</v>
      </c>
      <c r="BQ111" s="394">
        <v>0</v>
      </c>
      <c r="BR111" s="394">
        <v>2</v>
      </c>
      <c r="BS111" s="394">
        <v>0</v>
      </c>
      <c r="BT111" s="394">
        <v>1</v>
      </c>
      <c r="BU111" s="394">
        <v>0</v>
      </c>
      <c r="BV111" s="394">
        <v>0</v>
      </c>
      <c r="BW111" s="394">
        <v>0</v>
      </c>
      <c r="BX111" s="394">
        <v>0</v>
      </c>
      <c r="BY111" s="394">
        <v>0</v>
      </c>
      <c r="BZ111" s="383">
        <f>BX111+BV111+BT111+BR111+BP111+BN111+BL111+BJ111</f>
        <v>4</v>
      </c>
      <c r="CA111" s="383">
        <f>BY111+BW111+BU111+BS111+BQ111+BO111+BM111+BK111</f>
        <v>2</v>
      </c>
      <c r="CB111" s="384">
        <f>CA111+BZ111</f>
        <v>6</v>
      </c>
      <c r="CC111" s="14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</row>
    <row r="112" spans="1:222" s="17" customFormat="1" ht="69.95" customHeight="1">
      <c r="A112" s="435">
        <v>20</v>
      </c>
      <c r="B112" s="377" t="s">
        <v>123</v>
      </c>
      <c r="C112" s="377" t="s">
        <v>53</v>
      </c>
      <c r="D112" s="377"/>
      <c r="E112" s="375">
        <v>400000</v>
      </c>
      <c r="F112" s="613">
        <v>154</v>
      </c>
      <c r="G112" s="615">
        <v>65</v>
      </c>
      <c r="H112" s="377">
        <v>10</v>
      </c>
      <c r="I112" s="377">
        <v>17</v>
      </c>
      <c r="J112" s="378">
        <f>SUM(H112:I112)</f>
        <v>27</v>
      </c>
      <c r="K112" s="394">
        <v>0</v>
      </c>
      <c r="L112" s="394">
        <v>1</v>
      </c>
      <c r="M112" s="378">
        <f>SUM(K112:L112)</f>
        <v>1</v>
      </c>
      <c r="N112" s="394">
        <v>0</v>
      </c>
      <c r="O112" s="394">
        <v>0</v>
      </c>
      <c r="P112" s="378">
        <f>SUM(N112:O112)</f>
        <v>0</v>
      </c>
      <c r="Q112" s="394">
        <v>1</v>
      </c>
      <c r="R112" s="394">
        <v>0</v>
      </c>
      <c r="S112" s="378">
        <f>SUM(Q112:R112)</f>
        <v>1</v>
      </c>
      <c r="T112" s="378"/>
      <c r="U112" s="378"/>
      <c r="V112" s="378">
        <f t="shared" si="93"/>
        <v>29</v>
      </c>
      <c r="W112" s="378"/>
      <c r="X112" s="380">
        <f>J112*4/(E112*0.0008)</f>
        <v>0.33750000000000002</v>
      </c>
      <c r="Y112" s="381"/>
      <c r="Z112" s="381"/>
      <c r="AA112" s="381"/>
      <c r="AB112" s="377"/>
      <c r="AC112" s="377"/>
      <c r="AD112" s="377"/>
      <c r="AE112" s="377">
        <v>3</v>
      </c>
      <c r="AF112" s="377">
        <v>10</v>
      </c>
      <c r="AG112" s="382">
        <f>AE112+AF112</f>
        <v>13</v>
      </c>
      <c r="AH112" s="381"/>
      <c r="AI112" s="383"/>
      <c r="AJ112" s="383"/>
      <c r="AK112" s="377"/>
      <c r="AL112" s="377"/>
      <c r="AM112" s="377"/>
      <c r="AN112" s="377">
        <v>3</v>
      </c>
      <c r="AO112" s="377">
        <v>13</v>
      </c>
      <c r="AP112" s="382">
        <f>AN112+AO112</f>
        <v>16</v>
      </c>
      <c r="AQ112" s="383">
        <f>AN112+AE112+T112+Q112+N112+K112+H112</f>
        <v>17</v>
      </c>
      <c r="AR112" s="383">
        <f>AO112+AF112+U112+R112+O112+L112+I112</f>
        <v>41</v>
      </c>
      <c r="AS112" s="384"/>
      <c r="AT112" s="384"/>
      <c r="AU112" s="385">
        <f>AQ112+AR112</f>
        <v>58</v>
      </c>
      <c r="AV112" s="380">
        <f t="shared" si="108"/>
        <v>0.43478260869565216</v>
      </c>
      <c r="AW112" s="380"/>
      <c r="AX112" s="380"/>
      <c r="AY112" s="380">
        <f>AU112*4/(E112*0.00177)</f>
        <v>0.32768361581920902</v>
      </c>
      <c r="AZ112" s="380">
        <f>(M112+P112+S112)/AU112</f>
        <v>3.4482758620689655E-2</v>
      </c>
      <c r="BA112" s="386">
        <f>J112*4/E112*100000</f>
        <v>27</v>
      </c>
      <c r="BB112" s="387">
        <f>AU112*4/E112*100000</f>
        <v>58</v>
      </c>
      <c r="BC112" s="387"/>
      <c r="BD112" s="387"/>
      <c r="BE112" s="387"/>
      <c r="BF112" s="387">
        <v>2</v>
      </c>
      <c r="BG112" s="438">
        <v>19</v>
      </c>
      <c r="BH112" s="377" t="s">
        <v>123</v>
      </c>
      <c r="BI112" s="377" t="s">
        <v>53</v>
      </c>
      <c r="BJ112" s="390"/>
      <c r="BK112" s="390"/>
      <c r="BL112" s="394">
        <v>1</v>
      </c>
      <c r="BM112" s="394">
        <v>1</v>
      </c>
      <c r="BN112" s="394">
        <v>4</v>
      </c>
      <c r="BO112" s="394">
        <v>7</v>
      </c>
      <c r="BP112" s="394">
        <v>1</v>
      </c>
      <c r="BQ112" s="394">
        <v>5</v>
      </c>
      <c r="BR112" s="394">
        <v>0</v>
      </c>
      <c r="BS112" s="394">
        <v>1</v>
      </c>
      <c r="BT112" s="394">
        <v>3</v>
      </c>
      <c r="BU112" s="394">
        <v>2</v>
      </c>
      <c r="BV112" s="394">
        <v>1</v>
      </c>
      <c r="BW112" s="394">
        <v>0</v>
      </c>
      <c r="BX112" s="394">
        <v>0</v>
      </c>
      <c r="BY112" s="394">
        <v>1</v>
      </c>
      <c r="BZ112" s="383">
        <f>BX112+BV112+BT112+BR112+BP112+BN112+BL112+BJ112</f>
        <v>10</v>
      </c>
      <c r="CA112" s="383">
        <f>BY112+BW112+BU112+BS112+BQ112+BO112+BM112+BK112</f>
        <v>17</v>
      </c>
      <c r="CB112" s="384">
        <f>CA112+BZ112</f>
        <v>27</v>
      </c>
      <c r="CC112" s="14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</row>
    <row r="113" spans="1:398" s="37" customFormat="1" ht="69.95" customHeight="1">
      <c r="A113" s="347" t="s">
        <v>32</v>
      </c>
      <c r="B113" s="447" t="s">
        <v>179</v>
      </c>
      <c r="C113" s="448" t="s">
        <v>46</v>
      </c>
      <c r="D113" s="448"/>
      <c r="E113" s="449">
        <f>SUM(E93:E110)</f>
        <v>4740500</v>
      </c>
      <c r="F113" s="613">
        <f t="shared" ref="F113:S113" si="118">SUM(F93:F112)</f>
        <v>1497.75</v>
      </c>
      <c r="G113" s="449">
        <f t="shared" si="118"/>
        <v>660</v>
      </c>
      <c r="H113" s="447">
        <f t="shared" si="118"/>
        <v>114</v>
      </c>
      <c r="I113" s="447">
        <f t="shared" si="118"/>
        <v>134</v>
      </c>
      <c r="J113" s="447">
        <f t="shared" si="118"/>
        <v>248</v>
      </c>
      <c r="K113" s="447">
        <f t="shared" si="118"/>
        <v>8</v>
      </c>
      <c r="L113" s="447">
        <f t="shared" si="118"/>
        <v>6</v>
      </c>
      <c r="M113" s="447">
        <f t="shared" si="118"/>
        <v>14</v>
      </c>
      <c r="N113" s="447">
        <f t="shared" si="118"/>
        <v>4</v>
      </c>
      <c r="O113" s="447">
        <f t="shared" si="118"/>
        <v>1</v>
      </c>
      <c r="P113" s="447">
        <f t="shared" si="118"/>
        <v>5</v>
      </c>
      <c r="Q113" s="447">
        <f t="shared" si="118"/>
        <v>5</v>
      </c>
      <c r="R113" s="447">
        <f t="shared" si="118"/>
        <v>4</v>
      </c>
      <c r="S113" s="447">
        <f t="shared" si="118"/>
        <v>9</v>
      </c>
      <c r="T113" s="447"/>
      <c r="U113" s="447"/>
      <c r="V113" s="378">
        <f t="shared" si="93"/>
        <v>276</v>
      </c>
      <c r="W113" s="378"/>
      <c r="X113" s="450">
        <f>J113*4/(E113*0.0008)</f>
        <v>0.26157578314523783</v>
      </c>
      <c r="Y113" s="447"/>
      <c r="Z113" s="447"/>
      <c r="AA113" s="447"/>
      <c r="AB113" s="447"/>
      <c r="AC113" s="447"/>
      <c r="AD113" s="447"/>
      <c r="AE113" s="447">
        <f>SUM(AE93:AE112)</f>
        <v>43</v>
      </c>
      <c r="AF113" s="447">
        <f>SUM(AF93:AF112)</f>
        <v>74</v>
      </c>
      <c r="AG113" s="382">
        <f>SUM(AG93:AG112)</f>
        <v>117</v>
      </c>
      <c r="AH113" s="447"/>
      <c r="AI113" s="447"/>
      <c r="AJ113" s="447"/>
      <c r="AK113" s="447"/>
      <c r="AL113" s="447"/>
      <c r="AM113" s="447"/>
      <c r="AN113" s="447">
        <f>SUM(AN93:AN112)</f>
        <v>35</v>
      </c>
      <c r="AO113" s="447">
        <f>SUM(AO93:AO112)</f>
        <v>80</v>
      </c>
      <c r="AP113" s="382">
        <f>SUM(AP93:AP112)</f>
        <v>115</v>
      </c>
      <c r="AQ113" s="383">
        <f>SUM(AQ93:AQ112)</f>
        <v>209</v>
      </c>
      <c r="AR113" s="383">
        <f>SUM(AR93:AR112)</f>
        <v>299</v>
      </c>
      <c r="AS113" s="384"/>
      <c r="AT113" s="384"/>
      <c r="AU113" s="385">
        <f t="shared" si="107"/>
        <v>508</v>
      </c>
      <c r="AV113" s="380">
        <f t="shared" si="108"/>
        <v>0.4935064935064935</v>
      </c>
      <c r="AW113" s="380"/>
      <c r="AX113" s="380"/>
      <c r="AY113" s="380">
        <f t="shared" si="95"/>
        <v>0.24217331481279533</v>
      </c>
      <c r="AZ113" s="380">
        <f t="shared" si="96"/>
        <v>5.5118110236220472E-2</v>
      </c>
      <c r="BA113" s="386">
        <f t="shared" si="109"/>
        <v>20.926062651619027</v>
      </c>
      <c r="BB113" s="387">
        <f t="shared" si="97"/>
        <v>42.864676721864782</v>
      </c>
      <c r="BC113" s="387"/>
      <c r="BD113" s="387"/>
      <c r="BE113" s="387"/>
      <c r="BF113" s="387"/>
      <c r="BG113" s="934" t="s">
        <v>45</v>
      </c>
      <c r="BH113" s="934"/>
      <c r="BI113" s="451">
        <f>BI244</f>
        <v>0</v>
      </c>
      <c r="BJ113" s="452"/>
      <c r="BK113" s="452"/>
      <c r="BL113" s="447">
        <f t="shared" ref="BL113:CB113" si="119">SUM(BL93:BL112)</f>
        <v>4</v>
      </c>
      <c r="BM113" s="447">
        <f t="shared" si="119"/>
        <v>14</v>
      </c>
      <c r="BN113" s="447">
        <f t="shared" si="119"/>
        <v>35</v>
      </c>
      <c r="BO113" s="447">
        <f t="shared" si="119"/>
        <v>57</v>
      </c>
      <c r="BP113" s="447">
        <f t="shared" si="119"/>
        <v>26</v>
      </c>
      <c r="BQ113" s="447">
        <f t="shared" si="119"/>
        <v>25</v>
      </c>
      <c r="BR113" s="447">
        <f t="shared" si="119"/>
        <v>16</v>
      </c>
      <c r="BS113" s="447">
        <f t="shared" si="119"/>
        <v>14</v>
      </c>
      <c r="BT113" s="447">
        <f t="shared" si="119"/>
        <v>13</v>
      </c>
      <c r="BU113" s="447">
        <f t="shared" si="119"/>
        <v>12</v>
      </c>
      <c r="BV113" s="447">
        <f t="shared" si="119"/>
        <v>13</v>
      </c>
      <c r="BW113" s="447">
        <f t="shared" si="119"/>
        <v>5</v>
      </c>
      <c r="BX113" s="447">
        <f t="shared" si="119"/>
        <v>7</v>
      </c>
      <c r="BY113" s="447">
        <f t="shared" si="119"/>
        <v>7</v>
      </c>
      <c r="BZ113" s="383">
        <f t="shared" si="119"/>
        <v>114</v>
      </c>
      <c r="CA113" s="383">
        <f t="shared" si="119"/>
        <v>134</v>
      </c>
      <c r="CB113" s="384">
        <f t="shared" si="119"/>
        <v>248</v>
      </c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</row>
    <row r="114" spans="1:398" ht="69.95" customHeight="1">
      <c r="A114" s="425"/>
      <c r="B114" s="425"/>
      <c r="C114" s="425"/>
      <c r="D114" s="425"/>
      <c r="E114" s="425"/>
      <c r="F114" s="425"/>
      <c r="G114" s="425"/>
      <c r="H114" s="425"/>
      <c r="I114" s="425"/>
      <c r="J114" s="425"/>
      <c r="K114" s="425"/>
      <c r="L114" s="425"/>
      <c r="M114" s="425"/>
      <c r="N114" s="425"/>
      <c r="O114" s="425"/>
      <c r="P114" s="425"/>
      <c r="Q114" s="425"/>
      <c r="R114" s="425"/>
      <c r="S114" s="425"/>
      <c r="T114" s="425"/>
      <c r="U114" s="425"/>
      <c r="V114" s="425"/>
      <c r="W114" s="425"/>
      <c r="X114" s="425"/>
      <c r="Y114" s="425"/>
      <c r="Z114" s="425"/>
      <c r="AA114" s="425"/>
      <c r="AB114" s="425"/>
      <c r="AC114" s="425"/>
      <c r="AD114" s="425"/>
      <c r="AE114" s="425"/>
      <c r="AF114" s="425"/>
      <c r="AG114" s="425"/>
      <c r="AH114" s="425"/>
      <c r="AI114" s="425"/>
      <c r="AJ114" s="425"/>
      <c r="AK114" s="425"/>
      <c r="AL114" s="425"/>
      <c r="AM114" s="425"/>
      <c r="AN114" s="425"/>
      <c r="AO114" s="425"/>
      <c r="AP114" s="425"/>
      <c r="AQ114" s="425"/>
      <c r="AR114" s="425"/>
      <c r="AS114" s="425"/>
      <c r="AT114" s="425"/>
      <c r="AU114" s="425"/>
      <c r="AV114" s="425"/>
      <c r="AW114" s="425"/>
      <c r="AX114" s="425"/>
      <c r="AY114" s="425"/>
      <c r="AZ114" s="425"/>
      <c r="BA114" s="425"/>
      <c r="BB114" s="425"/>
      <c r="BC114" s="425"/>
      <c r="BD114" s="425"/>
      <c r="BE114" s="425"/>
      <c r="BF114" s="425"/>
      <c r="BG114" s="425"/>
      <c r="BH114" s="425"/>
      <c r="BI114" s="425"/>
      <c r="BJ114" s="425"/>
      <c r="BK114" s="425"/>
      <c r="BL114" s="425"/>
      <c r="BM114" s="425"/>
      <c r="BN114" s="425"/>
      <c r="BO114" s="425"/>
      <c r="BP114" s="425"/>
      <c r="BQ114" s="425"/>
      <c r="BR114" s="425"/>
      <c r="BS114" s="425"/>
      <c r="BT114" s="425"/>
      <c r="BU114" s="425"/>
      <c r="BV114" s="425"/>
      <c r="BW114" s="425"/>
      <c r="BX114" s="425"/>
      <c r="BY114" s="425"/>
      <c r="BZ114" s="425"/>
      <c r="CA114" s="425"/>
      <c r="CB114" s="425"/>
    </row>
    <row r="115" spans="1:398" ht="69.95" customHeight="1">
      <c r="A115" s="425"/>
      <c r="B115" s="425"/>
      <c r="C115" s="425"/>
      <c r="D115" s="425"/>
      <c r="E115" s="425"/>
      <c r="F115" s="425"/>
      <c r="G115" s="425"/>
      <c r="H115" s="425"/>
      <c r="I115" s="425"/>
      <c r="J115" s="425"/>
      <c r="K115" s="425"/>
      <c r="L115" s="425"/>
      <c r="M115" s="425"/>
      <c r="N115" s="425"/>
      <c r="O115" s="425"/>
      <c r="P115" s="425"/>
      <c r="Q115" s="425"/>
      <c r="R115" s="425"/>
      <c r="S115" s="425"/>
      <c r="T115" s="425"/>
      <c r="U115" s="425"/>
      <c r="V115" s="425"/>
      <c r="W115" s="425"/>
      <c r="X115" s="425"/>
      <c r="Y115" s="425"/>
      <c r="Z115" s="425"/>
      <c r="AA115" s="425"/>
      <c r="AB115" s="425"/>
      <c r="AC115" s="425"/>
      <c r="AD115" s="425"/>
      <c r="AE115" s="425"/>
      <c r="AF115" s="425"/>
      <c r="AG115" s="425"/>
      <c r="AH115" s="425"/>
      <c r="AI115" s="425"/>
      <c r="AJ115" s="425"/>
      <c r="AK115" s="425"/>
      <c r="AL115" s="425"/>
      <c r="AM115" s="425"/>
      <c r="AN115" s="425"/>
      <c r="AO115" s="425"/>
      <c r="AP115" s="425"/>
      <c r="AQ115" s="425"/>
      <c r="AR115" s="425"/>
      <c r="AS115" s="425"/>
      <c r="AT115" s="425"/>
      <c r="AU115" s="425"/>
      <c r="AV115" s="425"/>
      <c r="AW115" s="425"/>
      <c r="AX115" s="425"/>
      <c r="AY115" s="425"/>
      <c r="AZ115" s="425"/>
      <c r="BA115" s="425"/>
      <c r="BB115" s="425"/>
      <c r="BC115" s="425"/>
      <c r="BD115" s="425"/>
      <c r="BE115" s="425"/>
      <c r="BF115" s="425"/>
      <c r="BG115" s="425"/>
      <c r="BH115" s="425"/>
      <c r="BI115" s="425"/>
      <c r="BJ115" s="425"/>
      <c r="BK115" s="425"/>
      <c r="BL115" s="425"/>
      <c r="BM115" s="425"/>
      <c r="BN115" s="425"/>
      <c r="BO115" s="425"/>
      <c r="BP115" s="425"/>
      <c r="BQ115" s="425"/>
      <c r="BR115" s="425"/>
      <c r="BS115" s="425"/>
      <c r="BT115" s="425"/>
      <c r="BU115" s="425"/>
      <c r="BV115" s="425"/>
      <c r="BW115" s="425"/>
      <c r="BX115" s="425"/>
      <c r="BY115" s="425"/>
      <c r="BZ115" s="425"/>
      <c r="CA115" s="425"/>
      <c r="CB115" s="425"/>
    </row>
    <row r="116" spans="1:398" ht="69.95" customHeight="1">
      <c r="A116" s="1035"/>
      <c r="B116" s="1035"/>
      <c r="C116" s="1027"/>
      <c r="D116" s="1027"/>
      <c r="E116" s="1036"/>
      <c r="F116" s="1036"/>
      <c r="G116" s="1036"/>
      <c r="H116" s="1036"/>
      <c r="I116" s="1036"/>
      <c r="J116" s="1036"/>
      <c r="K116" s="1036"/>
      <c r="L116" s="1036"/>
      <c r="M116" s="1036"/>
      <c r="N116" s="1036"/>
      <c r="O116" s="1036"/>
      <c r="P116" s="1036"/>
      <c r="Q116" s="1036"/>
      <c r="R116" s="1036"/>
      <c r="S116" s="1036"/>
      <c r="T116" s="1036"/>
      <c r="U116" s="1036"/>
      <c r="V116" s="1036"/>
      <c r="W116" s="1036"/>
      <c r="X116" s="1036"/>
      <c r="Y116" s="1036"/>
      <c r="Z116" s="1036"/>
      <c r="AA116" s="1036"/>
      <c r="AB116" s="1036"/>
      <c r="AC116" s="1036"/>
      <c r="AD116" s="1036"/>
      <c r="AE116" s="1036"/>
      <c r="AF116" s="1036"/>
      <c r="AG116" s="1036"/>
      <c r="AH116" s="1036"/>
      <c r="AI116" s="1036"/>
      <c r="AJ116" s="1036"/>
      <c r="AK116" s="1036"/>
      <c r="AL116" s="1036"/>
      <c r="AM116" s="1036"/>
      <c r="AN116" s="1036"/>
      <c r="AO116" s="1036"/>
      <c r="AP116" s="1036"/>
      <c r="AQ116" s="1036"/>
      <c r="AR116" s="1036"/>
      <c r="AS116" s="1036"/>
      <c r="AT116" s="1036"/>
      <c r="AU116" s="1036"/>
      <c r="AV116" s="1036"/>
      <c r="AW116" s="1036"/>
      <c r="AX116" s="1036"/>
      <c r="AY116" s="1036"/>
      <c r="AZ116" s="1036"/>
      <c r="BA116" s="1036"/>
      <c r="BB116" s="1036"/>
      <c r="BC116" s="1036"/>
      <c r="BD116" s="1036"/>
      <c r="BE116" s="1036"/>
      <c r="BF116" s="1036"/>
      <c r="BG116" s="1035"/>
      <c r="BH116" s="1035"/>
      <c r="BI116" s="1027"/>
      <c r="BJ116" s="1036"/>
      <c r="BK116" s="1036"/>
      <c r="BL116" s="1036"/>
      <c r="BM116" s="1036"/>
      <c r="BN116" s="1036"/>
      <c r="BO116" s="1036"/>
      <c r="BP116" s="1036"/>
      <c r="BQ116" s="1036"/>
      <c r="BR116" s="1036"/>
      <c r="BS116" s="1036"/>
      <c r="BT116" s="1036"/>
      <c r="BU116" s="1036"/>
      <c r="BV116" s="1036"/>
      <c r="BW116" s="1036"/>
      <c r="BX116" s="1036"/>
      <c r="BY116" s="1036"/>
      <c r="BZ116" s="1036"/>
      <c r="CA116" s="1036"/>
      <c r="CB116" s="1036"/>
      <c r="CC116" s="1028"/>
      <c r="CD116" s="1028"/>
      <c r="CE116" s="1028"/>
      <c r="CF116" s="1028"/>
      <c r="CG116" s="1028"/>
      <c r="CH116" s="1028"/>
      <c r="CI116" s="1028"/>
      <c r="CJ116" s="1028"/>
      <c r="CK116" s="1028"/>
      <c r="CL116" s="1028"/>
      <c r="CM116" s="1028"/>
      <c r="CN116" s="1028"/>
      <c r="CO116" s="1028"/>
      <c r="CP116" s="1028"/>
      <c r="CQ116" s="1028"/>
      <c r="CR116" s="1028"/>
      <c r="CS116" s="1028"/>
      <c r="CT116" s="1028"/>
      <c r="CU116" s="1028"/>
      <c r="CV116" s="1028"/>
      <c r="CW116" s="1028"/>
      <c r="CX116" s="1028"/>
      <c r="CY116" s="1028"/>
      <c r="CZ116" s="1028"/>
      <c r="DA116" s="1028"/>
      <c r="DB116" s="1028"/>
      <c r="DC116" s="1028"/>
      <c r="DD116" s="1028"/>
      <c r="DE116" s="1028"/>
      <c r="DF116" s="1028"/>
      <c r="DG116" s="1028"/>
      <c r="DH116" s="1028"/>
      <c r="DI116" s="1028"/>
      <c r="DJ116" s="1028"/>
      <c r="DK116" s="1028"/>
      <c r="DL116" s="1028"/>
      <c r="DM116" s="1028"/>
      <c r="DN116" s="1028"/>
      <c r="DO116" s="1028"/>
      <c r="DP116" s="1028"/>
      <c r="DQ116" s="1028"/>
      <c r="DR116" s="1028"/>
      <c r="DS116" s="1028"/>
      <c r="DT116" s="1028"/>
      <c r="DU116" s="1028"/>
      <c r="DV116" s="1028"/>
      <c r="DW116" s="1028"/>
      <c r="DX116" s="1028"/>
      <c r="DY116" s="1028"/>
      <c r="DZ116" s="1028"/>
      <c r="EA116" s="1028"/>
      <c r="EB116" s="1028"/>
      <c r="EC116" s="1028"/>
      <c r="ED116" s="1028"/>
      <c r="EE116" s="1028"/>
      <c r="EF116" s="1028"/>
      <c r="EG116" s="1028"/>
      <c r="EH116" s="1028"/>
      <c r="EI116" s="1028"/>
      <c r="EJ116" s="1028"/>
      <c r="EK116" s="1028"/>
      <c r="EL116" s="1028"/>
      <c r="EM116" s="1028"/>
      <c r="EN116" s="1028"/>
      <c r="EO116" s="1028"/>
      <c r="EP116" s="1028"/>
      <c r="EQ116" s="1028"/>
      <c r="ER116" s="1028"/>
      <c r="ES116" s="1028"/>
      <c r="ET116" s="1028"/>
      <c r="EU116" s="1028"/>
      <c r="EV116" s="1028"/>
      <c r="EW116" s="1028"/>
      <c r="EX116" s="1028"/>
      <c r="EY116" s="1028"/>
      <c r="EZ116" s="1028"/>
      <c r="FA116" s="1028"/>
      <c r="FB116" s="1028"/>
      <c r="FC116" s="1028"/>
      <c r="FD116" s="1028"/>
      <c r="FE116" s="1028"/>
      <c r="FF116" s="1028"/>
      <c r="FG116" s="1028"/>
      <c r="FH116" s="1028"/>
      <c r="FI116" s="1028"/>
      <c r="FJ116" s="1028"/>
      <c r="FK116" s="1028"/>
      <c r="FL116" s="1028"/>
      <c r="FM116" s="1028"/>
      <c r="FN116" s="1028"/>
      <c r="FO116" s="1028"/>
      <c r="FP116" s="1028"/>
      <c r="FQ116" s="1028"/>
      <c r="FR116" s="1028"/>
      <c r="FS116" s="1028"/>
      <c r="FT116" s="1028"/>
      <c r="FU116" s="1028"/>
      <c r="FV116" s="1028"/>
      <c r="FW116" s="1028"/>
      <c r="FX116" s="1028"/>
      <c r="FY116" s="1028"/>
      <c r="FZ116" s="1028"/>
      <c r="GA116" s="1028"/>
      <c r="GB116" s="1028"/>
      <c r="GC116" s="1028"/>
      <c r="GD116" s="1028"/>
      <c r="GE116" s="1028"/>
      <c r="GF116" s="1028"/>
      <c r="GG116" s="1028"/>
      <c r="GH116" s="1028"/>
      <c r="GI116" s="1028"/>
      <c r="GJ116" s="1028"/>
      <c r="GK116" s="1028"/>
      <c r="GL116" s="1028"/>
      <c r="GM116" s="1028"/>
      <c r="GN116" s="1028"/>
      <c r="GO116" s="1028"/>
      <c r="GP116" s="1028"/>
      <c r="GQ116" s="1028"/>
      <c r="GR116" s="1028"/>
      <c r="GS116" s="1028"/>
      <c r="GT116" s="1028"/>
      <c r="GU116" s="1028"/>
      <c r="GV116" s="1028"/>
      <c r="GW116" s="1028"/>
      <c r="GX116" s="1028"/>
      <c r="GY116" s="1028"/>
      <c r="GZ116" s="1028"/>
      <c r="HA116" s="1028"/>
      <c r="HB116" s="1028"/>
      <c r="HC116" s="1028"/>
      <c r="HD116" s="1028"/>
      <c r="HE116" s="1028"/>
      <c r="HF116" s="1028"/>
      <c r="HG116" s="1028"/>
      <c r="HH116" s="1028"/>
      <c r="HI116" s="1028"/>
      <c r="HJ116" s="1028"/>
      <c r="HK116" s="1028"/>
      <c r="HL116" s="1028"/>
      <c r="HM116" s="1028"/>
      <c r="HN116" s="1028"/>
      <c r="HO116" s="1028"/>
      <c r="HP116" s="1028"/>
      <c r="HQ116" s="1028"/>
      <c r="HR116" s="1028"/>
      <c r="HS116" s="1028"/>
      <c r="HT116" s="1028"/>
      <c r="HU116" s="1028"/>
      <c r="HV116" s="1028"/>
      <c r="HW116" s="1028"/>
      <c r="HX116" s="1028"/>
      <c r="HY116" s="1028"/>
      <c r="HZ116" s="1028"/>
      <c r="IA116" s="1028"/>
      <c r="IB116" s="1028"/>
      <c r="IC116" s="1028"/>
      <c r="ID116" s="1028"/>
      <c r="IE116" s="1028"/>
      <c r="IF116" s="1028"/>
      <c r="IG116" s="1028"/>
      <c r="IH116" s="1028"/>
      <c r="II116" s="1028"/>
      <c r="IJ116" s="1028"/>
      <c r="IK116" s="1028"/>
      <c r="IL116" s="1028"/>
      <c r="IM116" s="1028"/>
      <c r="IN116" s="1028"/>
      <c r="IO116" s="1028"/>
      <c r="IP116" s="1028"/>
      <c r="IQ116" s="1028"/>
      <c r="IR116" s="1028"/>
      <c r="IS116" s="1028"/>
      <c r="IT116" s="1028"/>
      <c r="IU116" s="1028"/>
      <c r="IV116" s="1028"/>
      <c r="IW116" s="1028"/>
      <c r="IX116" s="1028"/>
      <c r="IY116" s="1028"/>
      <c r="IZ116" s="1028"/>
      <c r="JA116" s="1028"/>
      <c r="JB116" s="1028"/>
      <c r="JC116" s="1028"/>
      <c r="JD116" s="1028"/>
      <c r="JE116" s="1028"/>
      <c r="JF116" s="1028"/>
      <c r="JG116" s="1028"/>
      <c r="JH116" s="1028"/>
      <c r="JI116" s="1028"/>
      <c r="JJ116" s="1028"/>
      <c r="JK116" s="1028"/>
      <c r="JL116" s="1028"/>
      <c r="JM116" s="1028"/>
      <c r="JN116" s="1028"/>
      <c r="JO116" s="1028"/>
      <c r="JP116" s="1028"/>
      <c r="JQ116" s="1028"/>
      <c r="JR116" s="1028"/>
      <c r="JS116" s="1028"/>
      <c r="JT116" s="1028"/>
      <c r="JU116" s="1028"/>
      <c r="JV116" s="1028"/>
      <c r="JW116" s="1028"/>
      <c r="JX116" s="1028"/>
      <c r="JY116" s="1028"/>
      <c r="JZ116" s="1028"/>
      <c r="KA116" s="1028"/>
      <c r="KB116" s="1028"/>
      <c r="KC116" s="1028"/>
      <c r="KD116" s="1028"/>
      <c r="KE116" s="1028"/>
      <c r="KF116" s="1028"/>
      <c r="KG116" s="1028"/>
      <c r="KH116" s="1028"/>
      <c r="KI116" s="1028"/>
      <c r="KJ116" s="1028"/>
      <c r="KK116" s="1028"/>
      <c r="KL116" s="1028"/>
      <c r="KM116" s="1028"/>
      <c r="KN116" s="1028"/>
      <c r="KO116" s="1028"/>
      <c r="KP116" s="1028"/>
      <c r="KQ116" s="1028"/>
      <c r="KR116" s="1028"/>
      <c r="KS116" s="1028"/>
      <c r="KT116" s="1028"/>
      <c r="KU116" s="1028"/>
      <c r="KV116" s="1028"/>
      <c r="KW116" s="1028"/>
      <c r="KX116" s="1028"/>
      <c r="KY116" s="1028"/>
      <c r="KZ116" s="1028"/>
      <c r="LA116" s="1028"/>
      <c r="LB116" s="1028"/>
      <c r="LC116" s="1028"/>
      <c r="LD116" s="1028"/>
      <c r="LE116" s="1028"/>
      <c r="LF116" s="1028"/>
      <c r="LG116" s="1028"/>
      <c r="LH116" s="1028"/>
      <c r="LI116" s="1028"/>
      <c r="LJ116" s="1028"/>
      <c r="LK116" s="1028"/>
      <c r="LL116" s="1028"/>
      <c r="LM116" s="1028"/>
      <c r="LN116" s="1028"/>
      <c r="LO116" s="1028"/>
      <c r="LP116" s="1028"/>
      <c r="LQ116" s="1028"/>
      <c r="LR116" s="1028"/>
      <c r="LS116" s="1028"/>
      <c r="LT116" s="1028"/>
      <c r="LU116" s="1028"/>
      <c r="LV116" s="1028"/>
      <c r="LW116" s="1028"/>
      <c r="LX116" s="1028"/>
      <c r="LY116" s="1028"/>
      <c r="LZ116" s="1028"/>
      <c r="MA116" s="1028"/>
      <c r="MB116" s="1028"/>
      <c r="MC116" s="1028"/>
      <c r="MD116" s="1028"/>
      <c r="ME116" s="1028"/>
      <c r="MF116" s="1028"/>
      <c r="MG116" s="1028"/>
      <c r="MH116" s="1028"/>
      <c r="MI116" s="1028"/>
      <c r="MJ116" s="1028"/>
      <c r="MK116" s="1028"/>
      <c r="ML116" s="1028"/>
      <c r="MM116" s="1028"/>
      <c r="MN116" s="1028"/>
      <c r="MO116" s="1028"/>
      <c r="MP116" s="1028"/>
      <c r="MQ116" s="1028"/>
      <c r="MR116" s="1028"/>
      <c r="MS116" s="1028"/>
      <c r="MT116" s="1028"/>
      <c r="MU116" s="1028"/>
      <c r="MV116" s="1028"/>
      <c r="MW116" s="1028"/>
      <c r="MX116" s="1028"/>
      <c r="MY116" s="1028"/>
      <c r="MZ116" s="1028"/>
      <c r="NA116" s="1028"/>
      <c r="NB116" s="1028"/>
      <c r="NC116" s="1028"/>
      <c r="ND116" s="1028"/>
      <c r="NE116" s="1028"/>
      <c r="NF116" s="1028"/>
      <c r="NG116" s="1028"/>
      <c r="NH116" s="1028"/>
      <c r="NI116" s="1028"/>
      <c r="NJ116" s="1028"/>
      <c r="NK116" s="1028"/>
      <c r="NL116" s="1028"/>
      <c r="NM116" s="1028"/>
      <c r="NN116" s="1028"/>
      <c r="NO116" s="1028"/>
      <c r="NP116" s="1028"/>
      <c r="NQ116" s="1028"/>
      <c r="NR116" s="1028"/>
      <c r="NS116" s="1028"/>
      <c r="NT116" s="1028"/>
      <c r="NU116" s="1028"/>
      <c r="NV116" s="1028"/>
      <c r="NW116" s="1028"/>
      <c r="NX116" s="1028"/>
      <c r="NY116" s="1028"/>
      <c r="NZ116" s="1028"/>
      <c r="OA116" s="1028"/>
      <c r="OB116" s="1028"/>
      <c r="OC116" s="1028"/>
      <c r="OD116" s="1028"/>
      <c r="OE116" s="1028"/>
      <c r="OF116" s="1028"/>
      <c r="OG116" s="1028"/>
      <c r="OH116" s="1028"/>
    </row>
    <row r="117" spans="1:398" ht="69.95" customHeight="1">
      <c r="A117" s="1037"/>
      <c r="B117" s="1037"/>
      <c r="C117" s="1029"/>
      <c r="D117" s="1029"/>
      <c r="E117" s="1029"/>
      <c r="F117" s="1029"/>
      <c r="G117" s="1029"/>
      <c r="H117" s="1038"/>
      <c r="I117" s="1038"/>
      <c r="J117" s="1038"/>
      <c r="K117" s="1038"/>
      <c r="L117" s="1038"/>
      <c r="M117" s="1038"/>
      <c r="N117" s="1038"/>
      <c r="O117" s="1038"/>
      <c r="P117" s="1038"/>
      <c r="Q117" s="1038"/>
      <c r="R117" s="1038"/>
      <c r="S117" s="1038"/>
      <c r="T117" s="1030"/>
      <c r="U117" s="1030"/>
      <c r="V117" s="1030"/>
      <c r="W117" s="1030"/>
      <c r="X117" s="1029"/>
      <c r="Y117" s="1038"/>
      <c r="Z117" s="1038"/>
      <c r="AA117" s="1038"/>
      <c r="AB117" s="1038"/>
      <c r="AC117" s="1038"/>
      <c r="AD117" s="1038"/>
      <c r="AE117" s="1038"/>
      <c r="AF117" s="1038"/>
      <c r="AG117" s="1038"/>
      <c r="AH117" s="1038"/>
      <c r="AI117" s="1038"/>
      <c r="AJ117" s="1038"/>
      <c r="AK117" s="1038"/>
      <c r="AL117" s="1038"/>
      <c r="AM117" s="1038"/>
      <c r="AN117" s="1038"/>
      <c r="AO117" s="1038"/>
      <c r="AP117" s="1038"/>
      <c r="AQ117" s="1030"/>
      <c r="AR117" s="1030"/>
      <c r="AS117" s="1030"/>
      <c r="AT117" s="1030"/>
      <c r="AU117" s="1030"/>
      <c r="AV117" s="1030"/>
      <c r="AW117" s="1030"/>
      <c r="AX117" s="1030"/>
      <c r="AY117" s="1030"/>
      <c r="AZ117" s="1030"/>
      <c r="BA117" s="1030"/>
      <c r="BB117" s="1030"/>
      <c r="BC117" s="1030"/>
      <c r="BD117" s="1030"/>
      <c r="BE117" s="1030"/>
      <c r="BF117" s="1030"/>
      <c r="BG117" s="1037"/>
      <c r="BH117" s="1037"/>
      <c r="BI117" s="1031"/>
      <c r="BJ117" s="1029"/>
      <c r="BK117" s="1029"/>
      <c r="BL117" s="1029"/>
      <c r="BM117" s="1029"/>
      <c r="BN117" s="1029"/>
      <c r="BO117" s="1029"/>
      <c r="BP117" s="1029"/>
      <c r="BQ117" s="1029"/>
      <c r="BR117" s="1029"/>
      <c r="BS117" s="1029"/>
      <c r="BT117" s="1029"/>
      <c r="BU117" s="1029"/>
      <c r="BV117" s="1029"/>
      <c r="BW117" s="1029"/>
      <c r="BX117" s="1029"/>
      <c r="BY117" s="1029"/>
      <c r="BZ117" s="1029"/>
      <c r="CA117" s="1029"/>
      <c r="CB117" s="1029"/>
      <c r="CC117" s="1028"/>
      <c r="CD117" s="1028"/>
      <c r="CE117" s="1028"/>
      <c r="CF117" s="1028"/>
      <c r="CG117" s="1028"/>
      <c r="CH117" s="1028"/>
      <c r="CI117" s="1028"/>
      <c r="CJ117" s="1028"/>
      <c r="CK117" s="1028"/>
      <c r="CL117" s="1028"/>
      <c r="CM117" s="1028"/>
      <c r="CN117" s="1028"/>
      <c r="CO117" s="1028"/>
      <c r="CP117" s="1028"/>
      <c r="CQ117" s="1028"/>
      <c r="CR117" s="1028"/>
      <c r="CS117" s="1028"/>
      <c r="CT117" s="1028"/>
      <c r="CU117" s="1028"/>
      <c r="CV117" s="1028"/>
      <c r="CW117" s="1028"/>
      <c r="CX117" s="1028"/>
      <c r="CY117" s="1028"/>
      <c r="CZ117" s="1028"/>
      <c r="DA117" s="1028"/>
      <c r="DB117" s="1028"/>
      <c r="DC117" s="1028"/>
      <c r="DD117" s="1028"/>
      <c r="DE117" s="1028"/>
      <c r="DF117" s="1028"/>
      <c r="DG117" s="1028"/>
      <c r="DH117" s="1028"/>
      <c r="DI117" s="1028"/>
      <c r="DJ117" s="1028"/>
      <c r="DK117" s="1028"/>
      <c r="DL117" s="1028"/>
      <c r="DM117" s="1028"/>
      <c r="DN117" s="1028"/>
      <c r="DO117" s="1028"/>
      <c r="DP117" s="1028"/>
      <c r="DQ117" s="1028"/>
      <c r="DR117" s="1028"/>
      <c r="DS117" s="1028"/>
      <c r="DT117" s="1028"/>
      <c r="DU117" s="1028"/>
      <c r="DV117" s="1028"/>
      <c r="DW117" s="1028"/>
      <c r="DX117" s="1028"/>
      <c r="DY117" s="1028"/>
      <c r="DZ117" s="1028"/>
      <c r="EA117" s="1028"/>
      <c r="EB117" s="1028"/>
      <c r="EC117" s="1028"/>
      <c r="ED117" s="1028"/>
      <c r="EE117" s="1028"/>
      <c r="EF117" s="1028"/>
      <c r="EG117" s="1028"/>
      <c r="EH117" s="1028"/>
      <c r="EI117" s="1028"/>
      <c r="EJ117" s="1028"/>
      <c r="EK117" s="1028"/>
      <c r="EL117" s="1028"/>
      <c r="EM117" s="1028"/>
      <c r="EN117" s="1028"/>
      <c r="EO117" s="1028"/>
      <c r="EP117" s="1028"/>
      <c r="EQ117" s="1028"/>
      <c r="ER117" s="1028"/>
      <c r="ES117" s="1028"/>
      <c r="ET117" s="1028"/>
      <c r="EU117" s="1028"/>
      <c r="EV117" s="1028"/>
      <c r="EW117" s="1028"/>
      <c r="EX117" s="1028"/>
      <c r="EY117" s="1028"/>
      <c r="EZ117" s="1028"/>
      <c r="FA117" s="1028"/>
      <c r="FB117" s="1028"/>
      <c r="FC117" s="1028"/>
      <c r="FD117" s="1028"/>
      <c r="FE117" s="1028"/>
      <c r="FF117" s="1028"/>
      <c r="FG117" s="1028"/>
      <c r="FH117" s="1028"/>
      <c r="FI117" s="1028"/>
      <c r="FJ117" s="1028"/>
      <c r="FK117" s="1028"/>
      <c r="FL117" s="1028"/>
      <c r="FM117" s="1028"/>
      <c r="FN117" s="1028"/>
      <c r="FO117" s="1028"/>
      <c r="FP117" s="1028"/>
      <c r="FQ117" s="1028"/>
      <c r="FR117" s="1028"/>
      <c r="FS117" s="1028"/>
      <c r="FT117" s="1028"/>
      <c r="FU117" s="1028"/>
      <c r="FV117" s="1028"/>
      <c r="FW117" s="1028"/>
      <c r="FX117" s="1028"/>
      <c r="FY117" s="1028"/>
      <c r="FZ117" s="1028"/>
      <c r="GA117" s="1028"/>
      <c r="GB117" s="1028"/>
      <c r="GC117" s="1028"/>
      <c r="GD117" s="1028"/>
      <c r="GE117" s="1028"/>
      <c r="GF117" s="1028"/>
      <c r="GG117" s="1028"/>
      <c r="GH117" s="1028"/>
      <c r="GI117" s="1028"/>
      <c r="GJ117" s="1028"/>
      <c r="GK117" s="1028"/>
      <c r="GL117" s="1028"/>
      <c r="GM117" s="1028"/>
      <c r="GN117" s="1028"/>
      <c r="GO117" s="1028"/>
      <c r="GP117" s="1028"/>
      <c r="GQ117" s="1028"/>
      <c r="GR117" s="1028"/>
      <c r="GS117" s="1028"/>
      <c r="GT117" s="1028"/>
      <c r="GU117" s="1028"/>
      <c r="GV117" s="1028"/>
      <c r="GW117" s="1028"/>
      <c r="GX117" s="1028"/>
      <c r="GY117" s="1028"/>
      <c r="GZ117" s="1028"/>
      <c r="HA117" s="1028"/>
      <c r="HB117" s="1028"/>
      <c r="HC117" s="1028"/>
      <c r="HD117" s="1028"/>
      <c r="HE117" s="1028"/>
      <c r="HF117" s="1028"/>
      <c r="HG117" s="1028"/>
      <c r="HH117" s="1028"/>
      <c r="HI117" s="1028"/>
      <c r="HJ117" s="1028"/>
      <c r="HK117" s="1028"/>
      <c r="HL117" s="1028"/>
      <c r="HM117" s="1028"/>
      <c r="HN117" s="1028"/>
      <c r="HO117" s="1028"/>
      <c r="HP117" s="1028"/>
      <c r="HQ117" s="1028"/>
      <c r="HR117" s="1028"/>
      <c r="HS117" s="1028"/>
      <c r="HT117" s="1028"/>
      <c r="HU117" s="1028"/>
      <c r="HV117" s="1028"/>
      <c r="HW117" s="1028"/>
      <c r="HX117" s="1028"/>
      <c r="HY117" s="1028"/>
      <c r="HZ117" s="1028"/>
      <c r="IA117" s="1028"/>
      <c r="IB117" s="1028"/>
      <c r="IC117" s="1028"/>
      <c r="ID117" s="1028"/>
      <c r="IE117" s="1028"/>
      <c r="IF117" s="1028"/>
      <c r="IG117" s="1028"/>
      <c r="IH117" s="1028"/>
      <c r="II117" s="1028"/>
      <c r="IJ117" s="1028"/>
      <c r="IK117" s="1028"/>
      <c r="IL117" s="1028"/>
      <c r="IM117" s="1028"/>
      <c r="IN117" s="1028"/>
      <c r="IO117" s="1028"/>
      <c r="IP117" s="1028"/>
      <c r="IQ117" s="1028"/>
      <c r="IR117" s="1028"/>
      <c r="IS117" s="1028"/>
      <c r="IT117" s="1028"/>
      <c r="IU117" s="1028"/>
      <c r="IV117" s="1028"/>
      <c r="IW117" s="1028"/>
      <c r="IX117" s="1028"/>
      <c r="IY117" s="1028"/>
      <c r="IZ117" s="1028"/>
      <c r="JA117" s="1028"/>
      <c r="JB117" s="1028"/>
      <c r="JC117" s="1028"/>
      <c r="JD117" s="1028"/>
      <c r="JE117" s="1028"/>
      <c r="JF117" s="1028"/>
      <c r="JG117" s="1028"/>
      <c r="JH117" s="1028"/>
      <c r="JI117" s="1028"/>
      <c r="JJ117" s="1028"/>
      <c r="JK117" s="1028"/>
      <c r="JL117" s="1028"/>
      <c r="JM117" s="1028"/>
      <c r="JN117" s="1028"/>
      <c r="JO117" s="1028"/>
      <c r="JP117" s="1028"/>
      <c r="JQ117" s="1028"/>
      <c r="JR117" s="1028"/>
      <c r="JS117" s="1028"/>
      <c r="JT117" s="1028"/>
      <c r="JU117" s="1028"/>
      <c r="JV117" s="1028"/>
      <c r="JW117" s="1028"/>
      <c r="JX117" s="1028"/>
      <c r="JY117" s="1028"/>
      <c r="JZ117" s="1028"/>
      <c r="KA117" s="1028"/>
      <c r="KB117" s="1028"/>
      <c r="KC117" s="1028"/>
      <c r="KD117" s="1028"/>
      <c r="KE117" s="1028"/>
      <c r="KF117" s="1028"/>
      <c r="KG117" s="1028"/>
      <c r="KH117" s="1028"/>
      <c r="KI117" s="1028"/>
      <c r="KJ117" s="1028"/>
      <c r="KK117" s="1028"/>
      <c r="KL117" s="1028"/>
      <c r="KM117" s="1028"/>
      <c r="KN117" s="1028"/>
      <c r="KO117" s="1028"/>
      <c r="KP117" s="1028"/>
      <c r="KQ117" s="1028"/>
      <c r="KR117" s="1028"/>
      <c r="KS117" s="1028"/>
      <c r="KT117" s="1028"/>
      <c r="KU117" s="1028"/>
      <c r="KV117" s="1028"/>
      <c r="KW117" s="1028"/>
      <c r="KX117" s="1028"/>
      <c r="KY117" s="1028"/>
      <c r="KZ117" s="1028"/>
      <c r="LA117" s="1028"/>
      <c r="LB117" s="1028"/>
      <c r="LC117" s="1028"/>
      <c r="LD117" s="1028"/>
      <c r="LE117" s="1028"/>
      <c r="LF117" s="1028"/>
      <c r="LG117" s="1028"/>
      <c r="LH117" s="1028"/>
      <c r="LI117" s="1028"/>
      <c r="LJ117" s="1028"/>
      <c r="LK117" s="1028"/>
      <c r="LL117" s="1028"/>
      <c r="LM117" s="1028"/>
      <c r="LN117" s="1028"/>
      <c r="LO117" s="1028"/>
      <c r="LP117" s="1028"/>
      <c r="LQ117" s="1028"/>
      <c r="LR117" s="1028"/>
      <c r="LS117" s="1028"/>
      <c r="LT117" s="1028"/>
      <c r="LU117" s="1028"/>
      <c r="LV117" s="1028"/>
      <c r="LW117" s="1028"/>
      <c r="LX117" s="1028"/>
      <c r="LY117" s="1028"/>
      <c r="LZ117" s="1028"/>
      <c r="MA117" s="1028"/>
      <c r="MB117" s="1028"/>
      <c r="MC117" s="1028"/>
      <c r="MD117" s="1028"/>
      <c r="ME117" s="1028"/>
      <c r="MF117" s="1028"/>
      <c r="MG117" s="1028"/>
      <c r="MH117" s="1028"/>
      <c r="MI117" s="1028"/>
      <c r="MJ117" s="1028"/>
      <c r="MK117" s="1028"/>
      <c r="ML117" s="1028"/>
      <c r="MM117" s="1028"/>
      <c r="MN117" s="1028"/>
      <c r="MO117" s="1028"/>
      <c r="MP117" s="1028"/>
      <c r="MQ117" s="1028"/>
      <c r="MR117" s="1028"/>
      <c r="MS117" s="1028"/>
      <c r="MT117" s="1028"/>
      <c r="MU117" s="1028"/>
      <c r="MV117" s="1028"/>
      <c r="MW117" s="1028"/>
      <c r="MX117" s="1028"/>
      <c r="MY117" s="1028"/>
      <c r="MZ117" s="1028"/>
      <c r="NA117" s="1028"/>
      <c r="NB117" s="1028"/>
      <c r="NC117" s="1028"/>
      <c r="ND117" s="1028"/>
      <c r="NE117" s="1028"/>
      <c r="NF117" s="1028"/>
      <c r="NG117" s="1028"/>
      <c r="NH117" s="1028"/>
      <c r="NI117" s="1028"/>
      <c r="NJ117" s="1028"/>
      <c r="NK117" s="1028"/>
      <c r="NL117" s="1028"/>
      <c r="NM117" s="1028"/>
      <c r="NN117" s="1028"/>
      <c r="NO117" s="1028"/>
      <c r="NP117" s="1028"/>
      <c r="NQ117" s="1028"/>
      <c r="NR117" s="1028"/>
      <c r="NS117" s="1028"/>
      <c r="NT117" s="1028"/>
      <c r="NU117" s="1028"/>
      <c r="NV117" s="1028"/>
      <c r="NW117" s="1028"/>
      <c r="NX117" s="1028"/>
      <c r="NY117" s="1028"/>
      <c r="NZ117" s="1028"/>
      <c r="OA117" s="1028"/>
      <c r="OB117" s="1028"/>
      <c r="OC117" s="1028"/>
      <c r="OD117" s="1028"/>
      <c r="OE117" s="1028"/>
      <c r="OF117" s="1028"/>
      <c r="OG117" s="1028"/>
      <c r="OH117" s="1028"/>
    </row>
    <row r="118" spans="1:398" ht="69.95" customHeight="1">
      <c r="A118" s="1039"/>
      <c r="B118" s="1039"/>
      <c r="C118" s="1029"/>
      <c r="D118" s="1029"/>
      <c r="E118" s="1029"/>
      <c r="F118" s="1029"/>
      <c r="G118" s="1029"/>
      <c r="H118" s="1038"/>
      <c r="I118" s="1038"/>
      <c r="J118" s="1038"/>
      <c r="K118" s="1039"/>
      <c r="L118" s="1039"/>
      <c r="M118" s="1039"/>
      <c r="N118" s="1039"/>
      <c r="O118" s="1039"/>
      <c r="P118" s="1039"/>
      <c r="Q118" s="1039"/>
      <c r="R118" s="1039"/>
      <c r="S118" s="1039"/>
      <c r="T118" s="1029"/>
      <c r="U118" s="1029"/>
      <c r="V118" s="1029"/>
      <c r="W118" s="1029"/>
      <c r="X118" s="1030"/>
      <c r="Y118" s="1038"/>
      <c r="Z118" s="1038"/>
      <c r="AA118" s="1038"/>
      <c r="AB118" s="1038"/>
      <c r="AC118" s="1038"/>
      <c r="AD118" s="1038"/>
      <c r="AE118" s="1038"/>
      <c r="AF118" s="1038"/>
      <c r="AG118" s="1038"/>
      <c r="AH118" s="1038"/>
      <c r="AI118" s="1038"/>
      <c r="AJ118" s="1038"/>
      <c r="AK118" s="1038"/>
      <c r="AL118" s="1038"/>
      <c r="AM118" s="1038"/>
      <c r="AN118" s="1038"/>
      <c r="AO118" s="1038"/>
      <c r="AP118" s="1038"/>
      <c r="AQ118" s="1029"/>
      <c r="AR118" s="1030"/>
      <c r="AS118" s="1030"/>
      <c r="AT118" s="1030"/>
      <c r="AU118" s="1030"/>
      <c r="AV118" s="1030"/>
      <c r="AW118" s="1030"/>
      <c r="AX118" s="1030"/>
      <c r="AY118" s="1030"/>
      <c r="AZ118" s="1030"/>
      <c r="BA118" s="1030"/>
      <c r="BB118" s="1030"/>
      <c r="BC118" s="1030"/>
      <c r="BD118" s="1030"/>
      <c r="BE118" s="1030"/>
      <c r="BF118" s="1030"/>
      <c r="BG118" s="1039"/>
      <c r="BH118" s="1039"/>
      <c r="BI118" s="1029"/>
      <c r="BJ118" s="1029"/>
      <c r="BK118" s="1029"/>
      <c r="BL118" s="1029"/>
      <c r="BM118" s="1029"/>
      <c r="BN118" s="1029"/>
      <c r="BO118" s="1029"/>
      <c r="BP118" s="1029"/>
      <c r="BQ118" s="1029"/>
      <c r="BR118" s="1029"/>
      <c r="BS118" s="1029"/>
      <c r="BT118" s="1029"/>
      <c r="BU118" s="1029"/>
      <c r="BV118" s="1029"/>
      <c r="BW118" s="1029"/>
      <c r="BX118" s="1029"/>
      <c r="BY118" s="1029"/>
      <c r="BZ118" s="1029"/>
      <c r="CA118" s="1029"/>
      <c r="CB118" s="1029"/>
      <c r="CC118" s="1028"/>
      <c r="CD118" s="1028"/>
      <c r="CE118" s="1028"/>
      <c r="CF118" s="1028"/>
      <c r="CG118" s="1028"/>
      <c r="CH118" s="1028"/>
      <c r="CI118" s="1028"/>
      <c r="CJ118" s="1028"/>
      <c r="CK118" s="1028"/>
      <c r="CL118" s="1028"/>
      <c r="CM118" s="1028"/>
      <c r="CN118" s="1028"/>
      <c r="CO118" s="1028"/>
      <c r="CP118" s="1028"/>
      <c r="CQ118" s="1028"/>
      <c r="CR118" s="1028"/>
      <c r="CS118" s="1028"/>
      <c r="CT118" s="1028"/>
      <c r="CU118" s="1028"/>
      <c r="CV118" s="1028"/>
      <c r="CW118" s="1028"/>
      <c r="CX118" s="1028"/>
      <c r="CY118" s="1028"/>
      <c r="CZ118" s="1028"/>
      <c r="DA118" s="1028"/>
      <c r="DB118" s="1028"/>
      <c r="DC118" s="1028"/>
      <c r="DD118" s="1028"/>
      <c r="DE118" s="1028"/>
      <c r="DF118" s="1028"/>
      <c r="DG118" s="1028"/>
      <c r="DH118" s="1028"/>
      <c r="DI118" s="1028"/>
      <c r="DJ118" s="1028"/>
      <c r="DK118" s="1028"/>
      <c r="DL118" s="1028"/>
      <c r="DM118" s="1028"/>
      <c r="DN118" s="1028"/>
      <c r="DO118" s="1028"/>
      <c r="DP118" s="1028"/>
      <c r="DQ118" s="1028"/>
      <c r="DR118" s="1028"/>
      <c r="DS118" s="1028"/>
      <c r="DT118" s="1028"/>
      <c r="DU118" s="1028"/>
      <c r="DV118" s="1028"/>
      <c r="DW118" s="1028"/>
      <c r="DX118" s="1028"/>
      <c r="DY118" s="1028"/>
      <c r="DZ118" s="1028"/>
      <c r="EA118" s="1028"/>
      <c r="EB118" s="1028"/>
      <c r="EC118" s="1028"/>
      <c r="ED118" s="1028"/>
      <c r="EE118" s="1028"/>
      <c r="EF118" s="1028"/>
      <c r="EG118" s="1028"/>
      <c r="EH118" s="1028"/>
      <c r="EI118" s="1028"/>
      <c r="EJ118" s="1028"/>
      <c r="EK118" s="1028"/>
      <c r="EL118" s="1028"/>
      <c r="EM118" s="1028"/>
      <c r="EN118" s="1028"/>
      <c r="EO118" s="1028"/>
      <c r="EP118" s="1028"/>
      <c r="EQ118" s="1028"/>
      <c r="ER118" s="1028"/>
      <c r="ES118" s="1028"/>
      <c r="ET118" s="1028"/>
      <c r="EU118" s="1028"/>
      <c r="EV118" s="1028"/>
      <c r="EW118" s="1028"/>
      <c r="EX118" s="1028"/>
      <c r="EY118" s="1028"/>
      <c r="EZ118" s="1028"/>
      <c r="FA118" s="1028"/>
      <c r="FB118" s="1028"/>
      <c r="FC118" s="1028"/>
      <c r="FD118" s="1028"/>
      <c r="FE118" s="1028"/>
      <c r="FF118" s="1028"/>
      <c r="FG118" s="1028"/>
      <c r="FH118" s="1028"/>
      <c r="FI118" s="1028"/>
      <c r="FJ118" s="1028"/>
      <c r="FK118" s="1028"/>
      <c r="FL118" s="1028"/>
      <c r="FM118" s="1028"/>
      <c r="FN118" s="1028"/>
      <c r="FO118" s="1028"/>
      <c r="FP118" s="1028"/>
      <c r="FQ118" s="1028"/>
      <c r="FR118" s="1028"/>
      <c r="FS118" s="1028"/>
      <c r="FT118" s="1028"/>
      <c r="FU118" s="1028"/>
      <c r="FV118" s="1028"/>
      <c r="FW118" s="1028"/>
      <c r="FX118" s="1028"/>
      <c r="FY118" s="1028"/>
      <c r="FZ118" s="1028"/>
      <c r="GA118" s="1028"/>
      <c r="GB118" s="1028"/>
      <c r="GC118" s="1028"/>
      <c r="GD118" s="1028"/>
      <c r="GE118" s="1028"/>
      <c r="GF118" s="1028"/>
      <c r="GG118" s="1028"/>
      <c r="GH118" s="1028"/>
      <c r="GI118" s="1028"/>
      <c r="GJ118" s="1028"/>
      <c r="GK118" s="1028"/>
      <c r="GL118" s="1028"/>
      <c r="GM118" s="1028"/>
      <c r="GN118" s="1028"/>
      <c r="GO118" s="1028"/>
      <c r="GP118" s="1028"/>
      <c r="GQ118" s="1028"/>
      <c r="GR118" s="1028"/>
      <c r="GS118" s="1028"/>
      <c r="GT118" s="1028"/>
      <c r="GU118" s="1028"/>
      <c r="GV118" s="1028"/>
      <c r="GW118" s="1028"/>
      <c r="GX118" s="1028"/>
      <c r="GY118" s="1028"/>
      <c r="GZ118" s="1028"/>
      <c r="HA118" s="1028"/>
      <c r="HB118" s="1028"/>
      <c r="HC118" s="1028"/>
      <c r="HD118" s="1028"/>
      <c r="HE118" s="1028"/>
      <c r="HF118" s="1028"/>
      <c r="HG118" s="1028"/>
      <c r="HH118" s="1028"/>
      <c r="HI118" s="1028"/>
      <c r="HJ118" s="1028"/>
      <c r="HK118" s="1028"/>
      <c r="HL118" s="1028"/>
      <c r="HM118" s="1028"/>
      <c r="HN118" s="1028"/>
      <c r="HO118" s="1028"/>
      <c r="HP118" s="1028"/>
      <c r="HQ118" s="1028"/>
      <c r="HR118" s="1028"/>
      <c r="HS118" s="1028"/>
      <c r="HT118" s="1028"/>
      <c r="HU118" s="1028"/>
      <c r="HV118" s="1028"/>
      <c r="HW118" s="1028"/>
      <c r="HX118" s="1028"/>
      <c r="HY118" s="1028"/>
      <c r="HZ118" s="1028"/>
      <c r="IA118" s="1028"/>
      <c r="IB118" s="1028"/>
      <c r="IC118" s="1028"/>
      <c r="ID118" s="1028"/>
      <c r="IE118" s="1028"/>
      <c r="IF118" s="1028"/>
      <c r="IG118" s="1028"/>
      <c r="IH118" s="1028"/>
      <c r="II118" s="1028"/>
      <c r="IJ118" s="1028"/>
      <c r="IK118" s="1028"/>
      <c r="IL118" s="1028"/>
      <c r="IM118" s="1028"/>
      <c r="IN118" s="1028"/>
      <c r="IO118" s="1028"/>
      <c r="IP118" s="1028"/>
      <c r="IQ118" s="1028"/>
      <c r="IR118" s="1028"/>
      <c r="IS118" s="1028"/>
      <c r="IT118" s="1028"/>
      <c r="IU118" s="1028"/>
      <c r="IV118" s="1028"/>
      <c r="IW118" s="1028"/>
      <c r="IX118" s="1028"/>
      <c r="IY118" s="1028"/>
      <c r="IZ118" s="1028"/>
      <c r="JA118" s="1028"/>
      <c r="JB118" s="1028"/>
      <c r="JC118" s="1028"/>
      <c r="JD118" s="1028"/>
      <c r="JE118" s="1028"/>
      <c r="JF118" s="1028"/>
      <c r="JG118" s="1028"/>
      <c r="JH118" s="1028"/>
      <c r="JI118" s="1028"/>
      <c r="JJ118" s="1028"/>
      <c r="JK118" s="1028"/>
      <c r="JL118" s="1028"/>
      <c r="JM118" s="1028"/>
      <c r="JN118" s="1028"/>
      <c r="JO118" s="1028"/>
      <c r="JP118" s="1028"/>
      <c r="JQ118" s="1028"/>
      <c r="JR118" s="1028"/>
      <c r="JS118" s="1028"/>
      <c r="JT118" s="1028"/>
      <c r="JU118" s="1028"/>
      <c r="JV118" s="1028"/>
      <c r="JW118" s="1028"/>
      <c r="JX118" s="1028"/>
      <c r="JY118" s="1028"/>
      <c r="JZ118" s="1028"/>
      <c r="KA118" s="1028"/>
      <c r="KB118" s="1028"/>
      <c r="KC118" s="1028"/>
      <c r="KD118" s="1028"/>
      <c r="KE118" s="1028"/>
      <c r="KF118" s="1028"/>
      <c r="KG118" s="1028"/>
      <c r="KH118" s="1028"/>
      <c r="KI118" s="1028"/>
      <c r="KJ118" s="1028"/>
      <c r="KK118" s="1028"/>
      <c r="KL118" s="1028"/>
      <c r="KM118" s="1028"/>
      <c r="KN118" s="1028"/>
      <c r="KO118" s="1028"/>
      <c r="KP118" s="1028"/>
      <c r="KQ118" s="1028"/>
      <c r="KR118" s="1028"/>
      <c r="KS118" s="1028"/>
      <c r="KT118" s="1028"/>
      <c r="KU118" s="1028"/>
      <c r="KV118" s="1028"/>
      <c r="KW118" s="1028"/>
      <c r="KX118" s="1028"/>
      <c r="KY118" s="1028"/>
      <c r="KZ118" s="1028"/>
      <c r="LA118" s="1028"/>
      <c r="LB118" s="1028"/>
      <c r="LC118" s="1028"/>
      <c r="LD118" s="1028"/>
      <c r="LE118" s="1028"/>
      <c r="LF118" s="1028"/>
      <c r="LG118" s="1028"/>
      <c r="LH118" s="1028"/>
      <c r="LI118" s="1028"/>
      <c r="LJ118" s="1028"/>
      <c r="LK118" s="1028"/>
      <c r="LL118" s="1028"/>
      <c r="LM118" s="1028"/>
      <c r="LN118" s="1028"/>
      <c r="LO118" s="1028"/>
      <c r="LP118" s="1028"/>
      <c r="LQ118" s="1028"/>
      <c r="LR118" s="1028"/>
      <c r="LS118" s="1028"/>
      <c r="LT118" s="1028"/>
      <c r="LU118" s="1028"/>
      <c r="LV118" s="1028"/>
      <c r="LW118" s="1028"/>
      <c r="LX118" s="1028"/>
      <c r="LY118" s="1028"/>
      <c r="LZ118" s="1028"/>
      <c r="MA118" s="1028"/>
      <c r="MB118" s="1028"/>
      <c r="MC118" s="1028"/>
      <c r="MD118" s="1028"/>
      <c r="ME118" s="1028"/>
      <c r="MF118" s="1028"/>
      <c r="MG118" s="1028"/>
      <c r="MH118" s="1028"/>
      <c r="MI118" s="1028"/>
      <c r="MJ118" s="1028"/>
      <c r="MK118" s="1028"/>
      <c r="ML118" s="1028"/>
      <c r="MM118" s="1028"/>
      <c r="MN118" s="1028"/>
      <c r="MO118" s="1028"/>
      <c r="MP118" s="1028"/>
      <c r="MQ118" s="1028"/>
      <c r="MR118" s="1028"/>
      <c r="MS118" s="1028"/>
      <c r="MT118" s="1028"/>
      <c r="MU118" s="1028"/>
      <c r="MV118" s="1028"/>
      <c r="MW118" s="1028"/>
      <c r="MX118" s="1028"/>
      <c r="MY118" s="1028"/>
      <c r="MZ118" s="1028"/>
      <c r="NA118" s="1028"/>
      <c r="NB118" s="1028"/>
      <c r="NC118" s="1028"/>
      <c r="ND118" s="1028"/>
      <c r="NE118" s="1028"/>
      <c r="NF118" s="1028"/>
      <c r="NG118" s="1028"/>
      <c r="NH118" s="1028"/>
      <c r="NI118" s="1028"/>
      <c r="NJ118" s="1028"/>
      <c r="NK118" s="1028"/>
      <c r="NL118" s="1028"/>
      <c r="NM118" s="1028"/>
      <c r="NN118" s="1028"/>
      <c r="NO118" s="1028"/>
      <c r="NP118" s="1028"/>
      <c r="NQ118" s="1028"/>
      <c r="NR118" s="1028"/>
      <c r="NS118" s="1028"/>
      <c r="NT118" s="1028"/>
      <c r="NU118" s="1028"/>
      <c r="NV118" s="1028"/>
      <c r="NW118" s="1028"/>
      <c r="NX118" s="1028"/>
      <c r="NY118" s="1028"/>
      <c r="NZ118" s="1028"/>
      <c r="OA118" s="1028"/>
      <c r="OB118" s="1028"/>
      <c r="OC118" s="1028"/>
      <c r="OD118" s="1028"/>
      <c r="OE118" s="1028"/>
      <c r="OF118" s="1028"/>
      <c r="OG118" s="1028"/>
      <c r="OH118" s="1028"/>
    </row>
    <row r="119" spans="1:398" ht="69.95" customHeight="1">
      <c r="A119" s="1039"/>
      <c r="B119" s="1040"/>
      <c r="C119" s="1040"/>
      <c r="D119" s="1041"/>
      <c r="E119" s="1039"/>
      <c r="F119" s="1029"/>
      <c r="G119" s="1029"/>
      <c r="H119" s="1038"/>
      <c r="I119" s="1038"/>
      <c r="J119" s="1038"/>
      <c r="K119" s="1038"/>
      <c r="L119" s="1038"/>
      <c r="M119" s="1038"/>
      <c r="N119" s="1038"/>
      <c r="O119" s="1038"/>
      <c r="P119" s="1038"/>
      <c r="Q119" s="1038"/>
      <c r="R119" s="1038"/>
      <c r="S119" s="1038"/>
      <c r="T119" s="1038"/>
      <c r="U119" s="1038"/>
      <c r="V119" s="1038"/>
      <c r="W119" s="1030"/>
      <c r="X119" s="1038"/>
      <c r="Y119" s="1039"/>
      <c r="Z119" s="1039"/>
      <c r="AA119" s="1039"/>
      <c r="AB119" s="1039"/>
      <c r="AC119" s="1039"/>
      <c r="AD119" s="1039"/>
      <c r="AE119" s="1039"/>
      <c r="AF119" s="1039"/>
      <c r="AG119" s="1039"/>
      <c r="AH119" s="1039"/>
      <c r="AI119" s="1039"/>
      <c r="AJ119" s="1039"/>
      <c r="AK119" s="1039"/>
      <c r="AL119" s="1039"/>
      <c r="AM119" s="1039"/>
      <c r="AN119" s="1039"/>
      <c r="AO119" s="1039"/>
      <c r="AP119" s="1039"/>
      <c r="AQ119" s="1038"/>
      <c r="AR119" s="1038"/>
      <c r="AS119" s="1038"/>
      <c r="AT119" s="1038"/>
      <c r="AU119" s="1038"/>
      <c r="AV119" s="1042"/>
      <c r="AW119" s="1043"/>
      <c r="AX119" s="1043"/>
      <c r="AY119" s="1038"/>
      <c r="AZ119" s="1038"/>
      <c r="BA119" s="1038"/>
      <c r="BB119" s="1038"/>
      <c r="BC119" s="1030"/>
      <c r="BD119" s="1030"/>
      <c r="BE119" s="1030"/>
      <c r="BF119" s="1030"/>
      <c r="BG119" s="1039"/>
      <c r="BH119" s="1040"/>
      <c r="BI119" s="1040"/>
      <c r="BJ119" s="1039"/>
      <c r="BK119" s="1039"/>
      <c r="BL119" s="1044"/>
      <c r="BM119" s="1044"/>
      <c r="BN119" s="1039"/>
      <c r="BO119" s="1039"/>
      <c r="BP119" s="1039"/>
      <c r="BQ119" s="1039"/>
      <c r="BR119" s="1039"/>
      <c r="BS119" s="1039"/>
      <c r="BT119" s="1039"/>
      <c r="BU119" s="1039"/>
      <c r="BV119" s="1039"/>
      <c r="BW119" s="1039"/>
      <c r="BX119" s="1039"/>
      <c r="BY119" s="1039"/>
      <c r="BZ119" s="1039"/>
      <c r="CA119" s="1039"/>
      <c r="CB119" s="1039"/>
      <c r="CC119" s="1028"/>
      <c r="CD119" s="1028"/>
      <c r="CE119" s="1028"/>
      <c r="CF119" s="1028"/>
      <c r="CG119" s="1028"/>
      <c r="CH119" s="1028"/>
      <c r="CI119" s="1028"/>
      <c r="CJ119" s="1028"/>
      <c r="CK119" s="1028"/>
      <c r="CL119" s="1028"/>
      <c r="CM119" s="1028"/>
      <c r="CN119" s="1028"/>
      <c r="CO119" s="1028"/>
      <c r="CP119" s="1028"/>
      <c r="CQ119" s="1028"/>
      <c r="CR119" s="1028"/>
      <c r="CS119" s="1028"/>
      <c r="CT119" s="1028"/>
      <c r="CU119" s="1028"/>
      <c r="CV119" s="1028"/>
      <c r="CW119" s="1028"/>
      <c r="CX119" s="1028"/>
      <c r="CY119" s="1028"/>
      <c r="CZ119" s="1028"/>
      <c r="DA119" s="1028"/>
      <c r="DB119" s="1028"/>
      <c r="DC119" s="1028"/>
      <c r="DD119" s="1028"/>
      <c r="DE119" s="1028"/>
      <c r="DF119" s="1028"/>
      <c r="DG119" s="1028"/>
      <c r="DH119" s="1028"/>
      <c r="DI119" s="1028"/>
      <c r="DJ119" s="1028"/>
      <c r="DK119" s="1028"/>
      <c r="DL119" s="1028"/>
      <c r="DM119" s="1028"/>
      <c r="DN119" s="1028"/>
      <c r="DO119" s="1028"/>
      <c r="DP119" s="1028"/>
      <c r="DQ119" s="1028"/>
      <c r="DR119" s="1028"/>
      <c r="DS119" s="1028"/>
      <c r="DT119" s="1028"/>
      <c r="DU119" s="1028"/>
      <c r="DV119" s="1028"/>
      <c r="DW119" s="1028"/>
      <c r="DX119" s="1028"/>
      <c r="DY119" s="1028"/>
      <c r="DZ119" s="1028"/>
      <c r="EA119" s="1028"/>
      <c r="EB119" s="1028"/>
      <c r="EC119" s="1028"/>
      <c r="ED119" s="1028"/>
      <c r="EE119" s="1028"/>
      <c r="EF119" s="1028"/>
      <c r="EG119" s="1028"/>
      <c r="EH119" s="1028"/>
      <c r="EI119" s="1028"/>
      <c r="EJ119" s="1028"/>
      <c r="EK119" s="1028"/>
      <c r="EL119" s="1028"/>
      <c r="EM119" s="1028"/>
      <c r="EN119" s="1028"/>
      <c r="EO119" s="1028"/>
      <c r="EP119" s="1028"/>
      <c r="EQ119" s="1028"/>
      <c r="ER119" s="1028"/>
      <c r="ES119" s="1028"/>
      <c r="ET119" s="1028"/>
      <c r="EU119" s="1028"/>
      <c r="EV119" s="1028"/>
      <c r="EW119" s="1028"/>
      <c r="EX119" s="1028"/>
      <c r="EY119" s="1028"/>
      <c r="EZ119" s="1028"/>
      <c r="FA119" s="1028"/>
      <c r="FB119" s="1028"/>
      <c r="FC119" s="1028"/>
      <c r="FD119" s="1028"/>
      <c r="FE119" s="1028"/>
      <c r="FF119" s="1028"/>
      <c r="FG119" s="1028"/>
      <c r="FH119" s="1028"/>
      <c r="FI119" s="1028"/>
      <c r="FJ119" s="1028"/>
      <c r="FK119" s="1028"/>
      <c r="FL119" s="1028"/>
      <c r="FM119" s="1028"/>
      <c r="FN119" s="1028"/>
      <c r="FO119" s="1028"/>
      <c r="FP119" s="1028"/>
      <c r="FQ119" s="1028"/>
      <c r="FR119" s="1028"/>
      <c r="FS119" s="1028"/>
      <c r="FT119" s="1028"/>
      <c r="FU119" s="1028"/>
      <c r="FV119" s="1028"/>
      <c r="FW119" s="1028"/>
      <c r="FX119" s="1028"/>
      <c r="FY119" s="1028"/>
      <c r="FZ119" s="1028"/>
      <c r="GA119" s="1028"/>
      <c r="GB119" s="1028"/>
      <c r="GC119" s="1028"/>
      <c r="GD119" s="1028"/>
      <c r="GE119" s="1028"/>
      <c r="GF119" s="1028"/>
      <c r="GG119" s="1028"/>
      <c r="GH119" s="1028"/>
      <c r="GI119" s="1028"/>
      <c r="GJ119" s="1028"/>
      <c r="GK119" s="1028"/>
      <c r="GL119" s="1028"/>
      <c r="GM119" s="1028"/>
      <c r="GN119" s="1028"/>
      <c r="GO119" s="1028"/>
      <c r="GP119" s="1028"/>
      <c r="GQ119" s="1028"/>
      <c r="GR119" s="1028"/>
      <c r="GS119" s="1028"/>
      <c r="GT119" s="1028"/>
      <c r="GU119" s="1028"/>
      <c r="GV119" s="1028"/>
      <c r="GW119" s="1028"/>
      <c r="GX119" s="1028"/>
      <c r="GY119" s="1028"/>
      <c r="GZ119" s="1028"/>
      <c r="HA119" s="1028"/>
      <c r="HB119" s="1028"/>
      <c r="HC119" s="1028"/>
      <c r="HD119" s="1028"/>
      <c r="HE119" s="1028"/>
      <c r="HF119" s="1028"/>
      <c r="HG119" s="1028"/>
      <c r="HH119" s="1028"/>
      <c r="HI119" s="1028"/>
      <c r="HJ119" s="1028"/>
      <c r="HK119" s="1028"/>
      <c r="HL119" s="1028"/>
      <c r="HM119" s="1028"/>
      <c r="HN119" s="1028"/>
      <c r="HO119" s="1028"/>
      <c r="HP119" s="1028"/>
      <c r="HQ119" s="1028"/>
      <c r="HR119" s="1028"/>
      <c r="HS119" s="1028"/>
      <c r="HT119" s="1028"/>
      <c r="HU119" s="1028"/>
      <c r="HV119" s="1028"/>
      <c r="HW119" s="1028"/>
      <c r="HX119" s="1028"/>
      <c r="HY119" s="1028"/>
      <c r="HZ119" s="1028"/>
      <c r="IA119" s="1028"/>
      <c r="IB119" s="1028"/>
      <c r="IC119" s="1028"/>
      <c r="ID119" s="1028"/>
      <c r="IE119" s="1028"/>
      <c r="IF119" s="1028"/>
      <c r="IG119" s="1028"/>
      <c r="IH119" s="1028"/>
      <c r="II119" s="1028"/>
      <c r="IJ119" s="1028"/>
      <c r="IK119" s="1028"/>
      <c r="IL119" s="1028"/>
      <c r="IM119" s="1028"/>
      <c r="IN119" s="1028"/>
      <c r="IO119" s="1028"/>
      <c r="IP119" s="1028"/>
      <c r="IQ119" s="1028"/>
      <c r="IR119" s="1028"/>
      <c r="IS119" s="1028"/>
      <c r="IT119" s="1028"/>
      <c r="IU119" s="1028"/>
      <c r="IV119" s="1028"/>
      <c r="IW119" s="1028"/>
      <c r="IX119" s="1028"/>
      <c r="IY119" s="1028"/>
      <c r="IZ119" s="1028"/>
      <c r="JA119" s="1028"/>
      <c r="JB119" s="1028"/>
      <c r="JC119" s="1028"/>
      <c r="JD119" s="1028"/>
      <c r="JE119" s="1028"/>
      <c r="JF119" s="1028"/>
      <c r="JG119" s="1028"/>
      <c r="JH119" s="1028"/>
      <c r="JI119" s="1028"/>
      <c r="JJ119" s="1028"/>
      <c r="JK119" s="1028"/>
      <c r="JL119" s="1028"/>
      <c r="JM119" s="1028"/>
      <c r="JN119" s="1028"/>
      <c r="JO119" s="1028"/>
      <c r="JP119" s="1028"/>
      <c r="JQ119" s="1028"/>
      <c r="JR119" s="1028"/>
      <c r="JS119" s="1028"/>
      <c r="JT119" s="1028"/>
      <c r="JU119" s="1028"/>
      <c r="JV119" s="1028"/>
      <c r="JW119" s="1028"/>
      <c r="JX119" s="1028"/>
      <c r="JY119" s="1028"/>
      <c r="JZ119" s="1028"/>
      <c r="KA119" s="1028"/>
      <c r="KB119" s="1028"/>
      <c r="KC119" s="1028"/>
      <c r="KD119" s="1028"/>
      <c r="KE119" s="1028"/>
      <c r="KF119" s="1028"/>
      <c r="KG119" s="1028"/>
      <c r="KH119" s="1028"/>
      <c r="KI119" s="1028"/>
      <c r="KJ119" s="1028"/>
      <c r="KK119" s="1028"/>
      <c r="KL119" s="1028"/>
      <c r="KM119" s="1028"/>
      <c r="KN119" s="1028"/>
      <c r="KO119" s="1028"/>
      <c r="KP119" s="1028"/>
      <c r="KQ119" s="1028"/>
      <c r="KR119" s="1028"/>
      <c r="KS119" s="1028"/>
      <c r="KT119" s="1028"/>
      <c r="KU119" s="1028"/>
      <c r="KV119" s="1028"/>
      <c r="KW119" s="1028"/>
      <c r="KX119" s="1028"/>
      <c r="KY119" s="1028"/>
      <c r="KZ119" s="1028"/>
      <c r="LA119" s="1028"/>
      <c r="LB119" s="1028"/>
      <c r="LC119" s="1028"/>
      <c r="LD119" s="1028"/>
      <c r="LE119" s="1028"/>
      <c r="LF119" s="1028"/>
      <c r="LG119" s="1028"/>
      <c r="LH119" s="1028"/>
      <c r="LI119" s="1028"/>
      <c r="LJ119" s="1028"/>
      <c r="LK119" s="1028"/>
      <c r="LL119" s="1028"/>
      <c r="LM119" s="1028"/>
      <c r="LN119" s="1028"/>
      <c r="LO119" s="1028"/>
      <c r="LP119" s="1028"/>
      <c r="LQ119" s="1028"/>
      <c r="LR119" s="1028"/>
      <c r="LS119" s="1028"/>
      <c r="LT119" s="1028"/>
      <c r="LU119" s="1028"/>
      <c r="LV119" s="1028"/>
      <c r="LW119" s="1028"/>
      <c r="LX119" s="1028"/>
      <c r="LY119" s="1028"/>
      <c r="LZ119" s="1028"/>
      <c r="MA119" s="1028"/>
      <c r="MB119" s="1028"/>
      <c r="MC119" s="1028"/>
      <c r="MD119" s="1028"/>
      <c r="ME119" s="1028"/>
      <c r="MF119" s="1028"/>
      <c r="MG119" s="1028"/>
      <c r="MH119" s="1028"/>
      <c r="MI119" s="1028"/>
      <c r="MJ119" s="1028"/>
      <c r="MK119" s="1028"/>
      <c r="ML119" s="1028"/>
      <c r="MM119" s="1028"/>
      <c r="MN119" s="1028"/>
      <c r="MO119" s="1028"/>
      <c r="MP119" s="1028"/>
      <c r="MQ119" s="1028"/>
      <c r="MR119" s="1028"/>
      <c r="MS119" s="1028"/>
      <c r="MT119" s="1028"/>
      <c r="MU119" s="1028"/>
      <c r="MV119" s="1028"/>
      <c r="MW119" s="1028"/>
      <c r="MX119" s="1028"/>
      <c r="MY119" s="1028"/>
      <c r="MZ119" s="1028"/>
      <c r="NA119" s="1028"/>
      <c r="NB119" s="1028"/>
      <c r="NC119" s="1028"/>
      <c r="ND119" s="1028"/>
      <c r="NE119" s="1028"/>
      <c r="NF119" s="1028"/>
      <c r="NG119" s="1028"/>
      <c r="NH119" s="1028"/>
      <c r="NI119" s="1028"/>
      <c r="NJ119" s="1028"/>
      <c r="NK119" s="1028"/>
      <c r="NL119" s="1028"/>
      <c r="NM119" s="1028"/>
      <c r="NN119" s="1028"/>
      <c r="NO119" s="1028"/>
      <c r="NP119" s="1028"/>
      <c r="NQ119" s="1028"/>
      <c r="NR119" s="1028"/>
      <c r="NS119" s="1028"/>
      <c r="NT119" s="1028"/>
      <c r="NU119" s="1028"/>
      <c r="NV119" s="1028"/>
      <c r="NW119" s="1028"/>
      <c r="NX119" s="1028"/>
      <c r="NY119" s="1028"/>
      <c r="NZ119" s="1028"/>
      <c r="OA119" s="1028"/>
      <c r="OB119" s="1028"/>
      <c r="OC119" s="1028"/>
      <c r="OD119" s="1028"/>
      <c r="OE119" s="1028"/>
      <c r="OF119" s="1028"/>
      <c r="OG119" s="1028"/>
      <c r="OH119" s="1028"/>
    </row>
    <row r="120" spans="1:398" ht="69.95" customHeight="1">
      <c r="A120" s="1039"/>
      <c r="B120" s="1040"/>
      <c r="C120" s="1040"/>
      <c r="D120" s="1041"/>
      <c r="E120" s="1039"/>
      <c r="F120" s="1029"/>
      <c r="G120" s="1029"/>
      <c r="H120" s="1030"/>
      <c r="I120" s="1030"/>
      <c r="J120" s="1030"/>
      <c r="K120" s="1030"/>
      <c r="L120" s="1030"/>
      <c r="M120" s="1030"/>
      <c r="N120" s="1030"/>
      <c r="O120" s="1030"/>
      <c r="P120" s="1030"/>
      <c r="Q120" s="1030"/>
      <c r="R120" s="1030"/>
      <c r="S120" s="1030"/>
      <c r="T120" s="1030"/>
      <c r="U120" s="1030"/>
      <c r="V120" s="1030"/>
      <c r="W120" s="1030"/>
      <c r="X120" s="1038"/>
      <c r="Y120" s="1030"/>
      <c r="Z120" s="1030"/>
      <c r="AA120" s="1030"/>
      <c r="AB120" s="1030"/>
      <c r="AC120" s="1030"/>
      <c r="AD120" s="1030"/>
      <c r="AE120" s="1030"/>
      <c r="AF120" s="1030"/>
      <c r="AG120" s="1039"/>
      <c r="AH120" s="1030"/>
      <c r="AI120" s="1030"/>
      <c r="AJ120" s="1030"/>
      <c r="AK120" s="1030"/>
      <c r="AL120" s="1030"/>
      <c r="AM120" s="1030"/>
      <c r="AN120" s="1030"/>
      <c r="AO120" s="1030"/>
      <c r="AP120" s="1039"/>
      <c r="AQ120" s="1030"/>
      <c r="AR120" s="1030"/>
      <c r="AS120" s="1030"/>
      <c r="AT120" s="1030"/>
      <c r="AU120" s="1030"/>
      <c r="AV120" s="1042"/>
      <c r="AW120" s="1043"/>
      <c r="AX120" s="1043"/>
      <c r="AY120" s="1038"/>
      <c r="AZ120" s="1038"/>
      <c r="BA120" s="1038"/>
      <c r="BB120" s="1038"/>
      <c r="BC120" s="1030"/>
      <c r="BD120" s="1030"/>
      <c r="BE120" s="1030"/>
      <c r="BF120" s="1030"/>
      <c r="BG120" s="1039"/>
      <c r="BH120" s="1040"/>
      <c r="BI120" s="1040"/>
      <c r="BJ120" s="1030"/>
      <c r="BK120" s="1030"/>
      <c r="BL120" s="1030"/>
      <c r="BM120" s="1030"/>
      <c r="BN120" s="1030"/>
      <c r="BO120" s="1030"/>
      <c r="BP120" s="1030"/>
      <c r="BQ120" s="1030"/>
      <c r="BR120" s="1030"/>
      <c r="BS120" s="1030"/>
      <c r="BT120" s="1030"/>
      <c r="BU120" s="1030"/>
      <c r="BV120" s="1030"/>
      <c r="BW120" s="1030"/>
      <c r="BX120" s="1030"/>
      <c r="BY120" s="1030"/>
      <c r="BZ120" s="1030"/>
      <c r="CA120" s="1030"/>
      <c r="CB120" s="1029"/>
      <c r="CC120" s="1028"/>
      <c r="CD120" s="1028"/>
      <c r="CE120" s="1028"/>
      <c r="CF120" s="1028"/>
      <c r="CG120" s="1028"/>
      <c r="CH120" s="1028"/>
      <c r="CI120" s="1028"/>
      <c r="CJ120" s="1028"/>
      <c r="CK120" s="1028"/>
      <c r="CL120" s="1028"/>
      <c r="CM120" s="1028"/>
      <c r="CN120" s="1028"/>
      <c r="CO120" s="1028"/>
      <c r="CP120" s="1028"/>
      <c r="CQ120" s="1028"/>
      <c r="CR120" s="1028"/>
      <c r="CS120" s="1028"/>
      <c r="CT120" s="1028"/>
      <c r="CU120" s="1028"/>
      <c r="CV120" s="1028"/>
      <c r="CW120" s="1028"/>
      <c r="CX120" s="1028"/>
      <c r="CY120" s="1028"/>
      <c r="CZ120" s="1028"/>
      <c r="DA120" s="1028"/>
      <c r="DB120" s="1028"/>
      <c r="DC120" s="1028"/>
      <c r="DD120" s="1028"/>
      <c r="DE120" s="1028"/>
      <c r="DF120" s="1028"/>
      <c r="DG120" s="1028"/>
      <c r="DH120" s="1028"/>
      <c r="DI120" s="1028"/>
      <c r="DJ120" s="1028"/>
      <c r="DK120" s="1028"/>
      <c r="DL120" s="1028"/>
      <c r="DM120" s="1028"/>
      <c r="DN120" s="1028"/>
      <c r="DO120" s="1028"/>
      <c r="DP120" s="1028"/>
      <c r="DQ120" s="1028"/>
      <c r="DR120" s="1028"/>
      <c r="DS120" s="1028"/>
      <c r="DT120" s="1028"/>
      <c r="DU120" s="1028"/>
      <c r="DV120" s="1028"/>
      <c r="DW120" s="1028"/>
      <c r="DX120" s="1028"/>
      <c r="DY120" s="1028"/>
      <c r="DZ120" s="1028"/>
      <c r="EA120" s="1028"/>
      <c r="EB120" s="1028"/>
      <c r="EC120" s="1028"/>
      <c r="ED120" s="1028"/>
      <c r="EE120" s="1028"/>
      <c r="EF120" s="1028"/>
      <c r="EG120" s="1028"/>
      <c r="EH120" s="1028"/>
      <c r="EI120" s="1028"/>
      <c r="EJ120" s="1028"/>
      <c r="EK120" s="1028"/>
      <c r="EL120" s="1028"/>
      <c r="EM120" s="1028"/>
      <c r="EN120" s="1028"/>
      <c r="EO120" s="1028"/>
      <c r="EP120" s="1028"/>
      <c r="EQ120" s="1028"/>
      <c r="ER120" s="1028"/>
      <c r="ES120" s="1028"/>
      <c r="ET120" s="1028"/>
      <c r="EU120" s="1028"/>
      <c r="EV120" s="1028"/>
      <c r="EW120" s="1028"/>
      <c r="EX120" s="1028"/>
      <c r="EY120" s="1028"/>
      <c r="EZ120" s="1028"/>
      <c r="FA120" s="1028"/>
      <c r="FB120" s="1028"/>
      <c r="FC120" s="1028"/>
      <c r="FD120" s="1028"/>
      <c r="FE120" s="1028"/>
      <c r="FF120" s="1028"/>
      <c r="FG120" s="1028"/>
      <c r="FH120" s="1028"/>
      <c r="FI120" s="1028"/>
      <c r="FJ120" s="1028"/>
      <c r="FK120" s="1028"/>
      <c r="FL120" s="1028"/>
      <c r="FM120" s="1028"/>
      <c r="FN120" s="1028"/>
      <c r="FO120" s="1028"/>
      <c r="FP120" s="1028"/>
      <c r="FQ120" s="1028"/>
      <c r="FR120" s="1028"/>
      <c r="FS120" s="1028"/>
      <c r="FT120" s="1028"/>
      <c r="FU120" s="1028"/>
      <c r="FV120" s="1028"/>
      <c r="FW120" s="1028"/>
      <c r="FX120" s="1028"/>
      <c r="FY120" s="1028"/>
      <c r="FZ120" s="1028"/>
      <c r="GA120" s="1028"/>
      <c r="GB120" s="1028"/>
      <c r="GC120" s="1028"/>
      <c r="GD120" s="1028"/>
      <c r="GE120" s="1028"/>
      <c r="GF120" s="1028"/>
      <c r="GG120" s="1028"/>
      <c r="GH120" s="1028"/>
      <c r="GI120" s="1028"/>
      <c r="GJ120" s="1028"/>
      <c r="GK120" s="1028"/>
      <c r="GL120" s="1028"/>
      <c r="GM120" s="1028"/>
      <c r="GN120" s="1028"/>
      <c r="GO120" s="1028"/>
      <c r="GP120" s="1028"/>
      <c r="GQ120" s="1028"/>
      <c r="GR120" s="1028"/>
      <c r="GS120" s="1028"/>
      <c r="GT120" s="1028"/>
      <c r="GU120" s="1028"/>
      <c r="GV120" s="1028"/>
      <c r="GW120" s="1028"/>
      <c r="GX120" s="1028"/>
      <c r="GY120" s="1028"/>
      <c r="GZ120" s="1028"/>
      <c r="HA120" s="1028"/>
      <c r="HB120" s="1028"/>
      <c r="HC120" s="1028"/>
      <c r="HD120" s="1028"/>
      <c r="HE120" s="1028"/>
      <c r="HF120" s="1028"/>
      <c r="HG120" s="1028"/>
      <c r="HH120" s="1028"/>
      <c r="HI120" s="1028"/>
      <c r="HJ120" s="1028"/>
      <c r="HK120" s="1028"/>
      <c r="HL120" s="1028"/>
      <c r="HM120" s="1028"/>
      <c r="HN120" s="1028"/>
      <c r="HO120" s="1028"/>
      <c r="HP120" s="1028"/>
      <c r="HQ120" s="1028"/>
      <c r="HR120" s="1028"/>
      <c r="HS120" s="1028"/>
      <c r="HT120" s="1028"/>
      <c r="HU120" s="1028"/>
      <c r="HV120" s="1028"/>
      <c r="HW120" s="1028"/>
      <c r="HX120" s="1028"/>
      <c r="HY120" s="1028"/>
      <c r="HZ120" s="1028"/>
      <c r="IA120" s="1028"/>
      <c r="IB120" s="1028"/>
      <c r="IC120" s="1028"/>
      <c r="ID120" s="1028"/>
      <c r="IE120" s="1028"/>
      <c r="IF120" s="1028"/>
      <c r="IG120" s="1028"/>
      <c r="IH120" s="1028"/>
      <c r="II120" s="1028"/>
      <c r="IJ120" s="1028"/>
      <c r="IK120" s="1028"/>
      <c r="IL120" s="1028"/>
      <c r="IM120" s="1028"/>
      <c r="IN120" s="1028"/>
      <c r="IO120" s="1028"/>
      <c r="IP120" s="1028"/>
      <c r="IQ120" s="1028"/>
      <c r="IR120" s="1028"/>
      <c r="IS120" s="1028"/>
      <c r="IT120" s="1028"/>
      <c r="IU120" s="1028"/>
      <c r="IV120" s="1028"/>
      <c r="IW120" s="1028"/>
      <c r="IX120" s="1028"/>
      <c r="IY120" s="1028"/>
      <c r="IZ120" s="1028"/>
      <c r="JA120" s="1028"/>
      <c r="JB120" s="1028"/>
      <c r="JC120" s="1028"/>
      <c r="JD120" s="1028"/>
      <c r="JE120" s="1028"/>
      <c r="JF120" s="1028"/>
      <c r="JG120" s="1028"/>
      <c r="JH120" s="1028"/>
      <c r="JI120" s="1028"/>
      <c r="JJ120" s="1028"/>
      <c r="JK120" s="1028"/>
      <c r="JL120" s="1028"/>
      <c r="JM120" s="1028"/>
      <c r="JN120" s="1028"/>
      <c r="JO120" s="1028"/>
      <c r="JP120" s="1028"/>
      <c r="JQ120" s="1028"/>
      <c r="JR120" s="1028"/>
      <c r="JS120" s="1028"/>
      <c r="JT120" s="1028"/>
      <c r="JU120" s="1028"/>
      <c r="JV120" s="1028"/>
      <c r="JW120" s="1028"/>
      <c r="JX120" s="1028"/>
      <c r="JY120" s="1028"/>
      <c r="JZ120" s="1028"/>
      <c r="KA120" s="1028"/>
      <c r="KB120" s="1028"/>
      <c r="KC120" s="1028"/>
      <c r="KD120" s="1028"/>
      <c r="KE120" s="1028"/>
      <c r="KF120" s="1028"/>
      <c r="KG120" s="1028"/>
      <c r="KH120" s="1028"/>
      <c r="KI120" s="1028"/>
      <c r="KJ120" s="1028"/>
      <c r="KK120" s="1028"/>
      <c r="KL120" s="1028"/>
      <c r="KM120" s="1028"/>
      <c r="KN120" s="1028"/>
      <c r="KO120" s="1028"/>
      <c r="KP120" s="1028"/>
      <c r="KQ120" s="1028"/>
      <c r="KR120" s="1028"/>
      <c r="KS120" s="1028"/>
      <c r="KT120" s="1028"/>
      <c r="KU120" s="1028"/>
      <c r="KV120" s="1028"/>
      <c r="KW120" s="1028"/>
      <c r="KX120" s="1028"/>
      <c r="KY120" s="1028"/>
      <c r="KZ120" s="1028"/>
      <c r="LA120" s="1028"/>
      <c r="LB120" s="1028"/>
      <c r="LC120" s="1028"/>
      <c r="LD120" s="1028"/>
      <c r="LE120" s="1028"/>
      <c r="LF120" s="1028"/>
      <c r="LG120" s="1028"/>
      <c r="LH120" s="1028"/>
      <c r="LI120" s="1028"/>
      <c r="LJ120" s="1028"/>
      <c r="LK120" s="1028"/>
      <c r="LL120" s="1028"/>
      <c r="LM120" s="1028"/>
      <c r="LN120" s="1028"/>
      <c r="LO120" s="1028"/>
      <c r="LP120" s="1028"/>
      <c r="LQ120" s="1028"/>
      <c r="LR120" s="1028"/>
      <c r="LS120" s="1028"/>
      <c r="LT120" s="1028"/>
      <c r="LU120" s="1028"/>
      <c r="LV120" s="1028"/>
      <c r="LW120" s="1028"/>
      <c r="LX120" s="1028"/>
      <c r="LY120" s="1028"/>
      <c r="LZ120" s="1028"/>
      <c r="MA120" s="1028"/>
      <c r="MB120" s="1028"/>
      <c r="MC120" s="1028"/>
      <c r="MD120" s="1028"/>
      <c r="ME120" s="1028"/>
      <c r="MF120" s="1028"/>
      <c r="MG120" s="1028"/>
      <c r="MH120" s="1028"/>
      <c r="MI120" s="1028"/>
      <c r="MJ120" s="1028"/>
      <c r="MK120" s="1028"/>
      <c r="ML120" s="1028"/>
      <c r="MM120" s="1028"/>
      <c r="MN120" s="1028"/>
      <c r="MO120" s="1028"/>
      <c r="MP120" s="1028"/>
      <c r="MQ120" s="1028"/>
      <c r="MR120" s="1028"/>
      <c r="MS120" s="1028"/>
      <c r="MT120" s="1028"/>
      <c r="MU120" s="1028"/>
      <c r="MV120" s="1028"/>
      <c r="MW120" s="1028"/>
      <c r="MX120" s="1028"/>
      <c r="MY120" s="1028"/>
      <c r="MZ120" s="1028"/>
      <c r="NA120" s="1028"/>
      <c r="NB120" s="1028"/>
      <c r="NC120" s="1028"/>
      <c r="ND120" s="1028"/>
      <c r="NE120" s="1028"/>
      <c r="NF120" s="1028"/>
      <c r="NG120" s="1028"/>
      <c r="NH120" s="1028"/>
      <c r="NI120" s="1028"/>
      <c r="NJ120" s="1028"/>
      <c r="NK120" s="1028"/>
      <c r="NL120" s="1028"/>
      <c r="NM120" s="1028"/>
      <c r="NN120" s="1028"/>
      <c r="NO120" s="1028"/>
      <c r="NP120" s="1028"/>
      <c r="NQ120" s="1028"/>
      <c r="NR120" s="1028"/>
      <c r="NS120" s="1028"/>
      <c r="NT120" s="1028"/>
      <c r="NU120" s="1028"/>
      <c r="NV120" s="1028"/>
      <c r="NW120" s="1028"/>
      <c r="NX120" s="1028"/>
      <c r="NY120" s="1028"/>
      <c r="NZ120" s="1028"/>
      <c r="OA120" s="1028"/>
      <c r="OB120" s="1028"/>
      <c r="OC120" s="1028"/>
      <c r="OD120" s="1028"/>
      <c r="OE120" s="1028"/>
      <c r="OF120" s="1028"/>
      <c r="OG120" s="1028"/>
      <c r="OH120" s="1028"/>
    </row>
    <row r="121" spans="1:398" s="13" customFormat="1" ht="69.95" customHeight="1">
      <c r="A121" s="1045"/>
      <c r="B121" s="1036"/>
      <c r="C121" s="1036"/>
      <c r="D121" s="1036"/>
      <c r="E121" s="1046"/>
      <c r="F121" s="1046"/>
      <c r="G121" s="1046"/>
      <c r="H121" s="1036"/>
      <c r="I121" s="1036"/>
      <c r="J121" s="1045"/>
      <c r="K121" s="1036"/>
      <c r="L121" s="1036"/>
      <c r="M121" s="1045"/>
      <c r="N121" s="1036"/>
      <c r="O121" s="1036"/>
      <c r="P121" s="1045"/>
      <c r="Q121" s="1036"/>
      <c r="R121" s="1036"/>
      <c r="S121" s="1045"/>
      <c r="T121" s="1036"/>
      <c r="U121" s="1036"/>
      <c r="V121" s="1045"/>
      <c r="W121" s="1045"/>
      <c r="X121" s="1047"/>
      <c r="Y121" s="1048"/>
      <c r="Z121" s="1048"/>
      <c r="AA121" s="1048"/>
      <c r="AB121" s="1048"/>
      <c r="AC121" s="1048"/>
      <c r="AD121" s="1048"/>
      <c r="AE121" s="1048"/>
      <c r="AF121" s="1048"/>
      <c r="AG121" s="1048"/>
      <c r="AH121" s="1048"/>
      <c r="AI121" s="1048"/>
      <c r="AJ121" s="1048"/>
      <c r="AK121" s="1048"/>
      <c r="AL121" s="1048"/>
      <c r="AM121" s="1048"/>
      <c r="AN121" s="1048"/>
      <c r="AO121" s="1048"/>
      <c r="AP121" s="1048"/>
      <c r="AQ121" s="1049"/>
      <c r="AR121" s="1049"/>
      <c r="AS121" s="1049"/>
      <c r="AT121" s="1049"/>
      <c r="AU121" s="1049"/>
      <c r="AV121" s="1050"/>
      <c r="AW121" s="1050"/>
      <c r="AX121" s="1050"/>
      <c r="AY121" s="1050"/>
      <c r="AZ121" s="1050"/>
      <c r="BA121" s="1051"/>
      <c r="BB121" s="1052"/>
      <c r="BC121" s="1052"/>
      <c r="BD121" s="1052"/>
      <c r="BE121" s="1052"/>
      <c r="BF121" s="1052"/>
      <c r="BG121" s="1045"/>
      <c r="BH121" s="1036"/>
      <c r="BI121" s="1036"/>
      <c r="BJ121" s="1036"/>
      <c r="BK121" s="1036"/>
      <c r="BL121" s="1036"/>
      <c r="BM121" s="1036"/>
      <c r="BN121" s="1036"/>
      <c r="BO121" s="1036"/>
      <c r="BP121" s="1036"/>
      <c r="BQ121" s="1036"/>
      <c r="BR121" s="1036"/>
      <c r="BS121" s="1036"/>
      <c r="BT121" s="1036"/>
      <c r="BU121" s="1036"/>
      <c r="BV121" s="1036"/>
      <c r="BW121" s="1036"/>
      <c r="BX121" s="1036"/>
      <c r="BY121" s="1036"/>
      <c r="BZ121" s="1049"/>
      <c r="CA121" s="1049"/>
      <c r="CB121" s="1049"/>
      <c r="CC121" s="1032"/>
      <c r="CD121" s="1032"/>
      <c r="CE121" s="1032"/>
      <c r="CF121" s="1032"/>
      <c r="CG121" s="1032"/>
      <c r="CH121" s="1032"/>
      <c r="CI121" s="1032"/>
      <c r="CJ121" s="1032"/>
      <c r="CK121" s="1032"/>
      <c r="CL121" s="1032"/>
      <c r="CM121" s="1032"/>
      <c r="CN121" s="1032"/>
      <c r="CO121" s="1032"/>
      <c r="CP121" s="1032"/>
      <c r="CQ121" s="1032"/>
      <c r="CR121" s="1032"/>
      <c r="CS121" s="1032"/>
      <c r="CT121" s="1032"/>
      <c r="CU121" s="1032"/>
      <c r="CV121" s="1032"/>
      <c r="CW121" s="1032"/>
      <c r="CX121" s="1032"/>
      <c r="CY121" s="1032"/>
      <c r="CZ121" s="1032"/>
      <c r="DA121" s="1032"/>
      <c r="DB121" s="1032"/>
      <c r="DC121" s="1032"/>
      <c r="DD121" s="1032"/>
      <c r="DE121" s="1032"/>
      <c r="DF121" s="1032"/>
      <c r="DG121" s="1032"/>
      <c r="DH121" s="1032"/>
      <c r="DI121" s="1032"/>
      <c r="DJ121" s="1032"/>
      <c r="DK121" s="1032"/>
      <c r="DL121" s="1032"/>
      <c r="DM121" s="1032"/>
      <c r="DN121" s="1032"/>
      <c r="DO121" s="1032"/>
      <c r="DP121" s="1032"/>
      <c r="DQ121" s="1032"/>
      <c r="DR121" s="1032"/>
      <c r="DS121" s="1032"/>
      <c r="DT121" s="1032"/>
      <c r="DU121" s="1032"/>
      <c r="DV121" s="1032"/>
      <c r="DW121" s="1032"/>
      <c r="DX121" s="1032"/>
      <c r="DY121" s="1032"/>
      <c r="DZ121" s="1032"/>
      <c r="EA121" s="1032"/>
      <c r="EB121" s="1032"/>
      <c r="EC121" s="1032"/>
      <c r="ED121" s="1032"/>
      <c r="EE121" s="1032"/>
      <c r="EF121" s="1032"/>
      <c r="EG121" s="1032"/>
      <c r="EH121" s="1032"/>
      <c r="EI121" s="1032"/>
      <c r="EJ121" s="1032"/>
      <c r="EK121" s="1032"/>
      <c r="EL121" s="1032"/>
      <c r="EM121" s="1032"/>
      <c r="EN121" s="1032"/>
      <c r="EO121" s="1032"/>
      <c r="EP121" s="1032"/>
      <c r="EQ121" s="1032"/>
      <c r="ER121" s="1032"/>
      <c r="ES121" s="1032"/>
      <c r="ET121" s="1032"/>
      <c r="EU121" s="1032"/>
      <c r="EV121" s="1032"/>
      <c r="EW121" s="1032"/>
      <c r="EX121" s="1032"/>
      <c r="EY121" s="1032"/>
      <c r="EZ121" s="1032"/>
      <c r="FA121" s="1032"/>
      <c r="FB121" s="1032"/>
      <c r="FC121" s="1032"/>
      <c r="FD121" s="1032"/>
      <c r="FE121" s="1032"/>
      <c r="FF121" s="1032"/>
      <c r="FG121" s="1032"/>
      <c r="FH121" s="1032"/>
      <c r="FI121" s="1032"/>
      <c r="FJ121" s="1032"/>
      <c r="FK121" s="1032"/>
      <c r="FL121" s="1032"/>
      <c r="FM121" s="1032"/>
      <c r="FN121" s="1032"/>
      <c r="FO121" s="1032"/>
      <c r="FP121" s="1032"/>
      <c r="FQ121" s="1032"/>
      <c r="FR121" s="1032"/>
      <c r="FS121" s="1032"/>
      <c r="FT121" s="1032"/>
      <c r="FU121" s="1032"/>
      <c r="FV121" s="1032"/>
      <c r="FW121" s="1032"/>
      <c r="FX121" s="1032"/>
      <c r="FY121" s="1032"/>
      <c r="FZ121" s="1032"/>
      <c r="GA121" s="1032"/>
      <c r="GB121" s="1032"/>
      <c r="GC121" s="1032"/>
      <c r="GD121" s="1032"/>
      <c r="GE121" s="1032"/>
      <c r="GF121" s="1032"/>
      <c r="GG121" s="1032"/>
      <c r="GH121" s="1032"/>
      <c r="GI121" s="1032"/>
      <c r="GJ121" s="1032"/>
      <c r="GK121" s="1032"/>
      <c r="GL121" s="1032"/>
      <c r="GM121" s="1032"/>
      <c r="GN121" s="1032"/>
      <c r="GO121" s="1032"/>
      <c r="GP121" s="1032"/>
      <c r="GQ121" s="1032"/>
      <c r="GR121" s="1032"/>
      <c r="GS121" s="1032"/>
      <c r="GT121" s="1032"/>
      <c r="GU121" s="1032"/>
      <c r="GV121" s="1032"/>
      <c r="GW121" s="1032"/>
      <c r="GX121" s="1032"/>
      <c r="GY121" s="1032"/>
      <c r="GZ121" s="1032"/>
      <c r="HA121" s="1032"/>
      <c r="HB121" s="1032"/>
      <c r="HC121" s="1032"/>
      <c r="HD121" s="1032"/>
      <c r="HE121" s="1032"/>
      <c r="HF121" s="1032"/>
      <c r="HG121" s="1032"/>
      <c r="HH121" s="1032"/>
      <c r="HI121" s="1032"/>
      <c r="HJ121" s="1032"/>
      <c r="HK121" s="1032"/>
      <c r="HL121" s="1032"/>
      <c r="HM121" s="1032"/>
      <c r="HN121" s="1032"/>
      <c r="HO121" s="1032"/>
      <c r="HP121" s="1032"/>
      <c r="HQ121" s="1032"/>
      <c r="HR121" s="1032"/>
      <c r="HS121" s="1032"/>
      <c r="HT121" s="1032"/>
      <c r="HU121" s="1032"/>
      <c r="HV121" s="1032"/>
      <c r="HW121" s="1032"/>
      <c r="HX121" s="1032"/>
      <c r="HY121" s="1032"/>
      <c r="HZ121" s="1032"/>
      <c r="IA121" s="1032"/>
      <c r="IB121" s="1032"/>
      <c r="IC121" s="1032"/>
      <c r="ID121" s="1032"/>
      <c r="IE121" s="1032"/>
      <c r="IF121" s="1032"/>
      <c r="IG121" s="1032"/>
      <c r="IH121" s="1032"/>
      <c r="II121" s="1032"/>
      <c r="IJ121" s="1032"/>
      <c r="IK121" s="1032"/>
      <c r="IL121" s="1032"/>
      <c r="IM121" s="1032"/>
      <c r="IN121" s="1032"/>
      <c r="IO121" s="1032"/>
      <c r="IP121" s="1032"/>
      <c r="IQ121" s="1032"/>
      <c r="IR121" s="1032"/>
      <c r="IS121" s="1032"/>
      <c r="IT121" s="1032"/>
      <c r="IU121" s="1032"/>
      <c r="IV121" s="1032"/>
      <c r="IW121" s="1032"/>
      <c r="IX121" s="1032"/>
      <c r="IY121" s="1032"/>
      <c r="IZ121" s="1032"/>
      <c r="JA121" s="1032"/>
      <c r="JB121" s="1032"/>
      <c r="JC121" s="1032"/>
      <c r="JD121" s="1032"/>
      <c r="JE121" s="1032"/>
      <c r="JF121" s="1032"/>
      <c r="JG121" s="1032"/>
      <c r="JH121" s="1032"/>
      <c r="JI121" s="1032"/>
      <c r="JJ121" s="1032"/>
      <c r="JK121" s="1032"/>
      <c r="JL121" s="1032"/>
      <c r="JM121" s="1032"/>
      <c r="JN121" s="1032"/>
      <c r="JO121" s="1032"/>
      <c r="JP121" s="1032"/>
      <c r="JQ121" s="1032"/>
      <c r="JR121" s="1032"/>
      <c r="JS121" s="1032"/>
      <c r="JT121" s="1032"/>
      <c r="JU121" s="1032"/>
      <c r="JV121" s="1032"/>
      <c r="JW121" s="1032"/>
      <c r="JX121" s="1032"/>
      <c r="JY121" s="1032"/>
      <c r="JZ121" s="1032"/>
      <c r="KA121" s="1032"/>
      <c r="KB121" s="1032"/>
      <c r="KC121" s="1032"/>
      <c r="KD121" s="1032"/>
      <c r="KE121" s="1032"/>
      <c r="KF121" s="1032"/>
      <c r="KG121" s="1032"/>
      <c r="KH121" s="1032"/>
      <c r="KI121" s="1032"/>
      <c r="KJ121" s="1032"/>
      <c r="KK121" s="1032"/>
      <c r="KL121" s="1032"/>
      <c r="KM121" s="1032"/>
      <c r="KN121" s="1032"/>
      <c r="KO121" s="1032"/>
      <c r="KP121" s="1032"/>
      <c r="KQ121" s="1032"/>
      <c r="KR121" s="1032"/>
      <c r="KS121" s="1032"/>
      <c r="KT121" s="1032"/>
      <c r="KU121" s="1032"/>
      <c r="KV121" s="1032"/>
      <c r="KW121" s="1032"/>
      <c r="KX121" s="1032"/>
      <c r="KY121" s="1032"/>
      <c r="KZ121" s="1032"/>
      <c r="LA121" s="1032"/>
      <c r="LB121" s="1032"/>
      <c r="LC121" s="1032"/>
      <c r="LD121" s="1032"/>
      <c r="LE121" s="1032"/>
      <c r="LF121" s="1032"/>
      <c r="LG121" s="1032"/>
      <c r="LH121" s="1032"/>
      <c r="LI121" s="1032"/>
      <c r="LJ121" s="1032"/>
      <c r="LK121" s="1032"/>
      <c r="LL121" s="1032"/>
      <c r="LM121" s="1032"/>
      <c r="LN121" s="1032"/>
      <c r="LO121" s="1032"/>
      <c r="LP121" s="1032"/>
      <c r="LQ121" s="1032"/>
      <c r="LR121" s="1032"/>
      <c r="LS121" s="1032"/>
      <c r="LT121" s="1032"/>
      <c r="LU121" s="1032"/>
      <c r="LV121" s="1032"/>
      <c r="LW121" s="1032"/>
      <c r="LX121" s="1032"/>
      <c r="LY121" s="1032"/>
      <c r="LZ121" s="1032"/>
      <c r="MA121" s="1032"/>
      <c r="MB121" s="1032"/>
      <c r="MC121" s="1032"/>
      <c r="MD121" s="1032"/>
      <c r="ME121" s="1032"/>
      <c r="MF121" s="1032"/>
      <c r="MG121" s="1032"/>
      <c r="MH121" s="1032"/>
      <c r="MI121" s="1032"/>
      <c r="MJ121" s="1032"/>
      <c r="MK121" s="1032"/>
      <c r="ML121" s="1032"/>
      <c r="MM121" s="1032"/>
      <c r="MN121" s="1032"/>
      <c r="MO121" s="1032"/>
      <c r="MP121" s="1032"/>
      <c r="MQ121" s="1032"/>
      <c r="MR121" s="1032"/>
      <c r="MS121" s="1032"/>
      <c r="MT121" s="1032"/>
      <c r="MU121" s="1032"/>
      <c r="MV121" s="1032"/>
      <c r="MW121" s="1032"/>
      <c r="MX121" s="1032"/>
      <c r="MY121" s="1032"/>
      <c r="MZ121" s="1032"/>
      <c r="NA121" s="1032"/>
      <c r="NB121" s="1032"/>
      <c r="NC121" s="1032"/>
      <c r="ND121" s="1032"/>
      <c r="NE121" s="1032"/>
      <c r="NF121" s="1032"/>
      <c r="NG121" s="1032"/>
      <c r="NH121" s="1032"/>
      <c r="NI121" s="1032"/>
      <c r="NJ121" s="1032"/>
      <c r="NK121" s="1032"/>
      <c r="NL121" s="1032"/>
      <c r="NM121" s="1032"/>
      <c r="NN121" s="1032"/>
      <c r="NO121" s="1032"/>
      <c r="NP121" s="1032"/>
      <c r="NQ121" s="1032"/>
      <c r="NR121" s="1032"/>
      <c r="NS121" s="1032"/>
      <c r="NT121" s="1032"/>
      <c r="NU121" s="1032"/>
      <c r="NV121" s="1032"/>
      <c r="NW121" s="1032"/>
      <c r="NX121" s="1032"/>
      <c r="NY121" s="1032"/>
      <c r="NZ121" s="1032"/>
      <c r="OA121" s="1032"/>
      <c r="OB121" s="1032"/>
      <c r="OC121" s="1032"/>
      <c r="OD121" s="1032"/>
      <c r="OE121" s="1032"/>
      <c r="OF121" s="1032"/>
      <c r="OG121" s="1032"/>
      <c r="OH121" s="1032"/>
    </row>
    <row r="122" spans="1:398" s="25" customFormat="1" ht="69.95" customHeight="1">
      <c r="A122" s="1045"/>
      <c r="B122" s="1036"/>
      <c r="C122" s="1036"/>
      <c r="D122" s="1036"/>
      <c r="E122" s="1046"/>
      <c r="F122" s="1046"/>
      <c r="G122" s="1046"/>
      <c r="H122" s="1036"/>
      <c r="I122" s="1036"/>
      <c r="J122" s="1045"/>
      <c r="K122" s="1036"/>
      <c r="L122" s="1036"/>
      <c r="M122" s="1045"/>
      <c r="N122" s="1036"/>
      <c r="O122" s="1036"/>
      <c r="P122" s="1045"/>
      <c r="Q122" s="1036"/>
      <c r="R122" s="1036"/>
      <c r="S122" s="1045"/>
      <c r="T122" s="1036"/>
      <c r="U122" s="1036"/>
      <c r="V122" s="1045"/>
      <c r="W122" s="1045"/>
      <c r="X122" s="1047"/>
      <c r="Y122" s="1048"/>
      <c r="Z122" s="1048"/>
      <c r="AA122" s="1048"/>
      <c r="AB122" s="1048"/>
      <c r="AC122" s="1048"/>
      <c r="AD122" s="1048"/>
      <c r="AE122" s="1048"/>
      <c r="AF122" s="1048"/>
      <c r="AG122" s="1048"/>
      <c r="AH122" s="1048"/>
      <c r="AI122" s="1048"/>
      <c r="AJ122" s="1048"/>
      <c r="AK122" s="1048"/>
      <c r="AL122" s="1048"/>
      <c r="AM122" s="1048"/>
      <c r="AN122" s="1048"/>
      <c r="AO122" s="1048"/>
      <c r="AP122" s="1048"/>
      <c r="AQ122" s="1049"/>
      <c r="AR122" s="1049"/>
      <c r="AS122" s="1049"/>
      <c r="AT122" s="1049"/>
      <c r="AU122" s="1049"/>
      <c r="AV122" s="1050"/>
      <c r="AW122" s="1050"/>
      <c r="AX122" s="1050"/>
      <c r="AY122" s="1050"/>
      <c r="AZ122" s="1050"/>
      <c r="BA122" s="1051"/>
      <c r="BB122" s="1052"/>
      <c r="BC122" s="1052"/>
      <c r="BD122" s="1052"/>
      <c r="BE122" s="1052"/>
      <c r="BF122" s="1052"/>
      <c r="BG122" s="1045"/>
      <c r="BH122" s="1036"/>
      <c r="BI122" s="1036"/>
      <c r="BJ122" s="1036"/>
      <c r="BK122" s="1036"/>
      <c r="BL122" s="1036"/>
      <c r="BM122" s="1036"/>
      <c r="BN122" s="1036"/>
      <c r="BO122" s="1036"/>
      <c r="BP122" s="1036"/>
      <c r="BQ122" s="1036"/>
      <c r="BR122" s="1036"/>
      <c r="BS122" s="1036"/>
      <c r="BT122" s="1036"/>
      <c r="BU122" s="1036"/>
      <c r="BV122" s="1036"/>
      <c r="BW122" s="1036"/>
      <c r="BX122" s="1036"/>
      <c r="BY122" s="1036"/>
      <c r="BZ122" s="1036"/>
      <c r="CA122" s="1036"/>
      <c r="CB122" s="1036"/>
      <c r="CC122" s="1032"/>
      <c r="CD122" s="1032"/>
      <c r="CE122" s="1032"/>
      <c r="CF122" s="1032"/>
      <c r="CG122" s="1032"/>
      <c r="CH122" s="1032"/>
      <c r="CI122" s="1032"/>
      <c r="CJ122" s="1032"/>
      <c r="CK122" s="1032"/>
      <c r="CL122" s="1032"/>
      <c r="CM122" s="1032"/>
      <c r="CN122" s="1032"/>
      <c r="CO122" s="1032"/>
      <c r="CP122" s="1032"/>
      <c r="CQ122" s="1032"/>
      <c r="CR122" s="1032"/>
      <c r="CS122" s="1032"/>
      <c r="CT122" s="1032"/>
      <c r="CU122" s="1032"/>
      <c r="CV122" s="1032"/>
      <c r="CW122" s="1032"/>
      <c r="CX122" s="1032"/>
      <c r="CY122" s="1032"/>
      <c r="CZ122" s="1032"/>
      <c r="DA122" s="1032"/>
      <c r="DB122" s="1032"/>
      <c r="DC122" s="1032"/>
      <c r="DD122" s="1032"/>
      <c r="DE122" s="1032"/>
      <c r="DF122" s="1032"/>
      <c r="DG122" s="1032"/>
      <c r="DH122" s="1032"/>
      <c r="DI122" s="1032"/>
      <c r="DJ122" s="1032"/>
      <c r="DK122" s="1032"/>
      <c r="DL122" s="1032"/>
      <c r="DM122" s="1032"/>
      <c r="DN122" s="1032"/>
      <c r="DO122" s="1032"/>
      <c r="DP122" s="1032"/>
      <c r="DQ122" s="1032"/>
      <c r="DR122" s="1032"/>
      <c r="DS122" s="1032"/>
      <c r="DT122" s="1032"/>
      <c r="DU122" s="1032"/>
      <c r="DV122" s="1032"/>
      <c r="DW122" s="1032"/>
      <c r="DX122" s="1032"/>
      <c r="DY122" s="1032"/>
      <c r="DZ122" s="1032"/>
      <c r="EA122" s="1032"/>
      <c r="EB122" s="1032"/>
      <c r="EC122" s="1032"/>
      <c r="ED122" s="1032"/>
      <c r="EE122" s="1032"/>
      <c r="EF122" s="1032"/>
      <c r="EG122" s="1032"/>
      <c r="EH122" s="1032"/>
      <c r="EI122" s="1032"/>
      <c r="EJ122" s="1032"/>
      <c r="EK122" s="1032"/>
      <c r="EL122" s="1032"/>
      <c r="EM122" s="1032"/>
      <c r="EN122" s="1032"/>
      <c r="EO122" s="1032"/>
      <c r="EP122" s="1032"/>
      <c r="EQ122" s="1032"/>
      <c r="ER122" s="1032"/>
      <c r="ES122" s="1032"/>
      <c r="ET122" s="1032"/>
      <c r="EU122" s="1032"/>
      <c r="EV122" s="1032"/>
      <c r="EW122" s="1032"/>
      <c r="EX122" s="1032"/>
      <c r="EY122" s="1032"/>
      <c r="EZ122" s="1032"/>
      <c r="FA122" s="1032"/>
      <c r="FB122" s="1032"/>
      <c r="FC122" s="1032"/>
      <c r="FD122" s="1032"/>
      <c r="FE122" s="1032"/>
      <c r="FF122" s="1032"/>
      <c r="FG122" s="1032"/>
      <c r="FH122" s="1032"/>
      <c r="FI122" s="1032"/>
      <c r="FJ122" s="1032"/>
      <c r="FK122" s="1032"/>
      <c r="FL122" s="1032"/>
      <c r="FM122" s="1032"/>
      <c r="FN122" s="1032"/>
      <c r="FO122" s="1032"/>
      <c r="FP122" s="1032"/>
      <c r="FQ122" s="1032"/>
      <c r="FR122" s="1032"/>
      <c r="FS122" s="1032"/>
      <c r="FT122" s="1032"/>
      <c r="FU122" s="1032"/>
      <c r="FV122" s="1032"/>
      <c r="FW122" s="1032"/>
      <c r="FX122" s="1032"/>
      <c r="FY122" s="1032"/>
      <c r="FZ122" s="1032"/>
      <c r="GA122" s="1032"/>
      <c r="GB122" s="1032"/>
      <c r="GC122" s="1032"/>
      <c r="GD122" s="1032"/>
      <c r="GE122" s="1032"/>
      <c r="GF122" s="1032"/>
      <c r="GG122" s="1032"/>
      <c r="GH122" s="1032"/>
      <c r="GI122" s="1032"/>
      <c r="GJ122" s="1032"/>
      <c r="GK122" s="1032"/>
      <c r="GL122" s="1032"/>
      <c r="GM122" s="1032"/>
      <c r="GN122" s="1032"/>
      <c r="GO122" s="1032"/>
      <c r="GP122" s="1032"/>
      <c r="GQ122" s="1032"/>
      <c r="GR122" s="1032"/>
      <c r="GS122" s="1032"/>
      <c r="GT122" s="1032"/>
      <c r="GU122" s="1032"/>
      <c r="GV122" s="1032"/>
      <c r="GW122" s="1032"/>
      <c r="GX122" s="1032"/>
      <c r="GY122" s="1032"/>
      <c r="GZ122" s="1032"/>
      <c r="HA122" s="1032"/>
      <c r="HB122" s="1032"/>
      <c r="HC122" s="1032"/>
      <c r="HD122" s="1032"/>
      <c r="HE122" s="1032"/>
      <c r="HF122" s="1032"/>
      <c r="HG122" s="1032"/>
      <c r="HH122" s="1032"/>
      <c r="HI122" s="1032"/>
      <c r="HJ122" s="1032"/>
      <c r="HK122" s="1032"/>
      <c r="HL122" s="1032"/>
      <c r="HM122" s="1032"/>
      <c r="HN122" s="1032"/>
      <c r="HO122" s="1032"/>
      <c r="HP122" s="1032"/>
      <c r="HQ122" s="1032"/>
      <c r="HR122" s="1032"/>
      <c r="HS122" s="1032"/>
      <c r="HT122" s="1032"/>
      <c r="HU122" s="1032"/>
      <c r="HV122" s="1032"/>
      <c r="HW122" s="1032"/>
      <c r="HX122" s="1032"/>
      <c r="HY122" s="1032"/>
      <c r="HZ122" s="1032"/>
      <c r="IA122" s="1032"/>
      <c r="IB122" s="1032"/>
      <c r="IC122" s="1032"/>
      <c r="ID122" s="1032"/>
      <c r="IE122" s="1032"/>
      <c r="IF122" s="1032"/>
      <c r="IG122" s="1032"/>
      <c r="IH122" s="1032"/>
      <c r="II122" s="1032"/>
      <c r="IJ122" s="1032"/>
      <c r="IK122" s="1032"/>
      <c r="IL122" s="1032"/>
      <c r="IM122" s="1032"/>
      <c r="IN122" s="1032"/>
      <c r="IO122" s="1032"/>
      <c r="IP122" s="1032"/>
      <c r="IQ122" s="1032"/>
      <c r="IR122" s="1032"/>
      <c r="IS122" s="1032"/>
      <c r="IT122" s="1032"/>
      <c r="IU122" s="1032"/>
      <c r="IV122" s="1032"/>
      <c r="IW122" s="1032"/>
      <c r="IX122" s="1032"/>
      <c r="IY122" s="1032"/>
      <c r="IZ122" s="1032"/>
      <c r="JA122" s="1032"/>
      <c r="JB122" s="1032"/>
      <c r="JC122" s="1032"/>
      <c r="JD122" s="1032"/>
      <c r="JE122" s="1032"/>
      <c r="JF122" s="1032"/>
      <c r="JG122" s="1032"/>
      <c r="JH122" s="1032"/>
      <c r="JI122" s="1032"/>
      <c r="JJ122" s="1032"/>
      <c r="JK122" s="1032"/>
      <c r="JL122" s="1032"/>
      <c r="JM122" s="1032"/>
      <c r="JN122" s="1032"/>
      <c r="JO122" s="1032"/>
      <c r="JP122" s="1032"/>
      <c r="JQ122" s="1032"/>
      <c r="JR122" s="1032"/>
      <c r="JS122" s="1032"/>
      <c r="JT122" s="1032"/>
      <c r="JU122" s="1032"/>
      <c r="JV122" s="1032"/>
      <c r="JW122" s="1032"/>
      <c r="JX122" s="1032"/>
      <c r="JY122" s="1032"/>
      <c r="JZ122" s="1032"/>
      <c r="KA122" s="1032"/>
      <c r="KB122" s="1032"/>
      <c r="KC122" s="1032"/>
      <c r="KD122" s="1032"/>
      <c r="KE122" s="1032"/>
      <c r="KF122" s="1032"/>
      <c r="KG122" s="1032"/>
      <c r="KH122" s="1032"/>
      <c r="KI122" s="1032"/>
      <c r="KJ122" s="1032"/>
      <c r="KK122" s="1032"/>
      <c r="KL122" s="1032"/>
      <c r="KM122" s="1032"/>
      <c r="KN122" s="1032"/>
      <c r="KO122" s="1032"/>
      <c r="KP122" s="1032"/>
      <c r="KQ122" s="1032"/>
      <c r="KR122" s="1032"/>
      <c r="KS122" s="1032"/>
      <c r="KT122" s="1032"/>
      <c r="KU122" s="1032"/>
      <c r="KV122" s="1032"/>
      <c r="KW122" s="1032"/>
      <c r="KX122" s="1032"/>
      <c r="KY122" s="1032"/>
      <c r="KZ122" s="1032"/>
      <c r="LA122" s="1032"/>
      <c r="LB122" s="1032"/>
      <c r="LC122" s="1032"/>
      <c r="LD122" s="1032"/>
      <c r="LE122" s="1032"/>
      <c r="LF122" s="1032"/>
      <c r="LG122" s="1032"/>
      <c r="LH122" s="1032"/>
      <c r="LI122" s="1032"/>
      <c r="LJ122" s="1032"/>
      <c r="LK122" s="1032"/>
      <c r="LL122" s="1032"/>
      <c r="LM122" s="1032"/>
      <c r="LN122" s="1032"/>
      <c r="LO122" s="1032"/>
      <c r="LP122" s="1032"/>
      <c r="LQ122" s="1032"/>
      <c r="LR122" s="1032"/>
      <c r="LS122" s="1032"/>
      <c r="LT122" s="1032"/>
      <c r="LU122" s="1032"/>
      <c r="LV122" s="1032"/>
      <c r="LW122" s="1032"/>
      <c r="LX122" s="1032"/>
      <c r="LY122" s="1032"/>
      <c r="LZ122" s="1032"/>
      <c r="MA122" s="1032"/>
      <c r="MB122" s="1032"/>
      <c r="MC122" s="1032"/>
      <c r="MD122" s="1032"/>
      <c r="ME122" s="1032"/>
      <c r="MF122" s="1032"/>
      <c r="MG122" s="1032"/>
      <c r="MH122" s="1032"/>
      <c r="MI122" s="1032"/>
      <c r="MJ122" s="1032"/>
      <c r="MK122" s="1032"/>
      <c r="ML122" s="1032"/>
      <c r="MM122" s="1032"/>
      <c r="MN122" s="1032"/>
      <c r="MO122" s="1032"/>
      <c r="MP122" s="1032"/>
      <c r="MQ122" s="1032"/>
      <c r="MR122" s="1032"/>
      <c r="MS122" s="1032"/>
      <c r="MT122" s="1032"/>
      <c r="MU122" s="1032"/>
      <c r="MV122" s="1032"/>
      <c r="MW122" s="1032"/>
      <c r="MX122" s="1032"/>
      <c r="MY122" s="1032"/>
      <c r="MZ122" s="1032"/>
      <c r="NA122" s="1032"/>
      <c r="NB122" s="1032"/>
      <c r="NC122" s="1032"/>
      <c r="ND122" s="1032"/>
      <c r="NE122" s="1032"/>
      <c r="NF122" s="1032"/>
      <c r="NG122" s="1032"/>
      <c r="NH122" s="1032"/>
      <c r="NI122" s="1032"/>
      <c r="NJ122" s="1032"/>
      <c r="NK122" s="1032"/>
      <c r="NL122" s="1032"/>
      <c r="NM122" s="1032"/>
      <c r="NN122" s="1032"/>
      <c r="NO122" s="1032"/>
      <c r="NP122" s="1032"/>
      <c r="NQ122" s="1032"/>
      <c r="NR122" s="1032"/>
      <c r="NS122" s="1032"/>
      <c r="NT122" s="1032"/>
      <c r="NU122" s="1032"/>
      <c r="NV122" s="1032"/>
      <c r="NW122" s="1032"/>
      <c r="NX122" s="1032"/>
      <c r="NY122" s="1032"/>
      <c r="NZ122" s="1032"/>
      <c r="OA122" s="1032"/>
      <c r="OB122" s="1032"/>
      <c r="OC122" s="1032"/>
      <c r="OD122" s="1032"/>
      <c r="OE122" s="1032"/>
      <c r="OF122" s="1032"/>
      <c r="OG122" s="1032"/>
      <c r="OH122" s="1032"/>
    </row>
    <row r="123" spans="1:398" s="13" customFormat="1" ht="69.95" customHeight="1">
      <c r="A123" s="1045"/>
      <c r="B123" s="1036"/>
      <c r="C123" s="1036"/>
      <c r="D123" s="1036"/>
      <c r="E123" s="1046"/>
      <c r="F123" s="1046"/>
      <c r="G123" s="1046"/>
      <c r="H123" s="1036"/>
      <c r="I123" s="1036"/>
      <c r="J123" s="1045"/>
      <c r="K123" s="1036"/>
      <c r="L123" s="1036"/>
      <c r="M123" s="1045"/>
      <c r="N123" s="1036"/>
      <c r="O123" s="1036"/>
      <c r="P123" s="1045"/>
      <c r="Q123" s="1036"/>
      <c r="R123" s="1036"/>
      <c r="S123" s="1045"/>
      <c r="T123" s="1036"/>
      <c r="U123" s="1036"/>
      <c r="V123" s="1045"/>
      <c r="W123" s="1045"/>
      <c r="X123" s="1047"/>
      <c r="Y123" s="1048"/>
      <c r="Z123" s="1048"/>
      <c r="AA123" s="1048"/>
      <c r="AB123" s="1048"/>
      <c r="AC123" s="1048"/>
      <c r="AD123" s="1048"/>
      <c r="AE123" s="1048"/>
      <c r="AF123" s="1048"/>
      <c r="AG123" s="1048"/>
      <c r="AH123" s="1048"/>
      <c r="AI123" s="1048"/>
      <c r="AJ123" s="1048"/>
      <c r="AK123" s="1048"/>
      <c r="AL123" s="1048"/>
      <c r="AM123" s="1048"/>
      <c r="AN123" s="1048"/>
      <c r="AO123" s="1048"/>
      <c r="AP123" s="1048"/>
      <c r="AQ123" s="1049"/>
      <c r="AR123" s="1049"/>
      <c r="AS123" s="1049"/>
      <c r="AT123" s="1049"/>
      <c r="AU123" s="1049"/>
      <c r="AV123" s="1050"/>
      <c r="AW123" s="1050"/>
      <c r="AX123" s="1050"/>
      <c r="AY123" s="1050"/>
      <c r="AZ123" s="1050"/>
      <c r="BA123" s="1051"/>
      <c r="BB123" s="1052"/>
      <c r="BC123" s="1052"/>
      <c r="BD123" s="1052"/>
      <c r="BE123" s="1052"/>
      <c r="BF123" s="1052"/>
      <c r="BG123" s="1045"/>
      <c r="BH123" s="1036"/>
      <c r="BI123" s="1036"/>
      <c r="BJ123" s="1036"/>
      <c r="BK123" s="1036"/>
      <c r="BL123" s="1036"/>
      <c r="BM123" s="1036"/>
      <c r="BN123" s="1036"/>
      <c r="BO123" s="1036"/>
      <c r="BP123" s="1036"/>
      <c r="BQ123" s="1036"/>
      <c r="BR123" s="1036"/>
      <c r="BS123" s="1036"/>
      <c r="BT123" s="1036"/>
      <c r="BU123" s="1036"/>
      <c r="BV123" s="1036"/>
      <c r="BW123" s="1036"/>
      <c r="BX123" s="1036"/>
      <c r="BY123" s="1036"/>
      <c r="BZ123" s="1036"/>
      <c r="CA123" s="1036"/>
      <c r="CB123" s="1049"/>
      <c r="CC123" s="1032"/>
      <c r="CD123" s="1032"/>
      <c r="CE123" s="1032"/>
      <c r="CF123" s="1032"/>
      <c r="CG123" s="1032"/>
      <c r="CH123" s="1032"/>
      <c r="CI123" s="1032"/>
      <c r="CJ123" s="1032"/>
      <c r="CK123" s="1032"/>
      <c r="CL123" s="1032"/>
      <c r="CM123" s="1032"/>
      <c r="CN123" s="1032"/>
      <c r="CO123" s="1032"/>
      <c r="CP123" s="1032"/>
      <c r="CQ123" s="1032"/>
      <c r="CR123" s="1032"/>
      <c r="CS123" s="1032"/>
      <c r="CT123" s="1032"/>
      <c r="CU123" s="1032"/>
      <c r="CV123" s="1032"/>
      <c r="CW123" s="1032"/>
      <c r="CX123" s="1032"/>
      <c r="CY123" s="1032"/>
      <c r="CZ123" s="1032"/>
      <c r="DA123" s="1032"/>
      <c r="DB123" s="1032"/>
      <c r="DC123" s="1032"/>
      <c r="DD123" s="1032"/>
      <c r="DE123" s="1032"/>
      <c r="DF123" s="1032"/>
      <c r="DG123" s="1032"/>
      <c r="DH123" s="1032"/>
      <c r="DI123" s="1032"/>
      <c r="DJ123" s="1032"/>
      <c r="DK123" s="1032"/>
      <c r="DL123" s="1032"/>
      <c r="DM123" s="1032"/>
      <c r="DN123" s="1032"/>
      <c r="DO123" s="1032"/>
      <c r="DP123" s="1032"/>
      <c r="DQ123" s="1032"/>
      <c r="DR123" s="1032"/>
      <c r="DS123" s="1032"/>
      <c r="DT123" s="1032"/>
      <c r="DU123" s="1032"/>
      <c r="DV123" s="1032"/>
      <c r="DW123" s="1032"/>
      <c r="DX123" s="1032"/>
      <c r="DY123" s="1032"/>
      <c r="DZ123" s="1032"/>
      <c r="EA123" s="1032"/>
      <c r="EB123" s="1032"/>
      <c r="EC123" s="1032"/>
      <c r="ED123" s="1032"/>
      <c r="EE123" s="1032"/>
      <c r="EF123" s="1032"/>
      <c r="EG123" s="1032"/>
      <c r="EH123" s="1032"/>
      <c r="EI123" s="1032"/>
      <c r="EJ123" s="1032"/>
      <c r="EK123" s="1032"/>
      <c r="EL123" s="1032"/>
      <c r="EM123" s="1032"/>
      <c r="EN123" s="1032"/>
      <c r="EO123" s="1032"/>
      <c r="EP123" s="1032"/>
      <c r="EQ123" s="1032"/>
      <c r="ER123" s="1032"/>
      <c r="ES123" s="1032"/>
      <c r="ET123" s="1032"/>
      <c r="EU123" s="1032"/>
      <c r="EV123" s="1032"/>
      <c r="EW123" s="1032"/>
      <c r="EX123" s="1032"/>
      <c r="EY123" s="1032"/>
      <c r="EZ123" s="1032"/>
      <c r="FA123" s="1032"/>
      <c r="FB123" s="1032"/>
      <c r="FC123" s="1032"/>
      <c r="FD123" s="1032"/>
      <c r="FE123" s="1032"/>
      <c r="FF123" s="1032"/>
      <c r="FG123" s="1032"/>
      <c r="FH123" s="1032"/>
      <c r="FI123" s="1032"/>
      <c r="FJ123" s="1032"/>
      <c r="FK123" s="1032"/>
      <c r="FL123" s="1032"/>
      <c r="FM123" s="1032"/>
      <c r="FN123" s="1032"/>
      <c r="FO123" s="1032"/>
      <c r="FP123" s="1032"/>
      <c r="FQ123" s="1032"/>
      <c r="FR123" s="1032"/>
      <c r="FS123" s="1032"/>
      <c r="FT123" s="1032"/>
      <c r="FU123" s="1032"/>
      <c r="FV123" s="1032"/>
      <c r="FW123" s="1032"/>
      <c r="FX123" s="1032"/>
      <c r="FY123" s="1032"/>
      <c r="FZ123" s="1032"/>
      <c r="GA123" s="1032"/>
      <c r="GB123" s="1032"/>
      <c r="GC123" s="1032"/>
      <c r="GD123" s="1032"/>
      <c r="GE123" s="1032"/>
      <c r="GF123" s="1032"/>
      <c r="GG123" s="1032"/>
      <c r="GH123" s="1032"/>
      <c r="GI123" s="1032"/>
      <c r="GJ123" s="1032"/>
      <c r="GK123" s="1032"/>
      <c r="GL123" s="1032"/>
      <c r="GM123" s="1032"/>
      <c r="GN123" s="1032"/>
      <c r="GO123" s="1032"/>
      <c r="GP123" s="1032"/>
      <c r="GQ123" s="1032"/>
      <c r="GR123" s="1032"/>
      <c r="GS123" s="1032"/>
      <c r="GT123" s="1032"/>
      <c r="GU123" s="1032"/>
      <c r="GV123" s="1032"/>
      <c r="GW123" s="1032"/>
      <c r="GX123" s="1032"/>
      <c r="GY123" s="1032"/>
      <c r="GZ123" s="1032"/>
      <c r="HA123" s="1032"/>
      <c r="HB123" s="1032"/>
      <c r="HC123" s="1032"/>
      <c r="HD123" s="1032"/>
      <c r="HE123" s="1032"/>
      <c r="HF123" s="1032"/>
      <c r="HG123" s="1032"/>
      <c r="HH123" s="1032"/>
      <c r="HI123" s="1032"/>
      <c r="HJ123" s="1032"/>
      <c r="HK123" s="1032"/>
      <c r="HL123" s="1032"/>
      <c r="HM123" s="1032"/>
      <c r="HN123" s="1032"/>
      <c r="HO123" s="1032"/>
      <c r="HP123" s="1032"/>
      <c r="HQ123" s="1032"/>
      <c r="HR123" s="1032"/>
      <c r="HS123" s="1032"/>
      <c r="HT123" s="1032"/>
      <c r="HU123" s="1032"/>
      <c r="HV123" s="1032"/>
      <c r="HW123" s="1032"/>
      <c r="HX123" s="1032"/>
      <c r="HY123" s="1032"/>
      <c r="HZ123" s="1032"/>
      <c r="IA123" s="1032"/>
      <c r="IB123" s="1032"/>
      <c r="IC123" s="1032"/>
      <c r="ID123" s="1032"/>
      <c r="IE123" s="1032"/>
      <c r="IF123" s="1032"/>
      <c r="IG123" s="1032"/>
      <c r="IH123" s="1032"/>
      <c r="II123" s="1032"/>
      <c r="IJ123" s="1032"/>
      <c r="IK123" s="1032"/>
      <c r="IL123" s="1032"/>
      <c r="IM123" s="1032"/>
      <c r="IN123" s="1032"/>
      <c r="IO123" s="1032"/>
      <c r="IP123" s="1032"/>
      <c r="IQ123" s="1032"/>
      <c r="IR123" s="1032"/>
      <c r="IS123" s="1032"/>
      <c r="IT123" s="1032"/>
      <c r="IU123" s="1032"/>
      <c r="IV123" s="1032"/>
      <c r="IW123" s="1032"/>
      <c r="IX123" s="1032"/>
      <c r="IY123" s="1032"/>
      <c r="IZ123" s="1032"/>
      <c r="JA123" s="1032"/>
      <c r="JB123" s="1032"/>
      <c r="JC123" s="1032"/>
      <c r="JD123" s="1032"/>
      <c r="JE123" s="1032"/>
      <c r="JF123" s="1032"/>
      <c r="JG123" s="1032"/>
      <c r="JH123" s="1032"/>
      <c r="JI123" s="1032"/>
      <c r="JJ123" s="1032"/>
      <c r="JK123" s="1032"/>
      <c r="JL123" s="1032"/>
      <c r="JM123" s="1032"/>
      <c r="JN123" s="1032"/>
      <c r="JO123" s="1032"/>
      <c r="JP123" s="1032"/>
      <c r="JQ123" s="1032"/>
      <c r="JR123" s="1032"/>
      <c r="JS123" s="1032"/>
      <c r="JT123" s="1032"/>
      <c r="JU123" s="1032"/>
      <c r="JV123" s="1032"/>
      <c r="JW123" s="1032"/>
      <c r="JX123" s="1032"/>
      <c r="JY123" s="1032"/>
      <c r="JZ123" s="1032"/>
      <c r="KA123" s="1032"/>
      <c r="KB123" s="1032"/>
      <c r="KC123" s="1032"/>
      <c r="KD123" s="1032"/>
      <c r="KE123" s="1032"/>
      <c r="KF123" s="1032"/>
      <c r="KG123" s="1032"/>
      <c r="KH123" s="1032"/>
      <c r="KI123" s="1032"/>
      <c r="KJ123" s="1032"/>
      <c r="KK123" s="1032"/>
      <c r="KL123" s="1032"/>
      <c r="KM123" s="1032"/>
      <c r="KN123" s="1032"/>
      <c r="KO123" s="1032"/>
      <c r="KP123" s="1032"/>
      <c r="KQ123" s="1032"/>
      <c r="KR123" s="1032"/>
      <c r="KS123" s="1032"/>
      <c r="KT123" s="1032"/>
      <c r="KU123" s="1032"/>
      <c r="KV123" s="1032"/>
      <c r="KW123" s="1032"/>
      <c r="KX123" s="1032"/>
      <c r="KY123" s="1032"/>
      <c r="KZ123" s="1032"/>
      <c r="LA123" s="1032"/>
      <c r="LB123" s="1032"/>
      <c r="LC123" s="1032"/>
      <c r="LD123" s="1032"/>
      <c r="LE123" s="1032"/>
      <c r="LF123" s="1032"/>
      <c r="LG123" s="1032"/>
      <c r="LH123" s="1032"/>
      <c r="LI123" s="1032"/>
      <c r="LJ123" s="1032"/>
      <c r="LK123" s="1032"/>
      <c r="LL123" s="1032"/>
      <c r="LM123" s="1032"/>
      <c r="LN123" s="1032"/>
      <c r="LO123" s="1032"/>
      <c r="LP123" s="1032"/>
      <c r="LQ123" s="1032"/>
      <c r="LR123" s="1032"/>
      <c r="LS123" s="1032"/>
      <c r="LT123" s="1032"/>
      <c r="LU123" s="1032"/>
      <c r="LV123" s="1032"/>
      <c r="LW123" s="1032"/>
      <c r="LX123" s="1032"/>
      <c r="LY123" s="1032"/>
      <c r="LZ123" s="1032"/>
      <c r="MA123" s="1032"/>
      <c r="MB123" s="1032"/>
      <c r="MC123" s="1032"/>
      <c r="MD123" s="1032"/>
      <c r="ME123" s="1032"/>
      <c r="MF123" s="1032"/>
      <c r="MG123" s="1032"/>
      <c r="MH123" s="1032"/>
      <c r="MI123" s="1032"/>
      <c r="MJ123" s="1032"/>
      <c r="MK123" s="1032"/>
      <c r="ML123" s="1032"/>
      <c r="MM123" s="1032"/>
      <c r="MN123" s="1032"/>
      <c r="MO123" s="1032"/>
      <c r="MP123" s="1032"/>
      <c r="MQ123" s="1032"/>
      <c r="MR123" s="1032"/>
      <c r="MS123" s="1032"/>
      <c r="MT123" s="1032"/>
      <c r="MU123" s="1032"/>
      <c r="MV123" s="1032"/>
      <c r="MW123" s="1032"/>
      <c r="MX123" s="1032"/>
      <c r="MY123" s="1032"/>
      <c r="MZ123" s="1032"/>
      <c r="NA123" s="1032"/>
      <c r="NB123" s="1032"/>
      <c r="NC123" s="1032"/>
      <c r="ND123" s="1032"/>
      <c r="NE123" s="1032"/>
      <c r="NF123" s="1032"/>
      <c r="NG123" s="1032"/>
      <c r="NH123" s="1032"/>
      <c r="NI123" s="1032"/>
      <c r="NJ123" s="1032"/>
      <c r="NK123" s="1032"/>
      <c r="NL123" s="1032"/>
      <c r="NM123" s="1032"/>
      <c r="NN123" s="1032"/>
      <c r="NO123" s="1032"/>
      <c r="NP123" s="1032"/>
      <c r="NQ123" s="1032"/>
      <c r="NR123" s="1032"/>
      <c r="NS123" s="1032"/>
      <c r="NT123" s="1032"/>
      <c r="NU123" s="1032"/>
      <c r="NV123" s="1032"/>
      <c r="NW123" s="1032"/>
      <c r="NX123" s="1032"/>
      <c r="NY123" s="1032"/>
      <c r="NZ123" s="1032"/>
      <c r="OA123" s="1032"/>
      <c r="OB123" s="1032"/>
      <c r="OC123" s="1032"/>
      <c r="OD123" s="1032"/>
      <c r="OE123" s="1032"/>
      <c r="OF123" s="1032"/>
      <c r="OG123" s="1032"/>
      <c r="OH123" s="1032"/>
    </row>
    <row r="124" spans="1:398" s="25" customFormat="1" ht="69.95" customHeight="1">
      <c r="A124" s="1045"/>
      <c r="B124" s="1036"/>
      <c r="C124" s="1036"/>
      <c r="D124" s="1036"/>
      <c r="E124" s="1053"/>
      <c r="F124" s="1053"/>
      <c r="G124" s="1053"/>
      <c r="H124" s="1036"/>
      <c r="I124" s="1036"/>
      <c r="J124" s="1045"/>
      <c r="K124" s="1036"/>
      <c r="L124" s="1036"/>
      <c r="M124" s="1045"/>
      <c r="N124" s="1036"/>
      <c r="O124" s="1036"/>
      <c r="P124" s="1045"/>
      <c r="Q124" s="1036"/>
      <c r="R124" s="1036"/>
      <c r="S124" s="1045"/>
      <c r="T124" s="1036"/>
      <c r="U124" s="1036"/>
      <c r="V124" s="1045"/>
      <c r="W124" s="1045"/>
      <c r="X124" s="1047"/>
      <c r="Y124" s="1048"/>
      <c r="Z124" s="1048"/>
      <c r="AA124" s="1048"/>
      <c r="AB124" s="1048"/>
      <c r="AC124" s="1048"/>
      <c r="AD124" s="1048"/>
      <c r="AE124" s="1048"/>
      <c r="AF124" s="1048"/>
      <c r="AG124" s="1048"/>
      <c r="AH124" s="1048"/>
      <c r="AI124" s="1048"/>
      <c r="AJ124" s="1048"/>
      <c r="AK124" s="1048"/>
      <c r="AL124" s="1048"/>
      <c r="AM124" s="1048"/>
      <c r="AN124" s="1048"/>
      <c r="AO124" s="1048"/>
      <c r="AP124" s="1048"/>
      <c r="AQ124" s="1049"/>
      <c r="AR124" s="1049"/>
      <c r="AS124" s="1049"/>
      <c r="AT124" s="1049"/>
      <c r="AU124" s="1049"/>
      <c r="AV124" s="1050"/>
      <c r="AW124" s="1050"/>
      <c r="AX124" s="1050"/>
      <c r="AY124" s="1050"/>
      <c r="AZ124" s="1050"/>
      <c r="BA124" s="1051"/>
      <c r="BB124" s="1052"/>
      <c r="BC124" s="1052"/>
      <c r="BD124" s="1052"/>
      <c r="BE124" s="1052"/>
      <c r="BF124" s="1052"/>
      <c r="BG124" s="1045"/>
      <c r="BH124" s="1036"/>
      <c r="BI124" s="1036"/>
      <c r="BJ124" s="1036"/>
      <c r="BK124" s="1036"/>
      <c r="BL124" s="1036"/>
      <c r="BM124" s="1036"/>
      <c r="BN124" s="1036"/>
      <c r="BO124" s="1036"/>
      <c r="BP124" s="1036"/>
      <c r="BQ124" s="1036"/>
      <c r="BR124" s="1036"/>
      <c r="BS124" s="1036"/>
      <c r="BT124" s="1036"/>
      <c r="BU124" s="1036"/>
      <c r="BV124" s="1036"/>
      <c r="BW124" s="1036"/>
      <c r="BX124" s="1036"/>
      <c r="BY124" s="1036"/>
      <c r="BZ124" s="1036"/>
      <c r="CA124" s="1036"/>
      <c r="CB124" s="1049"/>
      <c r="CC124" s="1032"/>
      <c r="CD124" s="1032"/>
      <c r="CE124" s="1032"/>
      <c r="CF124" s="1032"/>
      <c r="CG124" s="1032"/>
      <c r="CH124" s="1032"/>
      <c r="CI124" s="1032"/>
      <c r="CJ124" s="1032"/>
      <c r="CK124" s="1032"/>
      <c r="CL124" s="1032"/>
      <c r="CM124" s="1032"/>
      <c r="CN124" s="1032"/>
      <c r="CO124" s="1032"/>
      <c r="CP124" s="1032"/>
      <c r="CQ124" s="1032"/>
      <c r="CR124" s="1032"/>
      <c r="CS124" s="1032"/>
      <c r="CT124" s="1032"/>
      <c r="CU124" s="1032"/>
      <c r="CV124" s="1032"/>
      <c r="CW124" s="1032"/>
      <c r="CX124" s="1032"/>
      <c r="CY124" s="1032"/>
      <c r="CZ124" s="1032"/>
      <c r="DA124" s="1032"/>
      <c r="DB124" s="1032"/>
      <c r="DC124" s="1032"/>
      <c r="DD124" s="1032"/>
      <c r="DE124" s="1032"/>
      <c r="DF124" s="1032"/>
      <c r="DG124" s="1032"/>
      <c r="DH124" s="1032"/>
      <c r="DI124" s="1032"/>
      <c r="DJ124" s="1032"/>
      <c r="DK124" s="1032"/>
      <c r="DL124" s="1032"/>
      <c r="DM124" s="1032"/>
      <c r="DN124" s="1032"/>
      <c r="DO124" s="1032"/>
      <c r="DP124" s="1032"/>
      <c r="DQ124" s="1032"/>
      <c r="DR124" s="1032"/>
      <c r="DS124" s="1032"/>
      <c r="DT124" s="1032"/>
      <c r="DU124" s="1032"/>
      <c r="DV124" s="1032"/>
      <c r="DW124" s="1032"/>
      <c r="DX124" s="1032"/>
      <c r="DY124" s="1032"/>
      <c r="DZ124" s="1032"/>
      <c r="EA124" s="1032"/>
      <c r="EB124" s="1032"/>
      <c r="EC124" s="1032"/>
      <c r="ED124" s="1032"/>
      <c r="EE124" s="1032"/>
      <c r="EF124" s="1032"/>
      <c r="EG124" s="1032"/>
      <c r="EH124" s="1032"/>
      <c r="EI124" s="1032"/>
      <c r="EJ124" s="1032"/>
      <c r="EK124" s="1032"/>
      <c r="EL124" s="1032"/>
      <c r="EM124" s="1032"/>
      <c r="EN124" s="1032"/>
      <c r="EO124" s="1032"/>
      <c r="EP124" s="1032"/>
      <c r="EQ124" s="1032"/>
      <c r="ER124" s="1032"/>
      <c r="ES124" s="1032"/>
      <c r="ET124" s="1032"/>
      <c r="EU124" s="1032"/>
      <c r="EV124" s="1032"/>
      <c r="EW124" s="1032"/>
      <c r="EX124" s="1032"/>
      <c r="EY124" s="1032"/>
      <c r="EZ124" s="1032"/>
      <c r="FA124" s="1032"/>
      <c r="FB124" s="1032"/>
      <c r="FC124" s="1032"/>
      <c r="FD124" s="1032"/>
      <c r="FE124" s="1032"/>
      <c r="FF124" s="1032"/>
      <c r="FG124" s="1032"/>
      <c r="FH124" s="1032"/>
      <c r="FI124" s="1032"/>
      <c r="FJ124" s="1032"/>
      <c r="FK124" s="1032"/>
      <c r="FL124" s="1032"/>
      <c r="FM124" s="1032"/>
      <c r="FN124" s="1032"/>
      <c r="FO124" s="1032"/>
      <c r="FP124" s="1032"/>
      <c r="FQ124" s="1032"/>
      <c r="FR124" s="1032"/>
      <c r="FS124" s="1032"/>
      <c r="FT124" s="1032"/>
      <c r="FU124" s="1032"/>
      <c r="FV124" s="1032"/>
      <c r="FW124" s="1032"/>
      <c r="FX124" s="1032"/>
      <c r="FY124" s="1032"/>
      <c r="FZ124" s="1032"/>
      <c r="GA124" s="1032"/>
      <c r="GB124" s="1032"/>
      <c r="GC124" s="1032"/>
      <c r="GD124" s="1032"/>
      <c r="GE124" s="1032"/>
      <c r="GF124" s="1032"/>
      <c r="GG124" s="1032"/>
      <c r="GH124" s="1032"/>
      <c r="GI124" s="1032"/>
      <c r="GJ124" s="1032"/>
      <c r="GK124" s="1032"/>
      <c r="GL124" s="1032"/>
      <c r="GM124" s="1032"/>
      <c r="GN124" s="1032"/>
      <c r="GO124" s="1032"/>
      <c r="GP124" s="1032"/>
      <c r="GQ124" s="1032"/>
      <c r="GR124" s="1032"/>
      <c r="GS124" s="1032"/>
      <c r="GT124" s="1032"/>
      <c r="GU124" s="1032"/>
      <c r="GV124" s="1032"/>
      <c r="GW124" s="1032"/>
      <c r="GX124" s="1032"/>
      <c r="GY124" s="1032"/>
      <c r="GZ124" s="1032"/>
      <c r="HA124" s="1032"/>
      <c r="HB124" s="1032"/>
      <c r="HC124" s="1032"/>
      <c r="HD124" s="1032"/>
      <c r="HE124" s="1032"/>
      <c r="HF124" s="1032"/>
      <c r="HG124" s="1032"/>
      <c r="HH124" s="1032"/>
      <c r="HI124" s="1032"/>
      <c r="HJ124" s="1032"/>
      <c r="HK124" s="1032"/>
      <c r="HL124" s="1032"/>
      <c r="HM124" s="1032"/>
      <c r="HN124" s="1032"/>
      <c r="HO124" s="1032"/>
      <c r="HP124" s="1032"/>
      <c r="HQ124" s="1032"/>
      <c r="HR124" s="1032"/>
      <c r="HS124" s="1032"/>
      <c r="HT124" s="1032"/>
      <c r="HU124" s="1032"/>
      <c r="HV124" s="1032"/>
      <c r="HW124" s="1032"/>
      <c r="HX124" s="1032"/>
      <c r="HY124" s="1032"/>
      <c r="HZ124" s="1032"/>
      <c r="IA124" s="1032"/>
      <c r="IB124" s="1032"/>
      <c r="IC124" s="1032"/>
      <c r="ID124" s="1032"/>
      <c r="IE124" s="1032"/>
      <c r="IF124" s="1032"/>
      <c r="IG124" s="1032"/>
      <c r="IH124" s="1032"/>
      <c r="II124" s="1032"/>
      <c r="IJ124" s="1032"/>
      <c r="IK124" s="1032"/>
      <c r="IL124" s="1032"/>
      <c r="IM124" s="1032"/>
      <c r="IN124" s="1032"/>
      <c r="IO124" s="1032"/>
      <c r="IP124" s="1032"/>
      <c r="IQ124" s="1032"/>
      <c r="IR124" s="1032"/>
      <c r="IS124" s="1032"/>
      <c r="IT124" s="1032"/>
      <c r="IU124" s="1032"/>
      <c r="IV124" s="1032"/>
      <c r="IW124" s="1032"/>
      <c r="IX124" s="1032"/>
      <c r="IY124" s="1032"/>
      <c r="IZ124" s="1032"/>
      <c r="JA124" s="1032"/>
      <c r="JB124" s="1032"/>
      <c r="JC124" s="1032"/>
      <c r="JD124" s="1032"/>
      <c r="JE124" s="1032"/>
      <c r="JF124" s="1032"/>
      <c r="JG124" s="1032"/>
      <c r="JH124" s="1032"/>
      <c r="JI124" s="1032"/>
      <c r="JJ124" s="1032"/>
      <c r="JK124" s="1032"/>
      <c r="JL124" s="1032"/>
      <c r="JM124" s="1032"/>
      <c r="JN124" s="1032"/>
      <c r="JO124" s="1032"/>
      <c r="JP124" s="1032"/>
      <c r="JQ124" s="1032"/>
      <c r="JR124" s="1032"/>
      <c r="JS124" s="1032"/>
      <c r="JT124" s="1032"/>
      <c r="JU124" s="1032"/>
      <c r="JV124" s="1032"/>
      <c r="JW124" s="1032"/>
      <c r="JX124" s="1032"/>
      <c r="JY124" s="1032"/>
      <c r="JZ124" s="1032"/>
      <c r="KA124" s="1032"/>
      <c r="KB124" s="1032"/>
      <c r="KC124" s="1032"/>
      <c r="KD124" s="1032"/>
      <c r="KE124" s="1032"/>
      <c r="KF124" s="1032"/>
      <c r="KG124" s="1032"/>
      <c r="KH124" s="1032"/>
      <c r="KI124" s="1032"/>
      <c r="KJ124" s="1032"/>
      <c r="KK124" s="1032"/>
      <c r="KL124" s="1032"/>
      <c r="KM124" s="1032"/>
      <c r="KN124" s="1032"/>
      <c r="KO124" s="1032"/>
      <c r="KP124" s="1032"/>
      <c r="KQ124" s="1032"/>
      <c r="KR124" s="1032"/>
      <c r="KS124" s="1032"/>
      <c r="KT124" s="1032"/>
      <c r="KU124" s="1032"/>
      <c r="KV124" s="1032"/>
      <c r="KW124" s="1032"/>
      <c r="KX124" s="1032"/>
      <c r="KY124" s="1032"/>
      <c r="KZ124" s="1032"/>
      <c r="LA124" s="1032"/>
      <c r="LB124" s="1032"/>
      <c r="LC124" s="1032"/>
      <c r="LD124" s="1032"/>
      <c r="LE124" s="1032"/>
      <c r="LF124" s="1032"/>
      <c r="LG124" s="1032"/>
      <c r="LH124" s="1032"/>
      <c r="LI124" s="1032"/>
      <c r="LJ124" s="1032"/>
      <c r="LK124" s="1032"/>
      <c r="LL124" s="1032"/>
      <c r="LM124" s="1032"/>
      <c r="LN124" s="1032"/>
      <c r="LO124" s="1032"/>
      <c r="LP124" s="1032"/>
      <c r="LQ124" s="1032"/>
      <c r="LR124" s="1032"/>
      <c r="LS124" s="1032"/>
      <c r="LT124" s="1032"/>
      <c r="LU124" s="1032"/>
      <c r="LV124" s="1032"/>
      <c r="LW124" s="1032"/>
      <c r="LX124" s="1032"/>
      <c r="LY124" s="1032"/>
      <c r="LZ124" s="1032"/>
      <c r="MA124" s="1032"/>
      <c r="MB124" s="1032"/>
      <c r="MC124" s="1032"/>
      <c r="MD124" s="1032"/>
      <c r="ME124" s="1032"/>
      <c r="MF124" s="1032"/>
      <c r="MG124" s="1032"/>
      <c r="MH124" s="1032"/>
      <c r="MI124" s="1032"/>
      <c r="MJ124" s="1032"/>
      <c r="MK124" s="1032"/>
      <c r="ML124" s="1032"/>
      <c r="MM124" s="1032"/>
      <c r="MN124" s="1032"/>
      <c r="MO124" s="1032"/>
      <c r="MP124" s="1032"/>
      <c r="MQ124" s="1032"/>
      <c r="MR124" s="1032"/>
      <c r="MS124" s="1032"/>
      <c r="MT124" s="1032"/>
      <c r="MU124" s="1032"/>
      <c r="MV124" s="1032"/>
      <c r="MW124" s="1032"/>
      <c r="MX124" s="1032"/>
      <c r="MY124" s="1032"/>
      <c r="MZ124" s="1032"/>
      <c r="NA124" s="1032"/>
      <c r="NB124" s="1032"/>
      <c r="NC124" s="1032"/>
      <c r="ND124" s="1032"/>
      <c r="NE124" s="1032"/>
      <c r="NF124" s="1032"/>
      <c r="NG124" s="1032"/>
      <c r="NH124" s="1032"/>
      <c r="NI124" s="1032"/>
      <c r="NJ124" s="1032"/>
      <c r="NK124" s="1032"/>
      <c r="NL124" s="1032"/>
      <c r="NM124" s="1032"/>
      <c r="NN124" s="1032"/>
      <c r="NO124" s="1032"/>
      <c r="NP124" s="1032"/>
      <c r="NQ124" s="1032"/>
      <c r="NR124" s="1032"/>
      <c r="NS124" s="1032"/>
      <c r="NT124" s="1032"/>
      <c r="NU124" s="1032"/>
      <c r="NV124" s="1032"/>
      <c r="NW124" s="1032"/>
      <c r="NX124" s="1032"/>
      <c r="NY124" s="1032"/>
      <c r="NZ124" s="1032"/>
      <c r="OA124" s="1032"/>
      <c r="OB124" s="1032"/>
      <c r="OC124" s="1032"/>
      <c r="OD124" s="1032"/>
      <c r="OE124" s="1032"/>
      <c r="OF124" s="1032"/>
      <c r="OG124" s="1032"/>
      <c r="OH124" s="1032"/>
    </row>
    <row r="125" spans="1:398" s="13" customFormat="1" ht="69.95" customHeight="1">
      <c r="A125" s="1045"/>
      <c r="B125" s="1036"/>
      <c r="C125" s="1036"/>
      <c r="D125" s="1036"/>
      <c r="E125" s="1046"/>
      <c r="F125" s="1046"/>
      <c r="G125" s="1046"/>
      <c r="H125" s="1036"/>
      <c r="I125" s="1036"/>
      <c r="J125" s="1045"/>
      <c r="K125" s="1036"/>
      <c r="L125" s="1036"/>
      <c r="M125" s="1045"/>
      <c r="N125" s="1036"/>
      <c r="O125" s="1036"/>
      <c r="P125" s="1045"/>
      <c r="Q125" s="1036"/>
      <c r="R125" s="1036"/>
      <c r="S125" s="1045"/>
      <c r="T125" s="1036"/>
      <c r="U125" s="1036"/>
      <c r="V125" s="1045"/>
      <c r="W125" s="1045"/>
      <c r="X125" s="1047"/>
      <c r="Y125" s="1048"/>
      <c r="Z125" s="1048"/>
      <c r="AA125" s="1048"/>
      <c r="AB125" s="1048"/>
      <c r="AC125" s="1048"/>
      <c r="AD125" s="1048"/>
      <c r="AE125" s="1048"/>
      <c r="AF125" s="1048"/>
      <c r="AG125" s="1048"/>
      <c r="AH125" s="1048"/>
      <c r="AI125" s="1048"/>
      <c r="AJ125" s="1048"/>
      <c r="AK125" s="1048"/>
      <c r="AL125" s="1048"/>
      <c r="AM125" s="1048"/>
      <c r="AN125" s="1048"/>
      <c r="AO125" s="1048"/>
      <c r="AP125" s="1048"/>
      <c r="AQ125" s="1049"/>
      <c r="AR125" s="1049"/>
      <c r="AS125" s="1049"/>
      <c r="AT125" s="1049"/>
      <c r="AU125" s="1049"/>
      <c r="AV125" s="1050"/>
      <c r="AW125" s="1050"/>
      <c r="AX125" s="1050"/>
      <c r="AY125" s="1050"/>
      <c r="AZ125" s="1050"/>
      <c r="BA125" s="1051"/>
      <c r="BB125" s="1052"/>
      <c r="BC125" s="1052"/>
      <c r="BD125" s="1052"/>
      <c r="BE125" s="1052"/>
      <c r="BF125" s="1052"/>
      <c r="BG125" s="1045"/>
      <c r="BH125" s="1036"/>
      <c r="BI125" s="1036"/>
      <c r="BJ125" s="1036"/>
      <c r="BK125" s="1036"/>
      <c r="BL125" s="1036"/>
      <c r="BM125" s="1036"/>
      <c r="BN125" s="1036"/>
      <c r="BO125" s="1036"/>
      <c r="BP125" s="1036"/>
      <c r="BQ125" s="1036"/>
      <c r="BR125" s="1036"/>
      <c r="BS125" s="1036"/>
      <c r="BT125" s="1036"/>
      <c r="BU125" s="1036"/>
      <c r="BV125" s="1036"/>
      <c r="BW125" s="1036"/>
      <c r="BX125" s="1036"/>
      <c r="BY125" s="1036"/>
      <c r="BZ125" s="1036"/>
      <c r="CA125" s="1036"/>
      <c r="CB125" s="1049"/>
      <c r="CC125" s="1032"/>
      <c r="CD125" s="1032"/>
      <c r="CE125" s="1032"/>
      <c r="CF125" s="1032"/>
      <c r="CG125" s="1032"/>
      <c r="CH125" s="1032"/>
      <c r="CI125" s="1032"/>
      <c r="CJ125" s="1032"/>
      <c r="CK125" s="1032"/>
      <c r="CL125" s="1032"/>
      <c r="CM125" s="1032"/>
      <c r="CN125" s="1032"/>
      <c r="CO125" s="1032"/>
      <c r="CP125" s="1032"/>
      <c r="CQ125" s="1032"/>
      <c r="CR125" s="1032"/>
      <c r="CS125" s="1032"/>
      <c r="CT125" s="1032"/>
      <c r="CU125" s="1032"/>
      <c r="CV125" s="1032"/>
      <c r="CW125" s="1032"/>
      <c r="CX125" s="1032"/>
      <c r="CY125" s="1032"/>
      <c r="CZ125" s="1032"/>
      <c r="DA125" s="1032"/>
      <c r="DB125" s="1032"/>
      <c r="DC125" s="1032"/>
      <c r="DD125" s="1032"/>
      <c r="DE125" s="1032"/>
      <c r="DF125" s="1032"/>
      <c r="DG125" s="1032"/>
      <c r="DH125" s="1032"/>
      <c r="DI125" s="1032"/>
      <c r="DJ125" s="1032"/>
      <c r="DK125" s="1032"/>
      <c r="DL125" s="1032"/>
      <c r="DM125" s="1032"/>
      <c r="DN125" s="1032"/>
      <c r="DO125" s="1032"/>
      <c r="DP125" s="1032"/>
      <c r="DQ125" s="1032"/>
      <c r="DR125" s="1032"/>
      <c r="DS125" s="1032"/>
      <c r="DT125" s="1032"/>
      <c r="DU125" s="1032"/>
      <c r="DV125" s="1032"/>
      <c r="DW125" s="1032"/>
      <c r="DX125" s="1032"/>
      <c r="DY125" s="1032"/>
      <c r="DZ125" s="1032"/>
      <c r="EA125" s="1032"/>
      <c r="EB125" s="1032"/>
      <c r="EC125" s="1032"/>
      <c r="ED125" s="1032"/>
      <c r="EE125" s="1032"/>
      <c r="EF125" s="1032"/>
      <c r="EG125" s="1032"/>
      <c r="EH125" s="1032"/>
      <c r="EI125" s="1032"/>
      <c r="EJ125" s="1032"/>
      <c r="EK125" s="1032"/>
      <c r="EL125" s="1032"/>
      <c r="EM125" s="1032"/>
      <c r="EN125" s="1032"/>
      <c r="EO125" s="1032"/>
      <c r="EP125" s="1032"/>
      <c r="EQ125" s="1032"/>
      <c r="ER125" s="1032"/>
      <c r="ES125" s="1032"/>
      <c r="ET125" s="1032"/>
      <c r="EU125" s="1032"/>
      <c r="EV125" s="1032"/>
      <c r="EW125" s="1032"/>
      <c r="EX125" s="1032"/>
      <c r="EY125" s="1032"/>
      <c r="EZ125" s="1032"/>
      <c r="FA125" s="1032"/>
      <c r="FB125" s="1032"/>
      <c r="FC125" s="1032"/>
      <c r="FD125" s="1032"/>
      <c r="FE125" s="1032"/>
      <c r="FF125" s="1032"/>
      <c r="FG125" s="1032"/>
      <c r="FH125" s="1032"/>
      <c r="FI125" s="1032"/>
      <c r="FJ125" s="1032"/>
      <c r="FK125" s="1032"/>
      <c r="FL125" s="1032"/>
      <c r="FM125" s="1032"/>
      <c r="FN125" s="1032"/>
      <c r="FO125" s="1032"/>
      <c r="FP125" s="1032"/>
      <c r="FQ125" s="1032"/>
      <c r="FR125" s="1032"/>
      <c r="FS125" s="1032"/>
      <c r="FT125" s="1032"/>
      <c r="FU125" s="1032"/>
      <c r="FV125" s="1032"/>
      <c r="FW125" s="1032"/>
      <c r="FX125" s="1032"/>
      <c r="FY125" s="1032"/>
      <c r="FZ125" s="1032"/>
      <c r="GA125" s="1032"/>
      <c r="GB125" s="1032"/>
      <c r="GC125" s="1032"/>
      <c r="GD125" s="1032"/>
      <c r="GE125" s="1032"/>
      <c r="GF125" s="1032"/>
      <c r="GG125" s="1032"/>
      <c r="GH125" s="1032"/>
      <c r="GI125" s="1032"/>
      <c r="GJ125" s="1032"/>
      <c r="GK125" s="1032"/>
      <c r="GL125" s="1032"/>
      <c r="GM125" s="1032"/>
      <c r="GN125" s="1032"/>
      <c r="GO125" s="1032"/>
      <c r="GP125" s="1032"/>
      <c r="GQ125" s="1032"/>
      <c r="GR125" s="1032"/>
      <c r="GS125" s="1032"/>
      <c r="GT125" s="1032"/>
      <c r="GU125" s="1032"/>
      <c r="GV125" s="1032"/>
      <c r="GW125" s="1032"/>
      <c r="GX125" s="1032"/>
      <c r="GY125" s="1032"/>
      <c r="GZ125" s="1032"/>
      <c r="HA125" s="1032"/>
      <c r="HB125" s="1032"/>
      <c r="HC125" s="1032"/>
      <c r="HD125" s="1032"/>
      <c r="HE125" s="1032"/>
      <c r="HF125" s="1032"/>
      <c r="HG125" s="1032"/>
      <c r="HH125" s="1032"/>
      <c r="HI125" s="1032"/>
      <c r="HJ125" s="1032"/>
      <c r="HK125" s="1032"/>
      <c r="HL125" s="1032"/>
      <c r="HM125" s="1032"/>
      <c r="HN125" s="1032"/>
      <c r="HO125" s="1032"/>
      <c r="HP125" s="1032"/>
      <c r="HQ125" s="1032"/>
      <c r="HR125" s="1032"/>
      <c r="HS125" s="1032"/>
      <c r="HT125" s="1032"/>
      <c r="HU125" s="1032"/>
      <c r="HV125" s="1032"/>
      <c r="HW125" s="1032"/>
      <c r="HX125" s="1032"/>
      <c r="HY125" s="1032"/>
      <c r="HZ125" s="1032"/>
      <c r="IA125" s="1032"/>
      <c r="IB125" s="1032"/>
      <c r="IC125" s="1032"/>
      <c r="ID125" s="1032"/>
      <c r="IE125" s="1032"/>
      <c r="IF125" s="1032"/>
      <c r="IG125" s="1032"/>
      <c r="IH125" s="1032"/>
      <c r="II125" s="1032"/>
      <c r="IJ125" s="1032"/>
      <c r="IK125" s="1032"/>
      <c r="IL125" s="1032"/>
      <c r="IM125" s="1032"/>
      <c r="IN125" s="1032"/>
      <c r="IO125" s="1032"/>
      <c r="IP125" s="1032"/>
      <c r="IQ125" s="1032"/>
      <c r="IR125" s="1032"/>
      <c r="IS125" s="1032"/>
      <c r="IT125" s="1032"/>
      <c r="IU125" s="1032"/>
      <c r="IV125" s="1032"/>
      <c r="IW125" s="1032"/>
      <c r="IX125" s="1032"/>
      <c r="IY125" s="1032"/>
      <c r="IZ125" s="1032"/>
      <c r="JA125" s="1032"/>
      <c r="JB125" s="1032"/>
      <c r="JC125" s="1032"/>
      <c r="JD125" s="1032"/>
      <c r="JE125" s="1032"/>
      <c r="JF125" s="1032"/>
      <c r="JG125" s="1032"/>
      <c r="JH125" s="1032"/>
      <c r="JI125" s="1032"/>
      <c r="JJ125" s="1032"/>
      <c r="JK125" s="1032"/>
      <c r="JL125" s="1032"/>
      <c r="JM125" s="1032"/>
      <c r="JN125" s="1032"/>
      <c r="JO125" s="1032"/>
      <c r="JP125" s="1032"/>
      <c r="JQ125" s="1032"/>
      <c r="JR125" s="1032"/>
      <c r="JS125" s="1032"/>
      <c r="JT125" s="1032"/>
      <c r="JU125" s="1032"/>
      <c r="JV125" s="1032"/>
      <c r="JW125" s="1032"/>
      <c r="JX125" s="1032"/>
      <c r="JY125" s="1032"/>
      <c r="JZ125" s="1032"/>
      <c r="KA125" s="1032"/>
      <c r="KB125" s="1032"/>
      <c r="KC125" s="1032"/>
      <c r="KD125" s="1032"/>
      <c r="KE125" s="1032"/>
      <c r="KF125" s="1032"/>
      <c r="KG125" s="1032"/>
      <c r="KH125" s="1032"/>
      <c r="KI125" s="1032"/>
      <c r="KJ125" s="1032"/>
      <c r="KK125" s="1032"/>
      <c r="KL125" s="1032"/>
      <c r="KM125" s="1032"/>
      <c r="KN125" s="1032"/>
      <c r="KO125" s="1032"/>
      <c r="KP125" s="1032"/>
      <c r="KQ125" s="1032"/>
      <c r="KR125" s="1032"/>
      <c r="KS125" s="1032"/>
      <c r="KT125" s="1032"/>
      <c r="KU125" s="1032"/>
      <c r="KV125" s="1032"/>
      <c r="KW125" s="1032"/>
      <c r="KX125" s="1032"/>
      <c r="KY125" s="1032"/>
      <c r="KZ125" s="1032"/>
      <c r="LA125" s="1032"/>
      <c r="LB125" s="1032"/>
      <c r="LC125" s="1032"/>
      <c r="LD125" s="1032"/>
      <c r="LE125" s="1032"/>
      <c r="LF125" s="1032"/>
      <c r="LG125" s="1032"/>
      <c r="LH125" s="1032"/>
      <c r="LI125" s="1032"/>
      <c r="LJ125" s="1032"/>
      <c r="LK125" s="1032"/>
      <c r="LL125" s="1032"/>
      <c r="LM125" s="1032"/>
      <c r="LN125" s="1032"/>
      <c r="LO125" s="1032"/>
      <c r="LP125" s="1032"/>
      <c r="LQ125" s="1032"/>
      <c r="LR125" s="1032"/>
      <c r="LS125" s="1032"/>
      <c r="LT125" s="1032"/>
      <c r="LU125" s="1032"/>
      <c r="LV125" s="1032"/>
      <c r="LW125" s="1032"/>
      <c r="LX125" s="1032"/>
      <c r="LY125" s="1032"/>
      <c r="LZ125" s="1032"/>
      <c r="MA125" s="1032"/>
      <c r="MB125" s="1032"/>
      <c r="MC125" s="1032"/>
      <c r="MD125" s="1032"/>
      <c r="ME125" s="1032"/>
      <c r="MF125" s="1032"/>
      <c r="MG125" s="1032"/>
      <c r="MH125" s="1032"/>
      <c r="MI125" s="1032"/>
      <c r="MJ125" s="1032"/>
      <c r="MK125" s="1032"/>
      <c r="ML125" s="1032"/>
      <c r="MM125" s="1032"/>
      <c r="MN125" s="1032"/>
      <c r="MO125" s="1032"/>
      <c r="MP125" s="1032"/>
      <c r="MQ125" s="1032"/>
      <c r="MR125" s="1032"/>
      <c r="MS125" s="1032"/>
      <c r="MT125" s="1032"/>
      <c r="MU125" s="1032"/>
      <c r="MV125" s="1032"/>
      <c r="MW125" s="1032"/>
      <c r="MX125" s="1032"/>
      <c r="MY125" s="1032"/>
      <c r="MZ125" s="1032"/>
      <c r="NA125" s="1032"/>
      <c r="NB125" s="1032"/>
      <c r="NC125" s="1032"/>
      <c r="ND125" s="1032"/>
      <c r="NE125" s="1032"/>
      <c r="NF125" s="1032"/>
      <c r="NG125" s="1032"/>
      <c r="NH125" s="1032"/>
      <c r="NI125" s="1032"/>
      <c r="NJ125" s="1032"/>
      <c r="NK125" s="1032"/>
      <c r="NL125" s="1032"/>
      <c r="NM125" s="1032"/>
      <c r="NN125" s="1032"/>
      <c r="NO125" s="1032"/>
      <c r="NP125" s="1032"/>
      <c r="NQ125" s="1032"/>
      <c r="NR125" s="1032"/>
      <c r="NS125" s="1032"/>
      <c r="NT125" s="1032"/>
      <c r="NU125" s="1032"/>
      <c r="NV125" s="1032"/>
      <c r="NW125" s="1032"/>
      <c r="NX125" s="1032"/>
      <c r="NY125" s="1032"/>
      <c r="NZ125" s="1032"/>
      <c r="OA125" s="1032"/>
      <c r="OB125" s="1032"/>
      <c r="OC125" s="1032"/>
      <c r="OD125" s="1032"/>
      <c r="OE125" s="1032"/>
      <c r="OF125" s="1032"/>
      <c r="OG125" s="1032"/>
      <c r="OH125" s="1032"/>
    </row>
    <row r="126" spans="1:398" s="13" customFormat="1" ht="69.95" customHeight="1">
      <c r="A126" s="1045"/>
      <c r="B126" s="1036"/>
      <c r="C126" s="1036"/>
      <c r="D126" s="1036"/>
      <c r="E126" s="1046"/>
      <c r="F126" s="1046"/>
      <c r="G126" s="1046"/>
      <c r="H126" s="1036"/>
      <c r="I126" s="1036"/>
      <c r="J126" s="1045"/>
      <c r="K126" s="1036"/>
      <c r="L126" s="1036"/>
      <c r="M126" s="1045"/>
      <c r="N126" s="1036"/>
      <c r="O126" s="1036"/>
      <c r="P126" s="1045"/>
      <c r="Q126" s="1036"/>
      <c r="R126" s="1036"/>
      <c r="S126" s="1045"/>
      <c r="T126" s="1036"/>
      <c r="U126" s="1036"/>
      <c r="V126" s="1045"/>
      <c r="W126" s="1045"/>
      <c r="X126" s="1047"/>
      <c r="Y126" s="1048"/>
      <c r="Z126" s="1048"/>
      <c r="AA126" s="1048"/>
      <c r="AB126" s="1048"/>
      <c r="AC126" s="1048"/>
      <c r="AD126" s="1048"/>
      <c r="AE126" s="1048"/>
      <c r="AF126" s="1048"/>
      <c r="AG126" s="1048"/>
      <c r="AH126" s="1048"/>
      <c r="AI126" s="1048"/>
      <c r="AJ126" s="1048"/>
      <c r="AK126" s="1048"/>
      <c r="AL126" s="1048"/>
      <c r="AM126" s="1048"/>
      <c r="AN126" s="1048"/>
      <c r="AO126" s="1048"/>
      <c r="AP126" s="1048"/>
      <c r="AQ126" s="1049"/>
      <c r="AR126" s="1049"/>
      <c r="AS126" s="1049"/>
      <c r="AT126" s="1049"/>
      <c r="AU126" s="1049"/>
      <c r="AV126" s="1050"/>
      <c r="AW126" s="1050"/>
      <c r="AX126" s="1050"/>
      <c r="AY126" s="1050"/>
      <c r="AZ126" s="1050"/>
      <c r="BA126" s="1051"/>
      <c r="BB126" s="1052"/>
      <c r="BC126" s="1052"/>
      <c r="BD126" s="1052"/>
      <c r="BE126" s="1052"/>
      <c r="BF126" s="1052"/>
      <c r="BG126" s="1045"/>
      <c r="BH126" s="1036"/>
      <c r="BI126" s="1036"/>
      <c r="BJ126" s="1036"/>
      <c r="BK126" s="1036"/>
      <c r="BL126" s="1036"/>
      <c r="BM126" s="1036"/>
      <c r="BN126" s="1036"/>
      <c r="BO126" s="1036"/>
      <c r="BP126" s="1036"/>
      <c r="BQ126" s="1036"/>
      <c r="BR126" s="1036"/>
      <c r="BS126" s="1036"/>
      <c r="BT126" s="1036"/>
      <c r="BU126" s="1036"/>
      <c r="BV126" s="1036"/>
      <c r="BW126" s="1036"/>
      <c r="BX126" s="1036"/>
      <c r="BY126" s="1036"/>
      <c r="BZ126" s="1036"/>
      <c r="CA126" s="1036"/>
      <c r="CB126" s="1036"/>
      <c r="CC126" s="1032"/>
      <c r="CD126" s="1032"/>
      <c r="CE126" s="1032"/>
      <c r="CF126" s="1032"/>
      <c r="CG126" s="1032"/>
      <c r="CH126" s="1032"/>
      <c r="CI126" s="1032"/>
      <c r="CJ126" s="1032"/>
      <c r="CK126" s="1032"/>
      <c r="CL126" s="1032"/>
      <c r="CM126" s="1032"/>
      <c r="CN126" s="1032"/>
      <c r="CO126" s="1032"/>
      <c r="CP126" s="1032"/>
      <c r="CQ126" s="1032"/>
      <c r="CR126" s="1032"/>
      <c r="CS126" s="1032"/>
      <c r="CT126" s="1032"/>
      <c r="CU126" s="1032"/>
      <c r="CV126" s="1032"/>
      <c r="CW126" s="1032"/>
      <c r="CX126" s="1032"/>
      <c r="CY126" s="1032"/>
      <c r="CZ126" s="1032"/>
      <c r="DA126" s="1032"/>
      <c r="DB126" s="1032"/>
      <c r="DC126" s="1032"/>
      <c r="DD126" s="1032"/>
      <c r="DE126" s="1032"/>
      <c r="DF126" s="1032"/>
      <c r="DG126" s="1032"/>
      <c r="DH126" s="1032"/>
      <c r="DI126" s="1032"/>
      <c r="DJ126" s="1032"/>
      <c r="DK126" s="1032"/>
      <c r="DL126" s="1032"/>
      <c r="DM126" s="1032"/>
      <c r="DN126" s="1032"/>
      <c r="DO126" s="1032"/>
      <c r="DP126" s="1032"/>
      <c r="DQ126" s="1032"/>
      <c r="DR126" s="1032"/>
      <c r="DS126" s="1032"/>
      <c r="DT126" s="1032"/>
      <c r="DU126" s="1032"/>
      <c r="DV126" s="1032"/>
      <c r="DW126" s="1032"/>
      <c r="DX126" s="1032"/>
      <c r="DY126" s="1032"/>
      <c r="DZ126" s="1032"/>
      <c r="EA126" s="1032"/>
      <c r="EB126" s="1032"/>
      <c r="EC126" s="1032"/>
      <c r="ED126" s="1032"/>
      <c r="EE126" s="1032"/>
      <c r="EF126" s="1032"/>
      <c r="EG126" s="1032"/>
      <c r="EH126" s="1032"/>
      <c r="EI126" s="1032"/>
      <c r="EJ126" s="1032"/>
      <c r="EK126" s="1032"/>
      <c r="EL126" s="1032"/>
      <c r="EM126" s="1032"/>
      <c r="EN126" s="1032"/>
      <c r="EO126" s="1032"/>
      <c r="EP126" s="1032"/>
      <c r="EQ126" s="1032"/>
      <c r="ER126" s="1032"/>
      <c r="ES126" s="1032"/>
      <c r="ET126" s="1032"/>
      <c r="EU126" s="1032"/>
      <c r="EV126" s="1032"/>
      <c r="EW126" s="1032"/>
      <c r="EX126" s="1032"/>
      <c r="EY126" s="1032"/>
      <c r="EZ126" s="1032"/>
      <c r="FA126" s="1032"/>
      <c r="FB126" s="1032"/>
      <c r="FC126" s="1032"/>
      <c r="FD126" s="1032"/>
      <c r="FE126" s="1032"/>
      <c r="FF126" s="1032"/>
      <c r="FG126" s="1032"/>
      <c r="FH126" s="1032"/>
      <c r="FI126" s="1032"/>
      <c r="FJ126" s="1032"/>
      <c r="FK126" s="1032"/>
      <c r="FL126" s="1032"/>
      <c r="FM126" s="1032"/>
      <c r="FN126" s="1032"/>
      <c r="FO126" s="1032"/>
      <c r="FP126" s="1032"/>
      <c r="FQ126" s="1032"/>
      <c r="FR126" s="1032"/>
      <c r="FS126" s="1032"/>
      <c r="FT126" s="1032"/>
      <c r="FU126" s="1032"/>
      <c r="FV126" s="1032"/>
      <c r="FW126" s="1032"/>
      <c r="FX126" s="1032"/>
      <c r="FY126" s="1032"/>
      <c r="FZ126" s="1032"/>
      <c r="GA126" s="1032"/>
      <c r="GB126" s="1032"/>
      <c r="GC126" s="1032"/>
      <c r="GD126" s="1032"/>
      <c r="GE126" s="1032"/>
      <c r="GF126" s="1032"/>
      <c r="GG126" s="1032"/>
      <c r="GH126" s="1032"/>
      <c r="GI126" s="1032"/>
      <c r="GJ126" s="1032"/>
      <c r="GK126" s="1032"/>
      <c r="GL126" s="1032"/>
      <c r="GM126" s="1032"/>
      <c r="GN126" s="1032"/>
      <c r="GO126" s="1032"/>
      <c r="GP126" s="1032"/>
      <c r="GQ126" s="1032"/>
      <c r="GR126" s="1032"/>
      <c r="GS126" s="1032"/>
      <c r="GT126" s="1032"/>
      <c r="GU126" s="1032"/>
      <c r="GV126" s="1032"/>
      <c r="GW126" s="1032"/>
      <c r="GX126" s="1032"/>
      <c r="GY126" s="1032"/>
      <c r="GZ126" s="1032"/>
      <c r="HA126" s="1032"/>
      <c r="HB126" s="1032"/>
      <c r="HC126" s="1032"/>
      <c r="HD126" s="1032"/>
      <c r="HE126" s="1032"/>
      <c r="HF126" s="1032"/>
      <c r="HG126" s="1032"/>
      <c r="HH126" s="1032"/>
      <c r="HI126" s="1032"/>
      <c r="HJ126" s="1032"/>
      <c r="HK126" s="1032"/>
      <c r="HL126" s="1032"/>
      <c r="HM126" s="1032"/>
      <c r="HN126" s="1032"/>
      <c r="HO126" s="1032"/>
      <c r="HP126" s="1032"/>
      <c r="HQ126" s="1032"/>
      <c r="HR126" s="1032"/>
      <c r="HS126" s="1032"/>
      <c r="HT126" s="1032"/>
      <c r="HU126" s="1032"/>
      <c r="HV126" s="1032"/>
      <c r="HW126" s="1032"/>
      <c r="HX126" s="1032"/>
      <c r="HY126" s="1032"/>
      <c r="HZ126" s="1032"/>
      <c r="IA126" s="1032"/>
      <c r="IB126" s="1032"/>
      <c r="IC126" s="1032"/>
      <c r="ID126" s="1032"/>
      <c r="IE126" s="1032"/>
      <c r="IF126" s="1032"/>
      <c r="IG126" s="1032"/>
      <c r="IH126" s="1032"/>
      <c r="II126" s="1032"/>
      <c r="IJ126" s="1032"/>
      <c r="IK126" s="1032"/>
      <c r="IL126" s="1032"/>
      <c r="IM126" s="1032"/>
      <c r="IN126" s="1032"/>
      <c r="IO126" s="1032"/>
      <c r="IP126" s="1032"/>
      <c r="IQ126" s="1032"/>
      <c r="IR126" s="1032"/>
      <c r="IS126" s="1032"/>
      <c r="IT126" s="1032"/>
      <c r="IU126" s="1032"/>
      <c r="IV126" s="1032"/>
      <c r="IW126" s="1032"/>
      <c r="IX126" s="1032"/>
      <c r="IY126" s="1032"/>
      <c r="IZ126" s="1032"/>
      <c r="JA126" s="1032"/>
      <c r="JB126" s="1032"/>
      <c r="JC126" s="1032"/>
      <c r="JD126" s="1032"/>
      <c r="JE126" s="1032"/>
      <c r="JF126" s="1032"/>
      <c r="JG126" s="1032"/>
      <c r="JH126" s="1032"/>
      <c r="JI126" s="1032"/>
      <c r="JJ126" s="1032"/>
      <c r="JK126" s="1032"/>
      <c r="JL126" s="1032"/>
      <c r="JM126" s="1032"/>
      <c r="JN126" s="1032"/>
      <c r="JO126" s="1032"/>
      <c r="JP126" s="1032"/>
      <c r="JQ126" s="1032"/>
      <c r="JR126" s="1032"/>
      <c r="JS126" s="1032"/>
      <c r="JT126" s="1032"/>
      <c r="JU126" s="1032"/>
      <c r="JV126" s="1032"/>
      <c r="JW126" s="1032"/>
      <c r="JX126" s="1032"/>
      <c r="JY126" s="1032"/>
      <c r="JZ126" s="1032"/>
      <c r="KA126" s="1032"/>
      <c r="KB126" s="1032"/>
      <c r="KC126" s="1032"/>
      <c r="KD126" s="1032"/>
      <c r="KE126" s="1032"/>
      <c r="KF126" s="1032"/>
      <c r="KG126" s="1032"/>
      <c r="KH126" s="1032"/>
      <c r="KI126" s="1032"/>
      <c r="KJ126" s="1032"/>
      <c r="KK126" s="1032"/>
      <c r="KL126" s="1032"/>
      <c r="KM126" s="1032"/>
      <c r="KN126" s="1032"/>
      <c r="KO126" s="1032"/>
      <c r="KP126" s="1032"/>
      <c r="KQ126" s="1032"/>
      <c r="KR126" s="1032"/>
      <c r="KS126" s="1032"/>
      <c r="KT126" s="1032"/>
      <c r="KU126" s="1032"/>
      <c r="KV126" s="1032"/>
      <c r="KW126" s="1032"/>
      <c r="KX126" s="1032"/>
      <c r="KY126" s="1032"/>
      <c r="KZ126" s="1032"/>
      <c r="LA126" s="1032"/>
      <c r="LB126" s="1032"/>
      <c r="LC126" s="1032"/>
      <c r="LD126" s="1032"/>
      <c r="LE126" s="1032"/>
      <c r="LF126" s="1032"/>
      <c r="LG126" s="1032"/>
      <c r="LH126" s="1032"/>
      <c r="LI126" s="1032"/>
      <c r="LJ126" s="1032"/>
      <c r="LK126" s="1032"/>
      <c r="LL126" s="1032"/>
      <c r="LM126" s="1032"/>
      <c r="LN126" s="1032"/>
      <c r="LO126" s="1032"/>
      <c r="LP126" s="1032"/>
      <c r="LQ126" s="1032"/>
      <c r="LR126" s="1032"/>
      <c r="LS126" s="1032"/>
      <c r="LT126" s="1032"/>
      <c r="LU126" s="1032"/>
      <c r="LV126" s="1032"/>
      <c r="LW126" s="1032"/>
      <c r="LX126" s="1032"/>
      <c r="LY126" s="1032"/>
      <c r="LZ126" s="1032"/>
      <c r="MA126" s="1032"/>
      <c r="MB126" s="1032"/>
      <c r="MC126" s="1032"/>
      <c r="MD126" s="1032"/>
      <c r="ME126" s="1032"/>
      <c r="MF126" s="1032"/>
      <c r="MG126" s="1032"/>
      <c r="MH126" s="1032"/>
      <c r="MI126" s="1032"/>
      <c r="MJ126" s="1032"/>
      <c r="MK126" s="1032"/>
      <c r="ML126" s="1032"/>
      <c r="MM126" s="1032"/>
      <c r="MN126" s="1032"/>
      <c r="MO126" s="1032"/>
      <c r="MP126" s="1032"/>
      <c r="MQ126" s="1032"/>
      <c r="MR126" s="1032"/>
      <c r="MS126" s="1032"/>
      <c r="MT126" s="1032"/>
      <c r="MU126" s="1032"/>
      <c r="MV126" s="1032"/>
      <c r="MW126" s="1032"/>
      <c r="MX126" s="1032"/>
      <c r="MY126" s="1032"/>
      <c r="MZ126" s="1032"/>
      <c r="NA126" s="1032"/>
      <c r="NB126" s="1032"/>
      <c r="NC126" s="1032"/>
      <c r="ND126" s="1032"/>
      <c r="NE126" s="1032"/>
      <c r="NF126" s="1032"/>
      <c r="NG126" s="1032"/>
      <c r="NH126" s="1032"/>
      <c r="NI126" s="1032"/>
      <c r="NJ126" s="1032"/>
      <c r="NK126" s="1032"/>
      <c r="NL126" s="1032"/>
      <c r="NM126" s="1032"/>
      <c r="NN126" s="1032"/>
      <c r="NO126" s="1032"/>
      <c r="NP126" s="1032"/>
      <c r="NQ126" s="1032"/>
      <c r="NR126" s="1032"/>
      <c r="NS126" s="1032"/>
      <c r="NT126" s="1032"/>
      <c r="NU126" s="1032"/>
      <c r="NV126" s="1032"/>
      <c r="NW126" s="1032"/>
      <c r="NX126" s="1032"/>
      <c r="NY126" s="1032"/>
      <c r="NZ126" s="1032"/>
      <c r="OA126" s="1032"/>
      <c r="OB126" s="1032"/>
      <c r="OC126" s="1032"/>
      <c r="OD126" s="1032"/>
      <c r="OE126" s="1032"/>
      <c r="OF126" s="1032"/>
      <c r="OG126" s="1032"/>
      <c r="OH126" s="1032"/>
    </row>
    <row r="127" spans="1:398" s="25" customFormat="1" ht="69.95" customHeight="1">
      <c r="A127" s="1045"/>
      <c r="B127" s="1036"/>
      <c r="C127" s="1036"/>
      <c r="D127" s="1036"/>
      <c r="E127" s="1046"/>
      <c r="F127" s="1046"/>
      <c r="G127" s="1046"/>
      <c r="H127" s="1036"/>
      <c r="I127" s="1036"/>
      <c r="J127" s="1045"/>
      <c r="K127" s="1036"/>
      <c r="L127" s="1036"/>
      <c r="M127" s="1045"/>
      <c r="N127" s="1036"/>
      <c r="O127" s="1036"/>
      <c r="P127" s="1045"/>
      <c r="Q127" s="1036"/>
      <c r="R127" s="1036"/>
      <c r="S127" s="1045"/>
      <c r="T127" s="1036"/>
      <c r="U127" s="1036"/>
      <c r="V127" s="1045"/>
      <c r="W127" s="1045"/>
      <c r="X127" s="1047"/>
      <c r="Y127" s="1048"/>
      <c r="Z127" s="1048"/>
      <c r="AA127" s="1048"/>
      <c r="AB127" s="1048"/>
      <c r="AC127" s="1048"/>
      <c r="AD127" s="1048"/>
      <c r="AE127" s="1048"/>
      <c r="AF127" s="1048"/>
      <c r="AG127" s="1048"/>
      <c r="AH127" s="1048"/>
      <c r="AI127" s="1048"/>
      <c r="AJ127" s="1048"/>
      <c r="AK127" s="1048"/>
      <c r="AL127" s="1048"/>
      <c r="AM127" s="1048"/>
      <c r="AN127" s="1048"/>
      <c r="AO127" s="1048"/>
      <c r="AP127" s="1048"/>
      <c r="AQ127" s="1049"/>
      <c r="AR127" s="1049"/>
      <c r="AS127" s="1049"/>
      <c r="AT127" s="1049"/>
      <c r="AU127" s="1049"/>
      <c r="AV127" s="1050"/>
      <c r="AW127" s="1050"/>
      <c r="AX127" s="1050"/>
      <c r="AY127" s="1050"/>
      <c r="AZ127" s="1050"/>
      <c r="BA127" s="1051"/>
      <c r="BB127" s="1052"/>
      <c r="BC127" s="1052"/>
      <c r="BD127" s="1052"/>
      <c r="BE127" s="1052"/>
      <c r="BF127" s="1052"/>
      <c r="BG127" s="1045"/>
      <c r="BH127" s="1036"/>
      <c r="BI127" s="1036"/>
      <c r="BJ127" s="1036"/>
      <c r="BK127" s="1036"/>
      <c r="BL127" s="1036"/>
      <c r="BM127" s="1036"/>
      <c r="BN127" s="1036"/>
      <c r="BO127" s="1036"/>
      <c r="BP127" s="1036"/>
      <c r="BQ127" s="1036"/>
      <c r="BR127" s="1036"/>
      <c r="BS127" s="1036"/>
      <c r="BT127" s="1036"/>
      <c r="BU127" s="1036"/>
      <c r="BV127" s="1036"/>
      <c r="BW127" s="1036"/>
      <c r="BX127" s="1036"/>
      <c r="BY127" s="1036"/>
      <c r="BZ127" s="1036"/>
      <c r="CA127" s="1036"/>
      <c r="CB127" s="1049"/>
      <c r="CC127" s="1032"/>
      <c r="CD127" s="1032"/>
      <c r="CE127" s="1032"/>
      <c r="CF127" s="1032"/>
      <c r="CG127" s="1032"/>
      <c r="CH127" s="1032"/>
      <c r="CI127" s="1032"/>
      <c r="CJ127" s="1032"/>
      <c r="CK127" s="1032"/>
      <c r="CL127" s="1032"/>
      <c r="CM127" s="1032"/>
      <c r="CN127" s="1032"/>
      <c r="CO127" s="1032"/>
      <c r="CP127" s="1032"/>
      <c r="CQ127" s="1032"/>
      <c r="CR127" s="1032"/>
      <c r="CS127" s="1032"/>
      <c r="CT127" s="1032"/>
      <c r="CU127" s="1032"/>
      <c r="CV127" s="1032"/>
      <c r="CW127" s="1032"/>
      <c r="CX127" s="1032"/>
      <c r="CY127" s="1032"/>
      <c r="CZ127" s="1032"/>
      <c r="DA127" s="1032"/>
      <c r="DB127" s="1032"/>
      <c r="DC127" s="1032"/>
      <c r="DD127" s="1032"/>
      <c r="DE127" s="1032"/>
      <c r="DF127" s="1032"/>
      <c r="DG127" s="1032"/>
      <c r="DH127" s="1032"/>
      <c r="DI127" s="1032"/>
      <c r="DJ127" s="1032"/>
      <c r="DK127" s="1032"/>
      <c r="DL127" s="1032"/>
      <c r="DM127" s="1032"/>
      <c r="DN127" s="1032"/>
      <c r="DO127" s="1032"/>
      <c r="DP127" s="1032"/>
      <c r="DQ127" s="1032"/>
      <c r="DR127" s="1032"/>
      <c r="DS127" s="1032"/>
      <c r="DT127" s="1032"/>
      <c r="DU127" s="1032"/>
      <c r="DV127" s="1032"/>
      <c r="DW127" s="1032"/>
      <c r="DX127" s="1032"/>
      <c r="DY127" s="1032"/>
      <c r="DZ127" s="1032"/>
      <c r="EA127" s="1032"/>
      <c r="EB127" s="1032"/>
      <c r="EC127" s="1032"/>
      <c r="ED127" s="1032"/>
      <c r="EE127" s="1032"/>
      <c r="EF127" s="1032"/>
      <c r="EG127" s="1032"/>
      <c r="EH127" s="1032"/>
      <c r="EI127" s="1032"/>
      <c r="EJ127" s="1032"/>
      <c r="EK127" s="1032"/>
      <c r="EL127" s="1032"/>
      <c r="EM127" s="1032"/>
      <c r="EN127" s="1032"/>
      <c r="EO127" s="1032"/>
      <c r="EP127" s="1032"/>
      <c r="EQ127" s="1032"/>
      <c r="ER127" s="1032"/>
      <c r="ES127" s="1032"/>
      <c r="ET127" s="1032"/>
      <c r="EU127" s="1032"/>
      <c r="EV127" s="1032"/>
      <c r="EW127" s="1032"/>
      <c r="EX127" s="1032"/>
      <c r="EY127" s="1032"/>
      <c r="EZ127" s="1032"/>
      <c r="FA127" s="1032"/>
      <c r="FB127" s="1032"/>
      <c r="FC127" s="1032"/>
      <c r="FD127" s="1032"/>
      <c r="FE127" s="1032"/>
      <c r="FF127" s="1032"/>
      <c r="FG127" s="1032"/>
      <c r="FH127" s="1032"/>
      <c r="FI127" s="1032"/>
      <c r="FJ127" s="1032"/>
      <c r="FK127" s="1032"/>
      <c r="FL127" s="1032"/>
      <c r="FM127" s="1032"/>
      <c r="FN127" s="1032"/>
      <c r="FO127" s="1032"/>
      <c r="FP127" s="1032"/>
      <c r="FQ127" s="1032"/>
      <c r="FR127" s="1032"/>
      <c r="FS127" s="1032"/>
      <c r="FT127" s="1032"/>
      <c r="FU127" s="1032"/>
      <c r="FV127" s="1032"/>
      <c r="FW127" s="1032"/>
      <c r="FX127" s="1032"/>
      <c r="FY127" s="1032"/>
      <c r="FZ127" s="1032"/>
      <c r="GA127" s="1032"/>
      <c r="GB127" s="1032"/>
      <c r="GC127" s="1032"/>
      <c r="GD127" s="1032"/>
      <c r="GE127" s="1032"/>
      <c r="GF127" s="1032"/>
      <c r="GG127" s="1032"/>
      <c r="GH127" s="1032"/>
      <c r="GI127" s="1032"/>
      <c r="GJ127" s="1032"/>
      <c r="GK127" s="1032"/>
      <c r="GL127" s="1032"/>
      <c r="GM127" s="1032"/>
      <c r="GN127" s="1032"/>
      <c r="GO127" s="1032"/>
      <c r="GP127" s="1032"/>
      <c r="GQ127" s="1032"/>
      <c r="GR127" s="1032"/>
      <c r="GS127" s="1032"/>
      <c r="GT127" s="1032"/>
      <c r="GU127" s="1032"/>
      <c r="GV127" s="1032"/>
      <c r="GW127" s="1032"/>
      <c r="GX127" s="1032"/>
      <c r="GY127" s="1032"/>
      <c r="GZ127" s="1032"/>
      <c r="HA127" s="1032"/>
      <c r="HB127" s="1032"/>
      <c r="HC127" s="1032"/>
      <c r="HD127" s="1032"/>
      <c r="HE127" s="1032"/>
      <c r="HF127" s="1032"/>
      <c r="HG127" s="1032"/>
      <c r="HH127" s="1032"/>
      <c r="HI127" s="1032"/>
      <c r="HJ127" s="1032"/>
      <c r="HK127" s="1032"/>
      <c r="HL127" s="1032"/>
      <c r="HM127" s="1032"/>
      <c r="HN127" s="1032"/>
      <c r="HO127" s="1032"/>
      <c r="HP127" s="1032"/>
      <c r="HQ127" s="1032"/>
      <c r="HR127" s="1032"/>
      <c r="HS127" s="1032"/>
      <c r="HT127" s="1032"/>
      <c r="HU127" s="1032"/>
      <c r="HV127" s="1032"/>
      <c r="HW127" s="1032"/>
      <c r="HX127" s="1032"/>
      <c r="HY127" s="1032"/>
      <c r="HZ127" s="1032"/>
      <c r="IA127" s="1032"/>
      <c r="IB127" s="1032"/>
      <c r="IC127" s="1032"/>
      <c r="ID127" s="1032"/>
      <c r="IE127" s="1032"/>
      <c r="IF127" s="1032"/>
      <c r="IG127" s="1032"/>
      <c r="IH127" s="1032"/>
      <c r="II127" s="1032"/>
      <c r="IJ127" s="1032"/>
      <c r="IK127" s="1032"/>
      <c r="IL127" s="1032"/>
      <c r="IM127" s="1032"/>
      <c r="IN127" s="1032"/>
      <c r="IO127" s="1032"/>
      <c r="IP127" s="1032"/>
      <c r="IQ127" s="1032"/>
      <c r="IR127" s="1032"/>
      <c r="IS127" s="1032"/>
      <c r="IT127" s="1032"/>
      <c r="IU127" s="1032"/>
      <c r="IV127" s="1032"/>
      <c r="IW127" s="1032"/>
      <c r="IX127" s="1032"/>
      <c r="IY127" s="1032"/>
      <c r="IZ127" s="1032"/>
      <c r="JA127" s="1032"/>
      <c r="JB127" s="1032"/>
      <c r="JC127" s="1032"/>
      <c r="JD127" s="1032"/>
      <c r="JE127" s="1032"/>
      <c r="JF127" s="1032"/>
      <c r="JG127" s="1032"/>
      <c r="JH127" s="1032"/>
      <c r="JI127" s="1032"/>
      <c r="JJ127" s="1032"/>
      <c r="JK127" s="1032"/>
      <c r="JL127" s="1032"/>
      <c r="JM127" s="1032"/>
      <c r="JN127" s="1032"/>
      <c r="JO127" s="1032"/>
      <c r="JP127" s="1032"/>
      <c r="JQ127" s="1032"/>
      <c r="JR127" s="1032"/>
      <c r="JS127" s="1032"/>
      <c r="JT127" s="1032"/>
      <c r="JU127" s="1032"/>
      <c r="JV127" s="1032"/>
      <c r="JW127" s="1032"/>
      <c r="JX127" s="1032"/>
      <c r="JY127" s="1032"/>
      <c r="JZ127" s="1032"/>
      <c r="KA127" s="1032"/>
      <c r="KB127" s="1032"/>
      <c r="KC127" s="1032"/>
      <c r="KD127" s="1032"/>
      <c r="KE127" s="1032"/>
      <c r="KF127" s="1032"/>
      <c r="KG127" s="1032"/>
      <c r="KH127" s="1032"/>
      <c r="KI127" s="1032"/>
      <c r="KJ127" s="1032"/>
      <c r="KK127" s="1032"/>
      <c r="KL127" s="1032"/>
      <c r="KM127" s="1032"/>
      <c r="KN127" s="1032"/>
      <c r="KO127" s="1032"/>
      <c r="KP127" s="1032"/>
      <c r="KQ127" s="1032"/>
      <c r="KR127" s="1032"/>
      <c r="KS127" s="1032"/>
      <c r="KT127" s="1032"/>
      <c r="KU127" s="1032"/>
      <c r="KV127" s="1032"/>
      <c r="KW127" s="1032"/>
      <c r="KX127" s="1032"/>
      <c r="KY127" s="1032"/>
      <c r="KZ127" s="1032"/>
      <c r="LA127" s="1032"/>
      <c r="LB127" s="1032"/>
      <c r="LC127" s="1032"/>
      <c r="LD127" s="1032"/>
      <c r="LE127" s="1032"/>
      <c r="LF127" s="1032"/>
      <c r="LG127" s="1032"/>
      <c r="LH127" s="1032"/>
      <c r="LI127" s="1032"/>
      <c r="LJ127" s="1032"/>
      <c r="LK127" s="1032"/>
      <c r="LL127" s="1032"/>
      <c r="LM127" s="1032"/>
      <c r="LN127" s="1032"/>
      <c r="LO127" s="1032"/>
      <c r="LP127" s="1032"/>
      <c r="LQ127" s="1032"/>
      <c r="LR127" s="1032"/>
      <c r="LS127" s="1032"/>
      <c r="LT127" s="1032"/>
      <c r="LU127" s="1032"/>
      <c r="LV127" s="1032"/>
      <c r="LW127" s="1032"/>
      <c r="LX127" s="1032"/>
      <c r="LY127" s="1032"/>
      <c r="LZ127" s="1032"/>
      <c r="MA127" s="1032"/>
      <c r="MB127" s="1032"/>
      <c r="MC127" s="1032"/>
      <c r="MD127" s="1032"/>
      <c r="ME127" s="1032"/>
      <c r="MF127" s="1032"/>
      <c r="MG127" s="1032"/>
      <c r="MH127" s="1032"/>
      <c r="MI127" s="1032"/>
      <c r="MJ127" s="1032"/>
      <c r="MK127" s="1032"/>
      <c r="ML127" s="1032"/>
      <c r="MM127" s="1032"/>
      <c r="MN127" s="1032"/>
      <c r="MO127" s="1032"/>
      <c r="MP127" s="1032"/>
      <c r="MQ127" s="1032"/>
      <c r="MR127" s="1032"/>
      <c r="MS127" s="1032"/>
      <c r="MT127" s="1032"/>
      <c r="MU127" s="1032"/>
      <c r="MV127" s="1032"/>
      <c r="MW127" s="1032"/>
      <c r="MX127" s="1032"/>
      <c r="MY127" s="1032"/>
      <c r="MZ127" s="1032"/>
      <c r="NA127" s="1032"/>
      <c r="NB127" s="1032"/>
      <c r="NC127" s="1032"/>
      <c r="ND127" s="1032"/>
      <c r="NE127" s="1032"/>
      <c r="NF127" s="1032"/>
      <c r="NG127" s="1032"/>
      <c r="NH127" s="1032"/>
      <c r="NI127" s="1032"/>
      <c r="NJ127" s="1032"/>
      <c r="NK127" s="1032"/>
      <c r="NL127" s="1032"/>
      <c r="NM127" s="1032"/>
      <c r="NN127" s="1032"/>
      <c r="NO127" s="1032"/>
      <c r="NP127" s="1032"/>
      <c r="NQ127" s="1032"/>
      <c r="NR127" s="1032"/>
      <c r="NS127" s="1032"/>
      <c r="NT127" s="1032"/>
      <c r="NU127" s="1032"/>
      <c r="NV127" s="1032"/>
      <c r="NW127" s="1032"/>
      <c r="NX127" s="1032"/>
      <c r="NY127" s="1032"/>
      <c r="NZ127" s="1032"/>
      <c r="OA127" s="1032"/>
      <c r="OB127" s="1032"/>
      <c r="OC127" s="1032"/>
      <c r="OD127" s="1032"/>
      <c r="OE127" s="1032"/>
      <c r="OF127" s="1032"/>
      <c r="OG127" s="1032"/>
      <c r="OH127" s="1032"/>
    </row>
    <row r="128" spans="1:398" s="13" customFormat="1" ht="69.95" customHeight="1">
      <c r="A128" s="1045"/>
      <c r="B128" s="1036"/>
      <c r="C128" s="1036"/>
      <c r="D128" s="1036"/>
      <c r="E128" s="1046"/>
      <c r="F128" s="1046"/>
      <c r="G128" s="1046"/>
      <c r="H128" s="1036"/>
      <c r="I128" s="1036"/>
      <c r="J128" s="1045"/>
      <c r="K128" s="1036"/>
      <c r="L128" s="1036"/>
      <c r="M128" s="1045"/>
      <c r="N128" s="1036"/>
      <c r="O128" s="1036"/>
      <c r="P128" s="1045"/>
      <c r="Q128" s="1036"/>
      <c r="R128" s="1036"/>
      <c r="S128" s="1045"/>
      <c r="T128" s="1036"/>
      <c r="U128" s="1036"/>
      <c r="V128" s="1045"/>
      <c r="W128" s="1045"/>
      <c r="X128" s="1047"/>
      <c r="Y128" s="1048"/>
      <c r="Z128" s="1048"/>
      <c r="AA128" s="1048"/>
      <c r="AB128" s="1048"/>
      <c r="AC128" s="1048"/>
      <c r="AD128" s="1048"/>
      <c r="AE128" s="1048"/>
      <c r="AF128" s="1048"/>
      <c r="AG128" s="1048"/>
      <c r="AH128" s="1048"/>
      <c r="AI128" s="1048"/>
      <c r="AJ128" s="1048"/>
      <c r="AK128" s="1048"/>
      <c r="AL128" s="1048"/>
      <c r="AM128" s="1048"/>
      <c r="AN128" s="1048"/>
      <c r="AO128" s="1048"/>
      <c r="AP128" s="1048"/>
      <c r="AQ128" s="1049"/>
      <c r="AR128" s="1049"/>
      <c r="AS128" s="1049"/>
      <c r="AT128" s="1049"/>
      <c r="AU128" s="1049"/>
      <c r="AV128" s="1050"/>
      <c r="AW128" s="1050"/>
      <c r="AX128" s="1050"/>
      <c r="AY128" s="1050"/>
      <c r="AZ128" s="1050"/>
      <c r="BA128" s="1051"/>
      <c r="BB128" s="1052"/>
      <c r="BC128" s="1052"/>
      <c r="BD128" s="1052"/>
      <c r="BE128" s="1052"/>
      <c r="BF128" s="1052"/>
      <c r="BG128" s="1045"/>
      <c r="BH128" s="1036"/>
      <c r="BI128" s="1036"/>
      <c r="BJ128" s="1036"/>
      <c r="BK128" s="1036"/>
      <c r="BL128" s="1036"/>
      <c r="BM128" s="1036"/>
      <c r="BN128" s="1036"/>
      <c r="BO128" s="1036"/>
      <c r="BP128" s="1036"/>
      <c r="BQ128" s="1036"/>
      <c r="BR128" s="1036"/>
      <c r="BS128" s="1036"/>
      <c r="BT128" s="1036"/>
      <c r="BU128" s="1036"/>
      <c r="BV128" s="1036"/>
      <c r="BW128" s="1036"/>
      <c r="BX128" s="1036"/>
      <c r="BY128" s="1036"/>
      <c r="BZ128" s="1036"/>
      <c r="CA128" s="1036"/>
      <c r="CB128" s="1049"/>
      <c r="CC128" s="1032"/>
      <c r="CD128" s="1032"/>
      <c r="CE128" s="1032"/>
      <c r="CF128" s="1032"/>
      <c r="CG128" s="1032"/>
      <c r="CH128" s="1032"/>
      <c r="CI128" s="1032"/>
      <c r="CJ128" s="1032"/>
      <c r="CK128" s="1032"/>
      <c r="CL128" s="1032"/>
      <c r="CM128" s="1032"/>
      <c r="CN128" s="1032"/>
      <c r="CO128" s="1032"/>
      <c r="CP128" s="1032"/>
      <c r="CQ128" s="1032"/>
      <c r="CR128" s="1032"/>
      <c r="CS128" s="1032"/>
      <c r="CT128" s="1032"/>
      <c r="CU128" s="1032"/>
      <c r="CV128" s="1032"/>
      <c r="CW128" s="1032"/>
      <c r="CX128" s="1032"/>
      <c r="CY128" s="1032"/>
      <c r="CZ128" s="1032"/>
      <c r="DA128" s="1032"/>
      <c r="DB128" s="1032"/>
      <c r="DC128" s="1032"/>
      <c r="DD128" s="1032"/>
      <c r="DE128" s="1032"/>
      <c r="DF128" s="1032"/>
      <c r="DG128" s="1032"/>
      <c r="DH128" s="1032"/>
      <c r="DI128" s="1032"/>
      <c r="DJ128" s="1032"/>
      <c r="DK128" s="1032"/>
      <c r="DL128" s="1032"/>
      <c r="DM128" s="1032"/>
      <c r="DN128" s="1032"/>
      <c r="DO128" s="1032"/>
      <c r="DP128" s="1032"/>
      <c r="DQ128" s="1032"/>
      <c r="DR128" s="1032"/>
      <c r="DS128" s="1032"/>
      <c r="DT128" s="1032"/>
      <c r="DU128" s="1032"/>
      <c r="DV128" s="1032"/>
      <c r="DW128" s="1032"/>
      <c r="DX128" s="1032"/>
      <c r="DY128" s="1032"/>
      <c r="DZ128" s="1032"/>
      <c r="EA128" s="1032"/>
      <c r="EB128" s="1032"/>
      <c r="EC128" s="1032"/>
      <c r="ED128" s="1032"/>
      <c r="EE128" s="1032"/>
      <c r="EF128" s="1032"/>
      <c r="EG128" s="1032"/>
      <c r="EH128" s="1032"/>
      <c r="EI128" s="1032"/>
      <c r="EJ128" s="1032"/>
      <c r="EK128" s="1032"/>
      <c r="EL128" s="1032"/>
      <c r="EM128" s="1032"/>
      <c r="EN128" s="1032"/>
      <c r="EO128" s="1032"/>
      <c r="EP128" s="1032"/>
      <c r="EQ128" s="1032"/>
      <c r="ER128" s="1032"/>
      <c r="ES128" s="1032"/>
      <c r="ET128" s="1032"/>
      <c r="EU128" s="1032"/>
      <c r="EV128" s="1032"/>
      <c r="EW128" s="1032"/>
      <c r="EX128" s="1032"/>
      <c r="EY128" s="1032"/>
      <c r="EZ128" s="1032"/>
      <c r="FA128" s="1032"/>
      <c r="FB128" s="1032"/>
      <c r="FC128" s="1032"/>
      <c r="FD128" s="1032"/>
      <c r="FE128" s="1032"/>
      <c r="FF128" s="1032"/>
      <c r="FG128" s="1032"/>
      <c r="FH128" s="1032"/>
      <c r="FI128" s="1032"/>
      <c r="FJ128" s="1032"/>
      <c r="FK128" s="1032"/>
      <c r="FL128" s="1032"/>
      <c r="FM128" s="1032"/>
      <c r="FN128" s="1032"/>
      <c r="FO128" s="1032"/>
      <c r="FP128" s="1032"/>
      <c r="FQ128" s="1032"/>
      <c r="FR128" s="1032"/>
      <c r="FS128" s="1032"/>
      <c r="FT128" s="1032"/>
      <c r="FU128" s="1032"/>
      <c r="FV128" s="1032"/>
      <c r="FW128" s="1032"/>
      <c r="FX128" s="1032"/>
      <c r="FY128" s="1032"/>
      <c r="FZ128" s="1032"/>
      <c r="GA128" s="1032"/>
      <c r="GB128" s="1032"/>
      <c r="GC128" s="1032"/>
      <c r="GD128" s="1032"/>
      <c r="GE128" s="1032"/>
      <c r="GF128" s="1032"/>
      <c r="GG128" s="1032"/>
      <c r="GH128" s="1032"/>
      <c r="GI128" s="1032"/>
      <c r="GJ128" s="1032"/>
      <c r="GK128" s="1032"/>
      <c r="GL128" s="1032"/>
      <c r="GM128" s="1032"/>
      <c r="GN128" s="1032"/>
      <c r="GO128" s="1032"/>
      <c r="GP128" s="1032"/>
      <c r="GQ128" s="1032"/>
      <c r="GR128" s="1032"/>
      <c r="GS128" s="1032"/>
      <c r="GT128" s="1032"/>
      <c r="GU128" s="1032"/>
      <c r="GV128" s="1032"/>
      <c r="GW128" s="1032"/>
      <c r="GX128" s="1032"/>
      <c r="GY128" s="1032"/>
      <c r="GZ128" s="1032"/>
      <c r="HA128" s="1032"/>
      <c r="HB128" s="1032"/>
      <c r="HC128" s="1032"/>
      <c r="HD128" s="1032"/>
      <c r="HE128" s="1032"/>
      <c r="HF128" s="1032"/>
      <c r="HG128" s="1032"/>
      <c r="HH128" s="1032"/>
      <c r="HI128" s="1032"/>
      <c r="HJ128" s="1032"/>
      <c r="HK128" s="1032"/>
      <c r="HL128" s="1032"/>
      <c r="HM128" s="1032"/>
      <c r="HN128" s="1032"/>
      <c r="HO128" s="1032"/>
      <c r="HP128" s="1032"/>
      <c r="HQ128" s="1032"/>
      <c r="HR128" s="1032"/>
      <c r="HS128" s="1032"/>
      <c r="HT128" s="1032"/>
      <c r="HU128" s="1032"/>
      <c r="HV128" s="1032"/>
      <c r="HW128" s="1032"/>
      <c r="HX128" s="1032"/>
      <c r="HY128" s="1032"/>
      <c r="HZ128" s="1032"/>
      <c r="IA128" s="1032"/>
      <c r="IB128" s="1032"/>
      <c r="IC128" s="1032"/>
      <c r="ID128" s="1032"/>
      <c r="IE128" s="1032"/>
      <c r="IF128" s="1032"/>
      <c r="IG128" s="1032"/>
      <c r="IH128" s="1032"/>
      <c r="II128" s="1032"/>
      <c r="IJ128" s="1032"/>
      <c r="IK128" s="1032"/>
      <c r="IL128" s="1032"/>
      <c r="IM128" s="1032"/>
      <c r="IN128" s="1032"/>
      <c r="IO128" s="1032"/>
      <c r="IP128" s="1032"/>
      <c r="IQ128" s="1032"/>
      <c r="IR128" s="1032"/>
      <c r="IS128" s="1032"/>
      <c r="IT128" s="1032"/>
      <c r="IU128" s="1032"/>
      <c r="IV128" s="1032"/>
      <c r="IW128" s="1032"/>
      <c r="IX128" s="1032"/>
      <c r="IY128" s="1032"/>
      <c r="IZ128" s="1032"/>
      <c r="JA128" s="1032"/>
      <c r="JB128" s="1032"/>
      <c r="JC128" s="1032"/>
      <c r="JD128" s="1032"/>
      <c r="JE128" s="1032"/>
      <c r="JF128" s="1032"/>
      <c r="JG128" s="1032"/>
      <c r="JH128" s="1032"/>
      <c r="JI128" s="1032"/>
      <c r="JJ128" s="1032"/>
      <c r="JK128" s="1032"/>
      <c r="JL128" s="1032"/>
      <c r="JM128" s="1032"/>
      <c r="JN128" s="1032"/>
      <c r="JO128" s="1032"/>
      <c r="JP128" s="1032"/>
      <c r="JQ128" s="1032"/>
      <c r="JR128" s="1032"/>
      <c r="JS128" s="1032"/>
      <c r="JT128" s="1032"/>
      <c r="JU128" s="1032"/>
      <c r="JV128" s="1032"/>
      <c r="JW128" s="1032"/>
      <c r="JX128" s="1032"/>
      <c r="JY128" s="1032"/>
      <c r="JZ128" s="1032"/>
      <c r="KA128" s="1032"/>
      <c r="KB128" s="1032"/>
      <c r="KC128" s="1032"/>
      <c r="KD128" s="1032"/>
      <c r="KE128" s="1032"/>
      <c r="KF128" s="1032"/>
      <c r="KG128" s="1032"/>
      <c r="KH128" s="1032"/>
      <c r="KI128" s="1032"/>
      <c r="KJ128" s="1032"/>
      <c r="KK128" s="1032"/>
      <c r="KL128" s="1032"/>
      <c r="KM128" s="1032"/>
      <c r="KN128" s="1032"/>
      <c r="KO128" s="1032"/>
      <c r="KP128" s="1032"/>
      <c r="KQ128" s="1032"/>
      <c r="KR128" s="1032"/>
      <c r="KS128" s="1032"/>
      <c r="KT128" s="1032"/>
      <c r="KU128" s="1032"/>
      <c r="KV128" s="1032"/>
      <c r="KW128" s="1032"/>
      <c r="KX128" s="1032"/>
      <c r="KY128" s="1032"/>
      <c r="KZ128" s="1032"/>
      <c r="LA128" s="1032"/>
      <c r="LB128" s="1032"/>
      <c r="LC128" s="1032"/>
      <c r="LD128" s="1032"/>
      <c r="LE128" s="1032"/>
      <c r="LF128" s="1032"/>
      <c r="LG128" s="1032"/>
      <c r="LH128" s="1032"/>
      <c r="LI128" s="1032"/>
      <c r="LJ128" s="1032"/>
      <c r="LK128" s="1032"/>
      <c r="LL128" s="1032"/>
      <c r="LM128" s="1032"/>
      <c r="LN128" s="1032"/>
      <c r="LO128" s="1032"/>
      <c r="LP128" s="1032"/>
      <c r="LQ128" s="1032"/>
      <c r="LR128" s="1032"/>
      <c r="LS128" s="1032"/>
      <c r="LT128" s="1032"/>
      <c r="LU128" s="1032"/>
      <c r="LV128" s="1032"/>
      <c r="LW128" s="1032"/>
      <c r="LX128" s="1032"/>
      <c r="LY128" s="1032"/>
      <c r="LZ128" s="1032"/>
      <c r="MA128" s="1032"/>
      <c r="MB128" s="1032"/>
      <c r="MC128" s="1032"/>
      <c r="MD128" s="1032"/>
      <c r="ME128" s="1032"/>
      <c r="MF128" s="1032"/>
      <c r="MG128" s="1032"/>
      <c r="MH128" s="1032"/>
      <c r="MI128" s="1032"/>
      <c r="MJ128" s="1032"/>
      <c r="MK128" s="1032"/>
      <c r="ML128" s="1032"/>
      <c r="MM128" s="1032"/>
      <c r="MN128" s="1032"/>
      <c r="MO128" s="1032"/>
      <c r="MP128" s="1032"/>
      <c r="MQ128" s="1032"/>
      <c r="MR128" s="1032"/>
      <c r="MS128" s="1032"/>
      <c r="MT128" s="1032"/>
      <c r="MU128" s="1032"/>
      <c r="MV128" s="1032"/>
      <c r="MW128" s="1032"/>
      <c r="MX128" s="1032"/>
      <c r="MY128" s="1032"/>
      <c r="MZ128" s="1032"/>
      <c r="NA128" s="1032"/>
      <c r="NB128" s="1032"/>
      <c r="NC128" s="1032"/>
      <c r="ND128" s="1032"/>
      <c r="NE128" s="1032"/>
      <c r="NF128" s="1032"/>
      <c r="NG128" s="1032"/>
      <c r="NH128" s="1032"/>
      <c r="NI128" s="1032"/>
      <c r="NJ128" s="1032"/>
      <c r="NK128" s="1032"/>
      <c r="NL128" s="1032"/>
      <c r="NM128" s="1032"/>
      <c r="NN128" s="1032"/>
      <c r="NO128" s="1032"/>
      <c r="NP128" s="1032"/>
      <c r="NQ128" s="1032"/>
      <c r="NR128" s="1032"/>
      <c r="NS128" s="1032"/>
      <c r="NT128" s="1032"/>
      <c r="NU128" s="1032"/>
      <c r="NV128" s="1032"/>
      <c r="NW128" s="1032"/>
      <c r="NX128" s="1032"/>
      <c r="NY128" s="1032"/>
      <c r="NZ128" s="1032"/>
      <c r="OA128" s="1032"/>
      <c r="OB128" s="1032"/>
      <c r="OC128" s="1032"/>
      <c r="OD128" s="1032"/>
      <c r="OE128" s="1032"/>
      <c r="OF128" s="1032"/>
      <c r="OG128" s="1032"/>
      <c r="OH128" s="1032"/>
    </row>
    <row r="129" spans="1:398" s="25" customFormat="1" ht="69.95" customHeight="1">
      <c r="A129" s="1045"/>
      <c r="B129" s="1036"/>
      <c r="C129" s="1036"/>
      <c r="D129" s="1036"/>
      <c r="E129" s="1046"/>
      <c r="F129" s="1046"/>
      <c r="G129" s="1046"/>
      <c r="H129" s="1036"/>
      <c r="I129" s="1036"/>
      <c r="J129" s="1045"/>
      <c r="K129" s="1036"/>
      <c r="L129" s="1036"/>
      <c r="M129" s="1045"/>
      <c r="N129" s="1036"/>
      <c r="O129" s="1036"/>
      <c r="P129" s="1045"/>
      <c r="Q129" s="1036"/>
      <c r="R129" s="1036"/>
      <c r="S129" s="1045"/>
      <c r="T129" s="1036"/>
      <c r="U129" s="1036"/>
      <c r="V129" s="1045"/>
      <c r="W129" s="1045"/>
      <c r="X129" s="1047"/>
      <c r="Y129" s="1048"/>
      <c r="Z129" s="1048"/>
      <c r="AA129" s="1048"/>
      <c r="AB129" s="1048"/>
      <c r="AC129" s="1048"/>
      <c r="AD129" s="1048"/>
      <c r="AE129" s="1048"/>
      <c r="AF129" s="1048"/>
      <c r="AG129" s="1048"/>
      <c r="AH129" s="1048"/>
      <c r="AI129" s="1048"/>
      <c r="AJ129" s="1048"/>
      <c r="AK129" s="1048"/>
      <c r="AL129" s="1048"/>
      <c r="AM129" s="1048"/>
      <c r="AN129" s="1048"/>
      <c r="AO129" s="1048"/>
      <c r="AP129" s="1048"/>
      <c r="AQ129" s="1049"/>
      <c r="AR129" s="1049"/>
      <c r="AS129" s="1049"/>
      <c r="AT129" s="1049"/>
      <c r="AU129" s="1049"/>
      <c r="AV129" s="1050"/>
      <c r="AW129" s="1050"/>
      <c r="AX129" s="1050"/>
      <c r="AY129" s="1050"/>
      <c r="AZ129" s="1050"/>
      <c r="BA129" s="1051"/>
      <c r="BB129" s="1052"/>
      <c r="BC129" s="1052"/>
      <c r="BD129" s="1052"/>
      <c r="BE129" s="1052"/>
      <c r="BF129" s="1052"/>
      <c r="BG129" s="1045"/>
      <c r="BH129" s="1036"/>
      <c r="BI129" s="1036"/>
      <c r="BJ129" s="1036"/>
      <c r="BK129" s="1036"/>
      <c r="BL129" s="1036"/>
      <c r="BM129" s="1036"/>
      <c r="BN129" s="1036"/>
      <c r="BO129" s="1036"/>
      <c r="BP129" s="1036"/>
      <c r="BQ129" s="1036"/>
      <c r="BR129" s="1036"/>
      <c r="BS129" s="1036"/>
      <c r="BT129" s="1036"/>
      <c r="BU129" s="1036"/>
      <c r="BV129" s="1036"/>
      <c r="BW129" s="1036"/>
      <c r="BX129" s="1036"/>
      <c r="BY129" s="1036"/>
      <c r="BZ129" s="1036"/>
      <c r="CA129" s="1036"/>
      <c r="CB129" s="1049"/>
      <c r="CC129" s="1032"/>
      <c r="CD129" s="1032"/>
      <c r="CE129" s="1032"/>
      <c r="CF129" s="1032"/>
      <c r="CG129" s="1032"/>
      <c r="CH129" s="1032"/>
      <c r="CI129" s="1032"/>
      <c r="CJ129" s="1032"/>
      <c r="CK129" s="1032"/>
      <c r="CL129" s="1032"/>
      <c r="CM129" s="1032"/>
      <c r="CN129" s="1032"/>
      <c r="CO129" s="1032"/>
      <c r="CP129" s="1032"/>
      <c r="CQ129" s="1032"/>
      <c r="CR129" s="1032"/>
      <c r="CS129" s="1032"/>
      <c r="CT129" s="1032"/>
      <c r="CU129" s="1032"/>
      <c r="CV129" s="1032"/>
      <c r="CW129" s="1032"/>
      <c r="CX129" s="1032"/>
      <c r="CY129" s="1032"/>
      <c r="CZ129" s="1032"/>
      <c r="DA129" s="1032"/>
      <c r="DB129" s="1032"/>
      <c r="DC129" s="1032"/>
      <c r="DD129" s="1032"/>
      <c r="DE129" s="1032"/>
      <c r="DF129" s="1032"/>
      <c r="DG129" s="1032"/>
      <c r="DH129" s="1032"/>
      <c r="DI129" s="1032"/>
      <c r="DJ129" s="1032"/>
      <c r="DK129" s="1032"/>
      <c r="DL129" s="1032"/>
      <c r="DM129" s="1032"/>
      <c r="DN129" s="1032"/>
      <c r="DO129" s="1032"/>
      <c r="DP129" s="1032"/>
      <c r="DQ129" s="1032"/>
      <c r="DR129" s="1032"/>
      <c r="DS129" s="1032"/>
      <c r="DT129" s="1032"/>
      <c r="DU129" s="1032"/>
      <c r="DV129" s="1032"/>
      <c r="DW129" s="1032"/>
      <c r="DX129" s="1032"/>
      <c r="DY129" s="1032"/>
      <c r="DZ129" s="1032"/>
      <c r="EA129" s="1032"/>
      <c r="EB129" s="1032"/>
      <c r="EC129" s="1032"/>
      <c r="ED129" s="1032"/>
      <c r="EE129" s="1032"/>
      <c r="EF129" s="1032"/>
      <c r="EG129" s="1032"/>
      <c r="EH129" s="1032"/>
      <c r="EI129" s="1032"/>
      <c r="EJ129" s="1032"/>
      <c r="EK129" s="1032"/>
      <c r="EL129" s="1032"/>
      <c r="EM129" s="1032"/>
      <c r="EN129" s="1032"/>
      <c r="EO129" s="1032"/>
      <c r="EP129" s="1032"/>
      <c r="EQ129" s="1032"/>
      <c r="ER129" s="1032"/>
      <c r="ES129" s="1032"/>
      <c r="ET129" s="1032"/>
      <c r="EU129" s="1032"/>
      <c r="EV129" s="1032"/>
      <c r="EW129" s="1032"/>
      <c r="EX129" s="1032"/>
      <c r="EY129" s="1032"/>
      <c r="EZ129" s="1032"/>
      <c r="FA129" s="1032"/>
      <c r="FB129" s="1032"/>
      <c r="FC129" s="1032"/>
      <c r="FD129" s="1032"/>
      <c r="FE129" s="1032"/>
      <c r="FF129" s="1032"/>
      <c r="FG129" s="1032"/>
      <c r="FH129" s="1032"/>
      <c r="FI129" s="1032"/>
      <c r="FJ129" s="1032"/>
      <c r="FK129" s="1032"/>
      <c r="FL129" s="1032"/>
      <c r="FM129" s="1032"/>
      <c r="FN129" s="1032"/>
      <c r="FO129" s="1032"/>
      <c r="FP129" s="1032"/>
      <c r="FQ129" s="1032"/>
      <c r="FR129" s="1032"/>
      <c r="FS129" s="1032"/>
      <c r="FT129" s="1032"/>
      <c r="FU129" s="1032"/>
      <c r="FV129" s="1032"/>
      <c r="FW129" s="1032"/>
      <c r="FX129" s="1032"/>
      <c r="FY129" s="1032"/>
      <c r="FZ129" s="1032"/>
      <c r="GA129" s="1032"/>
      <c r="GB129" s="1032"/>
      <c r="GC129" s="1032"/>
      <c r="GD129" s="1032"/>
      <c r="GE129" s="1032"/>
      <c r="GF129" s="1032"/>
      <c r="GG129" s="1032"/>
      <c r="GH129" s="1032"/>
      <c r="GI129" s="1032"/>
      <c r="GJ129" s="1032"/>
      <c r="GK129" s="1032"/>
      <c r="GL129" s="1032"/>
      <c r="GM129" s="1032"/>
      <c r="GN129" s="1032"/>
      <c r="GO129" s="1032"/>
      <c r="GP129" s="1032"/>
      <c r="GQ129" s="1032"/>
      <c r="GR129" s="1032"/>
      <c r="GS129" s="1032"/>
      <c r="GT129" s="1032"/>
      <c r="GU129" s="1032"/>
      <c r="GV129" s="1032"/>
      <c r="GW129" s="1032"/>
      <c r="GX129" s="1032"/>
      <c r="GY129" s="1032"/>
      <c r="GZ129" s="1032"/>
      <c r="HA129" s="1032"/>
      <c r="HB129" s="1032"/>
      <c r="HC129" s="1032"/>
      <c r="HD129" s="1032"/>
      <c r="HE129" s="1032"/>
      <c r="HF129" s="1032"/>
      <c r="HG129" s="1032"/>
      <c r="HH129" s="1032"/>
      <c r="HI129" s="1032"/>
      <c r="HJ129" s="1032"/>
      <c r="HK129" s="1032"/>
      <c r="HL129" s="1032"/>
      <c r="HM129" s="1032"/>
      <c r="HN129" s="1032"/>
      <c r="HO129" s="1032"/>
      <c r="HP129" s="1032"/>
      <c r="HQ129" s="1032"/>
      <c r="HR129" s="1032"/>
      <c r="HS129" s="1032"/>
      <c r="HT129" s="1032"/>
      <c r="HU129" s="1032"/>
      <c r="HV129" s="1032"/>
      <c r="HW129" s="1032"/>
      <c r="HX129" s="1032"/>
      <c r="HY129" s="1032"/>
      <c r="HZ129" s="1032"/>
      <c r="IA129" s="1032"/>
      <c r="IB129" s="1032"/>
      <c r="IC129" s="1032"/>
      <c r="ID129" s="1032"/>
      <c r="IE129" s="1032"/>
      <c r="IF129" s="1032"/>
      <c r="IG129" s="1032"/>
      <c r="IH129" s="1032"/>
      <c r="II129" s="1032"/>
      <c r="IJ129" s="1032"/>
      <c r="IK129" s="1032"/>
      <c r="IL129" s="1032"/>
      <c r="IM129" s="1032"/>
      <c r="IN129" s="1032"/>
      <c r="IO129" s="1032"/>
      <c r="IP129" s="1032"/>
      <c r="IQ129" s="1032"/>
      <c r="IR129" s="1032"/>
      <c r="IS129" s="1032"/>
      <c r="IT129" s="1032"/>
      <c r="IU129" s="1032"/>
      <c r="IV129" s="1032"/>
      <c r="IW129" s="1032"/>
      <c r="IX129" s="1032"/>
      <c r="IY129" s="1032"/>
      <c r="IZ129" s="1032"/>
      <c r="JA129" s="1032"/>
      <c r="JB129" s="1032"/>
      <c r="JC129" s="1032"/>
      <c r="JD129" s="1032"/>
      <c r="JE129" s="1032"/>
      <c r="JF129" s="1032"/>
      <c r="JG129" s="1032"/>
      <c r="JH129" s="1032"/>
      <c r="JI129" s="1032"/>
      <c r="JJ129" s="1032"/>
      <c r="JK129" s="1032"/>
      <c r="JL129" s="1032"/>
      <c r="JM129" s="1032"/>
      <c r="JN129" s="1032"/>
      <c r="JO129" s="1032"/>
      <c r="JP129" s="1032"/>
      <c r="JQ129" s="1032"/>
      <c r="JR129" s="1032"/>
      <c r="JS129" s="1032"/>
      <c r="JT129" s="1032"/>
      <c r="JU129" s="1032"/>
      <c r="JV129" s="1032"/>
      <c r="JW129" s="1032"/>
      <c r="JX129" s="1032"/>
      <c r="JY129" s="1032"/>
      <c r="JZ129" s="1032"/>
      <c r="KA129" s="1032"/>
      <c r="KB129" s="1032"/>
      <c r="KC129" s="1032"/>
      <c r="KD129" s="1032"/>
      <c r="KE129" s="1032"/>
      <c r="KF129" s="1032"/>
      <c r="KG129" s="1032"/>
      <c r="KH129" s="1032"/>
      <c r="KI129" s="1032"/>
      <c r="KJ129" s="1032"/>
      <c r="KK129" s="1032"/>
      <c r="KL129" s="1032"/>
      <c r="KM129" s="1032"/>
      <c r="KN129" s="1032"/>
      <c r="KO129" s="1032"/>
      <c r="KP129" s="1032"/>
      <c r="KQ129" s="1032"/>
      <c r="KR129" s="1032"/>
      <c r="KS129" s="1032"/>
      <c r="KT129" s="1032"/>
      <c r="KU129" s="1032"/>
      <c r="KV129" s="1032"/>
      <c r="KW129" s="1032"/>
      <c r="KX129" s="1032"/>
      <c r="KY129" s="1032"/>
      <c r="KZ129" s="1032"/>
      <c r="LA129" s="1032"/>
      <c r="LB129" s="1032"/>
      <c r="LC129" s="1032"/>
      <c r="LD129" s="1032"/>
      <c r="LE129" s="1032"/>
      <c r="LF129" s="1032"/>
      <c r="LG129" s="1032"/>
      <c r="LH129" s="1032"/>
      <c r="LI129" s="1032"/>
      <c r="LJ129" s="1032"/>
      <c r="LK129" s="1032"/>
      <c r="LL129" s="1032"/>
      <c r="LM129" s="1032"/>
      <c r="LN129" s="1032"/>
      <c r="LO129" s="1032"/>
      <c r="LP129" s="1032"/>
      <c r="LQ129" s="1032"/>
      <c r="LR129" s="1032"/>
      <c r="LS129" s="1032"/>
      <c r="LT129" s="1032"/>
      <c r="LU129" s="1032"/>
      <c r="LV129" s="1032"/>
      <c r="LW129" s="1032"/>
      <c r="LX129" s="1032"/>
      <c r="LY129" s="1032"/>
      <c r="LZ129" s="1032"/>
      <c r="MA129" s="1032"/>
      <c r="MB129" s="1032"/>
      <c r="MC129" s="1032"/>
      <c r="MD129" s="1032"/>
      <c r="ME129" s="1032"/>
      <c r="MF129" s="1032"/>
      <c r="MG129" s="1032"/>
      <c r="MH129" s="1032"/>
      <c r="MI129" s="1032"/>
      <c r="MJ129" s="1032"/>
      <c r="MK129" s="1032"/>
      <c r="ML129" s="1032"/>
      <c r="MM129" s="1032"/>
      <c r="MN129" s="1032"/>
      <c r="MO129" s="1032"/>
      <c r="MP129" s="1032"/>
      <c r="MQ129" s="1032"/>
      <c r="MR129" s="1032"/>
      <c r="MS129" s="1032"/>
      <c r="MT129" s="1032"/>
      <c r="MU129" s="1032"/>
      <c r="MV129" s="1032"/>
      <c r="MW129" s="1032"/>
      <c r="MX129" s="1032"/>
      <c r="MY129" s="1032"/>
      <c r="MZ129" s="1032"/>
      <c r="NA129" s="1032"/>
      <c r="NB129" s="1032"/>
      <c r="NC129" s="1032"/>
      <c r="ND129" s="1032"/>
      <c r="NE129" s="1032"/>
      <c r="NF129" s="1032"/>
      <c r="NG129" s="1032"/>
      <c r="NH129" s="1032"/>
      <c r="NI129" s="1032"/>
      <c r="NJ129" s="1032"/>
      <c r="NK129" s="1032"/>
      <c r="NL129" s="1032"/>
      <c r="NM129" s="1032"/>
      <c r="NN129" s="1032"/>
      <c r="NO129" s="1032"/>
      <c r="NP129" s="1032"/>
      <c r="NQ129" s="1032"/>
      <c r="NR129" s="1032"/>
      <c r="NS129" s="1032"/>
      <c r="NT129" s="1032"/>
      <c r="NU129" s="1032"/>
      <c r="NV129" s="1032"/>
      <c r="NW129" s="1032"/>
      <c r="NX129" s="1032"/>
      <c r="NY129" s="1032"/>
      <c r="NZ129" s="1032"/>
      <c r="OA129" s="1032"/>
      <c r="OB129" s="1032"/>
      <c r="OC129" s="1032"/>
      <c r="OD129" s="1032"/>
      <c r="OE129" s="1032"/>
      <c r="OF129" s="1032"/>
      <c r="OG129" s="1032"/>
      <c r="OH129" s="1032"/>
    </row>
    <row r="130" spans="1:398" s="13" customFormat="1" ht="69.95" customHeight="1">
      <c r="A130" s="1045"/>
      <c r="B130" s="1036"/>
      <c r="C130" s="1036"/>
      <c r="D130" s="1036"/>
      <c r="E130" s="1054"/>
      <c r="F130" s="1054"/>
      <c r="G130" s="1054"/>
      <c r="H130" s="1036"/>
      <c r="I130" s="1036"/>
      <c r="J130" s="1045"/>
      <c r="K130" s="1036"/>
      <c r="L130" s="1036"/>
      <c r="M130" s="1045"/>
      <c r="N130" s="1036"/>
      <c r="O130" s="1036"/>
      <c r="P130" s="1045"/>
      <c r="Q130" s="1036"/>
      <c r="R130" s="1036"/>
      <c r="S130" s="1045"/>
      <c r="T130" s="1036"/>
      <c r="U130" s="1036"/>
      <c r="V130" s="1045"/>
      <c r="W130" s="1045"/>
      <c r="X130" s="1047"/>
      <c r="Y130" s="1048"/>
      <c r="Z130" s="1048"/>
      <c r="AA130" s="1048"/>
      <c r="AB130" s="1048"/>
      <c r="AC130" s="1048"/>
      <c r="AD130" s="1048"/>
      <c r="AE130" s="1048"/>
      <c r="AF130" s="1048"/>
      <c r="AG130" s="1048"/>
      <c r="AH130" s="1048"/>
      <c r="AI130" s="1048"/>
      <c r="AJ130" s="1048"/>
      <c r="AK130" s="1048"/>
      <c r="AL130" s="1048"/>
      <c r="AM130" s="1048"/>
      <c r="AN130" s="1048"/>
      <c r="AO130" s="1048"/>
      <c r="AP130" s="1048"/>
      <c r="AQ130" s="1049"/>
      <c r="AR130" s="1049"/>
      <c r="AS130" s="1049"/>
      <c r="AT130" s="1049"/>
      <c r="AU130" s="1049"/>
      <c r="AV130" s="1050"/>
      <c r="AW130" s="1050"/>
      <c r="AX130" s="1050"/>
      <c r="AY130" s="1050"/>
      <c r="AZ130" s="1050"/>
      <c r="BA130" s="1051"/>
      <c r="BB130" s="1052"/>
      <c r="BC130" s="1052"/>
      <c r="BD130" s="1052"/>
      <c r="BE130" s="1052"/>
      <c r="BF130" s="1052"/>
      <c r="BG130" s="1045"/>
      <c r="BH130" s="1036"/>
      <c r="BI130" s="1036"/>
      <c r="BJ130" s="1036"/>
      <c r="BK130" s="1036"/>
      <c r="BL130" s="1036"/>
      <c r="BM130" s="1036"/>
      <c r="BN130" s="1036"/>
      <c r="BO130" s="1036"/>
      <c r="BP130" s="1036"/>
      <c r="BQ130" s="1036"/>
      <c r="BR130" s="1036"/>
      <c r="BS130" s="1036"/>
      <c r="BT130" s="1036"/>
      <c r="BU130" s="1036"/>
      <c r="BV130" s="1036"/>
      <c r="BW130" s="1036"/>
      <c r="BX130" s="1036"/>
      <c r="BY130" s="1036"/>
      <c r="BZ130" s="1036"/>
      <c r="CA130" s="1036"/>
      <c r="CB130" s="1049"/>
      <c r="CC130" s="1032"/>
      <c r="CD130" s="1032"/>
      <c r="CE130" s="1032"/>
      <c r="CF130" s="1032"/>
      <c r="CG130" s="1032"/>
      <c r="CH130" s="1032"/>
      <c r="CI130" s="1032"/>
      <c r="CJ130" s="1032"/>
      <c r="CK130" s="1032"/>
      <c r="CL130" s="1032"/>
      <c r="CM130" s="1032"/>
      <c r="CN130" s="1032"/>
      <c r="CO130" s="1032"/>
      <c r="CP130" s="1032"/>
      <c r="CQ130" s="1032"/>
      <c r="CR130" s="1032"/>
      <c r="CS130" s="1032"/>
      <c r="CT130" s="1032"/>
      <c r="CU130" s="1032"/>
      <c r="CV130" s="1032"/>
      <c r="CW130" s="1032"/>
      <c r="CX130" s="1032"/>
      <c r="CY130" s="1032"/>
      <c r="CZ130" s="1032"/>
      <c r="DA130" s="1032"/>
      <c r="DB130" s="1032"/>
      <c r="DC130" s="1032"/>
      <c r="DD130" s="1032"/>
      <c r="DE130" s="1032"/>
      <c r="DF130" s="1032"/>
      <c r="DG130" s="1032"/>
      <c r="DH130" s="1032"/>
      <c r="DI130" s="1032"/>
      <c r="DJ130" s="1032"/>
      <c r="DK130" s="1032"/>
      <c r="DL130" s="1032"/>
      <c r="DM130" s="1032"/>
      <c r="DN130" s="1032"/>
      <c r="DO130" s="1032"/>
      <c r="DP130" s="1032"/>
      <c r="DQ130" s="1032"/>
      <c r="DR130" s="1032"/>
      <c r="DS130" s="1032"/>
      <c r="DT130" s="1032"/>
      <c r="DU130" s="1032"/>
      <c r="DV130" s="1032"/>
      <c r="DW130" s="1032"/>
      <c r="DX130" s="1032"/>
      <c r="DY130" s="1032"/>
      <c r="DZ130" s="1032"/>
      <c r="EA130" s="1032"/>
      <c r="EB130" s="1032"/>
      <c r="EC130" s="1032"/>
      <c r="ED130" s="1032"/>
      <c r="EE130" s="1032"/>
      <c r="EF130" s="1032"/>
      <c r="EG130" s="1032"/>
      <c r="EH130" s="1032"/>
      <c r="EI130" s="1032"/>
      <c r="EJ130" s="1032"/>
      <c r="EK130" s="1032"/>
      <c r="EL130" s="1032"/>
      <c r="EM130" s="1032"/>
      <c r="EN130" s="1032"/>
      <c r="EO130" s="1032"/>
      <c r="EP130" s="1032"/>
      <c r="EQ130" s="1032"/>
      <c r="ER130" s="1032"/>
      <c r="ES130" s="1032"/>
      <c r="ET130" s="1032"/>
      <c r="EU130" s="1032"/>
      <c r="EV130" s="1032"/>
      <c r="EW130" s="1032"/>
      <c r="EX130" s="1032"/>
      <c r="EY130" s="1032"/>
      <c r="EZ130" s="1032"/>
      <c r="FA130" s="1032"/>
      <c r="FB130" s="1032"/>
      <c r="FC130" s="1032"/>
      <c r="FD130" s="1032"/>
      <c r="FE130" s="1032"/>
      <c r="FF130" s="1032"/>
      <c r="FG130" s="1032"/>
      <c r="FH130" s="1032"/>
      <c r="FI130" s="1032"/>
      <c r="FJ130" s="1032"/>
      <c r="FK130" s="1032"/>
      <c r="FL130" s="1032"/>
      <c r="FM130" s="1032"/>
      <c r="FN130" s="1032"/>
      <c r="FO130" s="1032"/>
      <c r="FP130" s="1032"/>
      <c r="FQ130" s="1032"/>
      <c r="FR130" s="1032"/>
      <c r="FS130" s="1032"/>
      <c r="FT130" s="1032"/>
      <c r="FU130" s="1032"/>
      <c r="FV130" s="1032"/>
      <c r="FW130" s="1032"/>
      <c r="FX130" s="1032"/>
      <c r="FY130" s="1032"/>
      <c r="FZ130" s="1032"/>
      <c r="GA130" s="1032"/>
      <c r="GB130" s="1032"/>
      <c r="GC130" s="1032"/>
      <c r="GD130" s="1032"/>
      <c r="GE130" s="1032"/>
      <c r="GF130" s="1032"/>
      <c r="GG130" s="1032"/>
      <c r="GH130" s="1032"/>
      <c r="GI130" s="1032"/>
      <c r="GJ130" s="1032"/>
      <c r="GK130" s="1032"/>
      <c r="GL130" s="1032"/>
      <c r="GM130" s="1032"/>
      <c r="GN130" s="1032"/>
      <c r="GO130" s="1032"/>
      <c r="GP130" s="1032"/>
      <c r="GQ130" s="1032"/>
      <c r="GR130" s="1032"/>
      <c r="GS130" s="1032"/>
      <c r="GT130" s="1032"/>
      <c r="GU130" s="1032"/>
      <c r="GV130" s="1032"/>
      <c r="GW130" s="1032"/>
      <c r="GX130" s="1032"/>
      <c r="GY130" s="1032"/>
      <c r="GZ130" s="1032"/>
      <c r="HA130" s="1032"/>
      <c r="HB130" s="1032"/>
      <c r="HC130" s="1032"/>
      <c r="HD130" s="1032"/>
      <c r="HE130" s="1032"/>
      <c r="HF130" s="1032"/>
      <c r="HG130" s="1032"/>
      <c r="HH130" s="1032"/>
      <c r="HI130" s="1032"/>
      <c r="HJ130" s="1032"/>
      <c r="HK130" s="1032"/>
      <c r="HL130" s="1032"/>
      <c r="HM130" s="1032"/>
      <c r="HN130" s="1032"/>
      <c r="HO130" s="1032"/>
      <c r="HP130" s="1032"/>
      <c r="HQ130" s="1032"/>
      <c r="HR130" s="1032"/>
      <c r="HS130" s="1032"/>
      <c r="HT130" s="1032"/>
      <c r="HU130" s="1032"/>
      <c r="HV130" s="1032"/>
      <c r="HW130" s="1032"/>
      <c r="HX130" s="1032"/>
      <c r="HY130" s="1032"/>
      <c r="HZ130" s="1032"/>
      <c r="IA130" s="1032"/>
      <c r="IB130" s="1032"/>
      <c r="IC130" s="1032"/>
      <c r="ID130" s="1032"/>
      <c r="IE130" s="1032"/>
      <c r="IF130" s="1032"/>
      <c r="IG130" s="1032"/>
      <c r="IH130" s="1032"/>
      <c r="II130" s="1032"/>
      <c r="IJ130" s="1032"/>
      <c r="IK130" s="1032"/>
      <c r="IL130" s="1032"/>
      <c r="IM130" s="1032"/>
      <c r="IN130" s="1032"/>
      <c r="IO130" s="1032"/>
      <c r="IP130" s="1032"/>
      <c r="IQ130" s="1032"/>
      <c r="IR130" s="1032"/>
      <c r="IS130" s="1032"/>
      <c r="IT130" s="1032"/>
      <c r="IU130" s="1032"/>
      <c r="IV130" s="1032"/>
      <c r="IW130" s="1032"/>
      <c r="IX130" s="1032"/>
      <c r="IY130" s="1032"/>
      <c r="IZ130" s="1032"/>
      <c r="JA130" s="1032"/>
      <c r="JB130" s="1032"/>
      <c r="JC130" s="1032"/>
      <c r="JD130" s="1032"/>
      <c r="JE130" s="1032"/>
      <c r="JF130" s="1032"/>
      <c r="JG130" s="1032"/>
      <c r="JH130" s="1032"/>
      <c r="JI130" s="1032"/>
      <c r="JJ130" s="1032"/>
      <c r="JK130" s="1032"/>
      <c r="JL130" s="1032"/>
      <c r="JM130" s="1032"/>
      <c r="JN130" s="1032"/>
      <c r="JO130" s="1032"/>
      <c r="JP130" s="1032"/>
      <c r="JQ130" s="1032"/>
      <c r="JR130" s="1032"/>
      <c r="JS130" s="1032"/>
      <c r="JT130" s="1032"/>
      <c r="JU130" s="1032"/>
      <c r="JV130" s="1032"/>
      <c r="JW130" s="1032"/>
      <c r="JX130" s="1032"/>
      <c r="JY130" s="1032"/>
      <c r="JZ130" s="1032"/>
      <c r="KA130" s="1032"/>
      <c r="KB130" s="1032"/>
      <c r="KC130" s="1032"/>
      <c r="KD130" s="1032"/>
      <c r="KE130" s="1032"/>
      <c r="KF130" s="1032"/>
      <c r="KG130" s="1032"/>
      <c r="KH130" s="1032"/>
      <c r="KI130" s="1032"/>
      <c r="KJ130" s="1032"/>
      <c r="KK130" s="1032"/>
      <c r="KL130" s="1032"/>
      <c r="KM130" s="1032"/>
      <c r="KN130" s="1032"/>
      <c r="KO130" s="1032"/>
      <c r="KP130" s="1032"/>
      <c r="KQ130" s="1032"/>
      <c r="KR130" s="1032"/>
      <c r="KS130" s="1032"/>
      <c r="KT130" s="1032"/>
      <c r="KU130" s="1032"/>
      <c r="KV130" s="1032"/>
      <c r="KW130" s="1032"/>
      <c r="KX130" s="1032"/>
      <c r="KY130" s="1032"/>
      <c r="KZ130" s="1032"/>
      <c r="LA130" s="1032"/>
      <c r="LB130" s="1032"/>
      <c r="LC130" s="1032"/>
      <c r="LD130" s="1032"/>
      <c r="LE130" s="1032"/>
      <c r="LF130" s="1032"/>
      <c r="LG130" s="1032"/>
      <c r="LH130" s="1032"/>
      <c r="LI130" s="1032"/>
      <c r="LJ130" s="1032"/>
      <c r="LK130" s="1032"/>
      <c r="LL130" s="1032"/>
      <c r="LM130" s="1032"/>
      <c r="LN130" s="1032"/>
      <c r="LO130" s="1032"/>
      <c r="LP130" s="1032"/>
      <c r="LQ130" s="1032"/>
      <c r="LR130" s="1032"/>
      <c r="LS130" s="1032"/>
      <c r="LT130" s="1032"/>
      <c r="LU130" s="1032"/>
      <c r="LV130" s="1032"/>
      <c r="LW130" s="1032"/>
      <c r="LX130" s="1032"/>
      <c r="LY130" s="1032"/>
      <c r="LZ130" s="1032"/>
      <c r="MA130" s="1032"/>
      <c r="MB130" s="1032"/>
      <c r="MC130" s="1032"/>
      <c r="MD130" s="1032"/>
      <c r="ME130" s="1032"/>
      <c r="MF130" s="1032"/>
      <c r="MG130" s="1032"/>
      <c r="MH130" s="1032"/>
      <c r="MI130" s="1032"/>
      <c r="MJ130" s="1032"/>
      <c r="MK130" s="1032"/>
      <c r="ML130" s="1032"/>
      <c r="MM130" s="1032"/>
      <c r="MN130" s="1032"/>
      <c r="MO130" s="1032"/>
      <c r="MP130" s="1032"/>
      <c r="MQ130" s="1032"/>
      <c r="MR130" s="1032"/>
      <c r="MS130" s="1032"/>
      <c r="MT130" s="1032"/>
      <c r="MU130" s="1032"/>
      <c r="MV130" s="1032"/>
      <c r="MW130" s="1032"/>
      <c r="MX130" s="1032"/>
      <c r="MY130" s="1032"/>
      <c r="MZ130" s="1032"/>
      <c r="NA130" s="1032"/>
      <c r="NB130" s="1032"/>
      <c r="NC130" s="1032"/>
      <c r="ND130" s="1032"/>
      <c r="NE130" s="1032"/>
      <c r="NF130" s="1032"/>
      <c r="NG130" s="1032"/>
      <c r="NH130" s="1032"/>
      <c r="NI130" s="1032"/>
      <c r="NJ130" s="1032"/>
      <c r="NK130" s="1032"/>
      <c r="NL130" s="1032"/>
      <c r="NM130" s="1032"/>
      <c r="NN130" s="1032"/>
      <c r="NO130" s="1032"/>
      <c r="NP130" s="1032"/>
      <c r="NQ130" s="1032"/>
      <c r="NR130" s="1032"/>
      <c r="NS130" s="1032"/>
      <c r="NT130" s="1032"/>
      <c r="NU130" s="1032"/>
      <c r="NV130" s="1032"/>
      <c r="NW130" s="1032"/>
      <c r="NX130" s="1032"/>
      <c r="NY130" s="1032"/>
      <c r="NZ130" s="1032"/>
      <c r="OA130" s="1032"/>
      <c r="OB130" s="1032"/>
      <c r="OC130" s="1032"/>
      <c r="OD130" s="1032"/>
      <c r="OE130" s="1032"/>
      <c r="OF130" s="1032"/>
      <c r="OG130" s="1032"/>
      <c r="OH130" s="1032"/>
    </row>
    <row r="131" spans="1:398" s="25" customFormat="1" ht="69.95" customHeight="1">
      <c r="A131" s="1045"/>
      <c r="B131" s="1036"/>
      <c r="C131" s="1036"/>
      <c r="D131" s="1036"/>
      <c r="E131" s="1046"/>
      <c r="F131" s="1046"/>
      <c r="G131" s="1046"/>
      <c r="H131" s="1036"/>
      <c r="I131" s="1036"/>
      <c r="J131" s="1045"/>
      <c r="K131" s="1036"/>
      <c r="L131" s="1036"/>
      <c r="M131" s="1045"/>
      <c r="N131" s="1036"/>
      <c r="O131" s="1036"/>
      <c r="P131" s="1045"/>
      <c r="Q131" s="1036"/>
      <c r="R131" s="1036"/>
      <c r="S131" s="1045"/>
      <c r="T131" s="1036"/>
      <c r="U131" s="1036"/>
      <c r="V131" s="1045"/>
      <c r="W131" s="1045"/>
      <c r="X131" s="1047"/>
      <c r="Y131" s="1048"/>
      <c r="Z131" s="1048"/>
      <c r="AA131" s="1048"/>
      <c r="AB131" s="1048"/>
      <c r="AC131" s="1048"/>
      <c r="AD131" s="1048"/>
      <c r="AE131" s="1048"/>
      <c r="AF131" s="1048"/>
      <c r="AG131" s="1048"/>
      <c r="AH131" s="1048"/>
      <c r="AI131" s="1048"/>
      <c r="AJ131" s="1048"/>
      <c r="AK131" s="1048"/>
      <c r="AL131" s="1048"/>
      <c r="AM131" s="1048"/>
      <c r="AN131" s="1048"/>
      <c r="AO131" s="1048"/>
      <c r="AP131" s="1048"/>
      <c r="AQ131" s="1049"/>
      <c r="AR131" s="1049"/>
      <c r="AS131" s="1049"/>
      <c r="AT131" s="1049"/>
      <c r="AU131" s="1049"/>
      <c r="AV131" s="1050"/>
      <c r="AW131" s="1050"/>
      <c r="AX131" s="1050"/>
      <c r="AY131" s="1050"/>
      <c r="AZ131" s="1050"/>
      <c r="BA131" s="1051"/>
      <c r="BB131" s="1052"/>
      <c r="BC131" s="1052"/>
      <c r="BD131" s="1052"/>
      <c r="BE131" s="1052"/>
      <c r="BF131" s="1052"/>
      <c r="BG131" s="1045"/>
      <c r="BH131" s="1036"/>
      <c r="BI131" s="1036"/>
      <c r="BJ131" s="1036"/>
      <c r="BK131" s="1036"/>
      <c r="BL131" s="1036"/>
      <c r="BM131" s="1036"/>
      <c r="BN131" s="1036"/>
      <c r="BO131" s="1036"/>
      <c r="BP131" s="1036"/>
      <c r="BQ131" s="1036"/>
      <c r="BR131" s="1036"/>
      <c r="BS131" s="1036"/>
      <c r="BT131" s="1036"/>
      <c r="BU131" s="1036"/>
      <c r="BV131" s="1036"/>
      <c r="BW131" s="1036"/>
      <c r="BX131" s="1036"/>
      <c r="BY131" s="1036"/>
      <c r="BZ131" s="1036"/>
      <c r="CA131" s="1036"/>
      <c r="CB131" s="1049"/>
      <c r="CC131" s="1032"/>
      <c r="CD131" s="1032"/>
      <c r="CE131" s="1032"/>
      <c r="CF131" s="1032"/>
      <c r="CG131" s="1032"/>
      <c r="CH131" s="1032"/>
      <c r="CI131" s="1032"/>
      <c r="CJ131" s="1032"/>
      <c r="CK131" s="1032"/>
      <c r="CL131" s="1032"/>
      <c r="CM131" s="1032"/>
      <c r="CN131" s="1032"/>
      <c r="CO131" s="1032"/>
      <c r="CP131" s="1032"/>
      <c r="CQ131" s="1032"/>
      <c r="CR131" s="1032"/>
      <c r="CS131" s="1032"/>
      <c r="CT131" s="1032"/>
      <c r="CU131" s="1032"/>
      <c r="CV131" s="1032"/>
      <c r="CW131" s="1032"/>
      <c r="CX131" s="1032"/>
      <c r="CY131" s="1032"/>
      <c r="CZ131" s="1032"/>
      <c r="DA131" s="1032"/>
      <c r="DB131" s="1032"/>
      <c r="DC131" s="1032"/>
      <c r="DD131" s="1032"/>
      <c r="DE131" s="1032"/>
      <c r="DF131" s="1032"/>
      <c r="DG131" s="1032"/>
      <c r="DH131" s="1032"/>
      <c r="DI131" s="1032"/>
      <c r="DJ131" s="1032"/>
      <c r="DK131" s="1032"/>
      <c r="DL131" s="1032"/>
      <c r="DM131" s="1032"/>
      <c r="DN131" s="1032"/>
      <c r="DO131" s="1032"/>
      <c r="DP131" s="1032"/>
      <c r="DQ131" s="1032"/>
      <c r="DR131" s="1032"/>
      <c r="DS131" s="1032"/>
      <c r="DT131" s="1032"/>
      <c r="DU131" s="1032"/>
      <c r="DV131" s="1032"/>
      <c r="DW131" s="1032"/>
      <c r="DX131" s="1032"/>
      <c r="DY131" s="1032"/>
      <c r="DZ131" s="1032"/>
      <c r="EA131" s="1032"/>
      <c r="EB131" s="1032"/>
      <c r="EC131" s="1032"/>
      <c r="ED131" s="1032"/>
      <c r="EE131" s="1032"/>
      <c r="EF131" s="1032"/>
      <c r="EG131" s="1032"/>
      <c r="EH131" s="1032"/>
      <c r="EI131" s="1032"/>
      <c r="EJ131" s="1032"/>
      <c r="EK131" s="1032"/>
      <c r="EL131" s="1032"/>
      <c r="EM131" s="1032"/>
      <c r="EN131" s="1032"/>
      <c r="EO131" s="1032"/>
      <c r="EP131" s="1032"/>
      <c r="EQ131" s="1032"/>
      <c r="ER131" s="1032"/>
      <c r="ES131" s="1032"/>
      <c r="ET131" s="1032"/>
      <c r="EU131" s="1032"/>
      <c r="EV131" s="1032"/>
      <c r="EW131" s="1032"/>
      <c r="EX131" s="1032"/>
      <c r="EY131" s="1032"/>
      <c r="EZ131" s="1032"/>
      <c r="FA131" s="1032"/>
      <c r="FB131" s="1032"/>
      <c r="FC131" s="1032"/>
      <c r="FD131" s="1032"/>
      <c r="FE131" s="1032"/>
      <c r="FF131" s="1032"/>
      <c r="FG131" s="1032"/>
      <c r="FH131" s="1032"/>
      <c r="FI131" s="1032"/>
      <c r="FJ131" s="1032"/>
      <c r="FK131" s="1032"/>
      <c r="FL131" s="1032"/>
      <c r="FM131" s="1032"/>
      <c r="FN131" s="1032"/>
      <c r="FO131" s="1032"/>
      <c r="FP131" s="1032"/>
      <c r="FQ131" s="1032"/>
      <c r="FR131" s="1032"/>
      <c r="FS131" s="1032"/>
      <c r="FT131" s="1032"/>
      <c r="FU131" s="1032"/>
      <c r="FV131" s="1032"/>
      <c r="FW131" s="1032"/>
      <c r="FX131" s="1032"/>
      <c r="FY131" s="1032"/>
      <c r="FZ131" s="1032"/>
      <c r="GA131" s="1032"/>
      <c r="GB131" s="1032"/>
      <c r="GC131" s="1032"/>
      <c r="GD131" s="1032"/>
      <c r="GE131" s="1032"/>
      <c r="GF131" s="1032"/>
      <c r="GG131" s="1032"/>
      <c r="GH131" s="1032"/>
      <c r="GI131" s="1032"/>
      <c r="GJ131" s="1032"/>
      <c r="GK131" s="1032"/>
      <c r="GL131" s="1032"/>
      <c r="GM131" s="1032"/>
      <c r="GN131" s="1032"/>
      <c r="GO131" s="1032"/>
      <c r="GP131" s="1032"/>
      <c r="GQ131" s="1032"/>
      <c r="GR131" s="1032"/>
      <c r="GS131" s="1032"/>
      <c r="GT131" s="1032"/>
      <c r="GU131" s="1032"/>
      <c r="GV131" s="1032"/>
      <c r="GW131" s="1032"/>
      <c r="GX131" s="1032"/>
      <c r="GY131" s="1032"/>
      <c r="GZ131" s="1032"/>
      <c r="HA131" s="1032"/>
      <c r="HB131" s="1032"/>
      <c r="HC131" s="1032"/>
      <c r="HD131" s="1032"/>
      <c r="HE131" s="1032"/>
      <c r="HF131" s="1032"/>
      <c r="HG131" s="1032"/>
      <c r="HH131" s="1032"/>
      <c r="HI131" s="1032"/>
      <c r="HJ131" s="1032"/>
      <c r="HK131" s="1032"/>
      <c r="HL131" s="1032"/>
      <c r="HM131" s="1032"/>
      <c r="HN131" s="1032"/>
      <c r="HO131" s="1032"/>
      <c r="HP131" s="1032"/>
      <c r="HQ131" s="1032"/>
      <c r="HR131" s="1032"/>
      <c r="HS131" s="1032"/>
      <c r="HT131" s="1032"/>
      <c r="HU131" s="1032"/>
      <c r="HV131" s="1032"/>
      <c r="HW131" s="1032"/>
      <c r="HX131" s="1032"/>
      <c r="HY131" s="1032"/>
      <c r="HZ131" s="1032"/>
      <c r="IA131" s="1032"/>
      <c r="IB131" s="1032"/>
      <c r="IC131" s="1032"/>
      <c r="ID131" s="1032"/>
      <c r="IE131" s="1032"/>
      <c r="IF131" s="1032"/>
      <c r="IG131" s="1032"/>
      <c r="IH131" s="1032"/>
      <c r="II131" s="1032"/>
      <c r="IJ131" s="1032"/>
      <c r="IK131" s="1032"/>
      <c r="IL131" s="1032"/>
      <c r="IM131" s="1032"/>
      <c r="IN131" s="1032"/>
      <c r="IO131" s="1032"/>
      <c r="IP131" s="1032"/>
      <c r="IQ131" s="1032"/>
      <c r="IR131" s="1032"/>
      <c r="IS131" s="1032"/>
      <c r="IT131" s="1032"/>
      <c r="IU131" s="1032"/>
      <c r="IV131" s="1032"/>
      <c r="IW131" s="1032"/>
      <c r="IX131" s="1032"/>
      <c r="IY131" s="1032"/>
      <c r="IZ131" s="1032"/>
      <c r="JA131" s="1032"/>
      <c r="JB131" s="1032"/>
      <c r="JC131" s="1032"/>
      <c r="JD131" s="1032"/>
      <c r="JE131" s="1032"/>
      <c r="JF131" s="1032"/>
      <c r="JG131" s="1032"/>
      <c r="JH131" s="1032"/>
      <c r="JI131" s="1032"/>
      <c r="JJ131" s="1032"/>
      <c r="JK131" s="1032"/>
      <c r="JL131" s="1032"/>
      <c r="JM131" s="1032"/>
      <c r="JN131" s="1032"/>
      <c r="JO131" s="1032"/>
      <c r="JP131" s="1032"/>
      <c r="JQ131" s="1032"/>
      <c r="JR131" s="1032"/>
      <c r="JS131" s="1032"/>
      <c r="JT131" s="1032"/>
      <c r="JU131" s="1032"/>
      <c r="JV131" s="1032"/>
      <c r="JW131" s="1032"/>
      <c r="JX131" s="1032"/>
      <c r="JY131" s="1032"/>
      <c r="JZ131" s="1032"/>
      <c r="KA131" s="1032"/>
      <c r="KB131" s="1032"/>
      <c r="KC131" s="1032"/>
      <c r="KD131" s="1032"/>
      <c r="KE131" s="1032"/>
      <c r="KF131" s="1032"/>
      <c r="KG131" s="1032"/>
      <c r="KH131" s="1032"/>
      <c r="KI131" s="1032"/>
      <c r="KJ131" s="1032"/>
      <c r="KK131" s="1032"/>
      <c r="KL131" s="1032"/>
      <c r="KM131" s="1032"/>
      <c r="KN131" s="1032"/>
      <c r="KO131" s="1032"/>
      <c r="KP131" s="1032"/>
      <c r="KQ131" s="1032"/>
      <c r="KR131" s="1032"/>
      <c r="KS131" s="1032"/>
      <c r="KT131" s="1032"/>
      <c r="KU131" s="1032"/>
      <c r="KV131" s="1032"/>
      <c r="KW131" s="1032"/>
      <c r="KX131" s="1032"/>
      <c r="KY131" s="1032"/>
      <c r="KZ131" s="1032"/>
      <c r="LA131" s="1032"/>
      <c r="LB131" s="1032"/>
      <c r="LC131" s="1032"/>
      <c r="LD131" s="1032"/>
      <c r="LE131" s="1032"/>
      <c r="LF131" s="1032"/>
      <c r="LG131" s="1032"/>
      <c r="LH131" s="1032"/>
      <c r="LI131" s="1032"/>
      <c r="LJ131" s="1032"/>
      <c r="LK131" s="1032"/>
      <c r="LL131" s="1032"/>
      <c r="LM131" s="1032"/>
      <c r="LN131" s="1032"/>
      <c r="LO131" s="1032"/>
      <c r="LP131" s="1032"/>
      <c r="LQ131" s="1032"/>
      <c r="LR131" s="1032"/>
      <c r="LS131" s="1032"/>
      <c r="LT131" s="1032"/>
      <c r="LU131" s="1032"/>
      <c r="LV131" s="1032"/>
      <c r="LW131" s="1032"/>
      <c r="LX131" s="1032"/>
      <c r="LY131" s="1032"/>
      <c r="LZ131" s="1032"/>
      <c r="MA131" s="1032"/>
      <c r="MB131" s="1032"/>
      <c r="MC131" s="1032"/>
      <c r="MD131" s="1032"/>
      <c r="ME131" s="1032"/>
      <c r="MF131" s="1032"/>
      <c r="MG131" s="1032"/>
      <c r="MH131" s="1032"/>
      <c r="MI131" s="1032"/>
      <c r="MJ131" s="1032"/>
      <c r="MK131" s="1032"/>
      <c r="ML131" s="1032"/>
      <c r="MM131" s="1032"/>
      <c r="MN131" s="1032"/>
      <c r="MO131" s="1032"/>
      <c r="MP131" s="1032"/>
      <c r="MQ131" s="1032"/>
      <c r="MR131" s="1032"/>
      <c r="MS131" s="1032"/>
      <c r="MT131" s="1032"/>
      <c r="MU131" s="1032"/>
      <c r="MV131" s="1032"/>
      <c r="MW131" s="1032"/>
      <c r="MX131" s="1032"/>
      <c r="MY131" s="1032"/>
      <c r="MZ131" s="1032"/>
      <c r="NA131" s="1032"/>
      <c r="NB131" s="1032"/>
      <c r="NC131" s="1032"/>
      <c r="ND131" s="1032"/>
      <c r="NE131" s="1032"/>
      <c r="NF131" s="1032"/>
      <c r="NG131" s="1032"/>
      <c r="NH131" s="1032"/>
      <c r="NI131" s="1032"/>
      <c r="NJ131" s="1032"/>
      <c r="NK131" s="1032"/>
      <c r="NL131" s="1032"/>
      <c r="NM131" s="1032"/>
      <c r="NN131" s="1032"/>
      <c r="NO131" s="1032"/>
      <c r="NP131" s="1032"/>
      <c r="NQ131" s="1032"/>
      <c r="NR131" s="1032"/>
      <c r="NS131" s="1032"/>
      <c r="NT131" s="1032"/>
      <c r="NU131" s="1032"/>
      <c r="NV131" s="1032"/>
      <c r="NW131" s="1032"/>
      <c r="NX131" s="1032"/>
      <c r="NY131" s="1032"/>
      <c r="NZ131" s="1032"/>
      <c r="OA131" s="1032"/>
      <c r="OB131" s="1032"/>
      <c r="OC131" s="1032"/>
      <c r="OD131" s="1032"/>
      <c r="OE131" s="1032"/>
      <c r="OF131" s="1032"/>
      <c r="OG131" s="1032"/>
      <c r="OH131" s="1032"/>
    </row>
    <row r="132" spans="1:398" s="13" customFormat="1" ht="69.95" customHeight="1">
      <c r="A132" s="1045"/>
      <c r="B132" s="1036"/>
      <c r="C132" s="1036"/>
      <c r="D132" s="1036"/>
      <c r="E132" s="1046"/>
      <c r="F132" s="1046"/>
      <c r="G132" s="1046"/>
      <c r="H132" s="1036"/>
      <c r="I132" s="1036"/>
      <c r="J132" s="1045"/>
      <c r="K132" s="1036"/>
      <c r="L132" s="1036"/>
      <c r="M132" s="1045"/>
      <c r="N132" s="1036"/>
      <c r="O132" s="1036"/>
      <c r="P132" s="1045"/>
      <c r="Q132" s="1036"/>
      <c r="R132" s="1036"/>
      <c r="S132" s="1045"/>
      <c r="T132" s="1036"/>
      <c r="U132" s="1036"/>
      <c r="V132" s="1045"/>
      <c r="W132" s="1045"/>
      <c r="X132" s="1047"/>
      <c r="Y132" s="1048"/>
      <c r="Z132" s="1048"/>
      <c r="AA132" s="1048"/>
      <c r="AB132" s="1048"/>
      <c r="AC132" s="1048"/>
      <c r="AD132" s="1048"/>
      <c r="AE132" s="1048"/>
      <c r="AF132" s="1048"/>
      <c r="AG132" s="1048"/>
      <c r="AH132" s="1048"/>
      <c r="AI132" s="1048"/>
      <c r="AJ132" s="1048"/>
      <c r="AK132" s="1048"/>
      <c r="AL132" s="1048"/>
      <c r="AM132" s="1048"/>
      <c r="AN132" s="1048"/>
      <c r="AO132" s="1048"/>
      <c r="AP132" s="1048"/>
      <c r="AQ132" s="1049"/>
      <c r="AR132" s="1049"/>
      <c r="AS132" s="1049"/>
      <c r="AT132" s="1049"/>
      <c r="AU132" s="1049"/>
      <c r="AV132" s="1050"/>
      <c r="AW132" s="1050"/>
      <c r="AX132" s="1050"/>
      <c r="AY132" s="1050"/>
      <c r="AZ132" s="1050"/>
      <c r="BA132" s="1051"/>
      <c r="BB132" s="1052"/>
      <c r="BC132" s="1052"/>
      <c r="BD132" s="1052"/>
      <c r="BE132" s="1052"/>
      <c r="BF132" s="1052"/>
      <c r="BG132" s="1045"/>
      <c r="BH132" s="1036"/>
      <c r="BI132" s="1036"/>
      <c r="BJ132" s="1036"/>
      <c r="BK132" s="1036"/>
      <c r="BL132" s="1036"/>
      <c r="BM132" s="1036"/>
      <c r="BN132" s="1036"/>
      <c r="BO132" s="1036"/>
      <c r="BP132" s="1036"/>
      <c r="BQ132" s="1036"/>
      <c r="BR132" s="1036"/>
      <c r="BS132" s="1036"/>
      <c r="BT132" s="1036"/>
      <c r="BU132" s="1036"/>
      <c r="BV132" s="1036"/>
      <c r="BW132" s="1036"/>
      <c r="BX132" s="1036"/>
      <c r="BY132" s="1036"/>
      <c r="BZ132" s="1036"/>
      <c r="CA132" s="1036"/>
      <c r="CB132" s="1049"/>
      <c r="CC132" s="1032"/>
      <c r="CD132" s="1032"/>
      <c r="CE132" s="1032"/>
      <c r="CF132" s="1032"/>
      <c r="CG132" s="1032"/>
      <c r="CH132" s="1032"/>
      <c r="CI132" s="1032"/>
      <c r="CJ132" s="1032"/>
      <c r="CK132" s="1032"/>
      <c r="CL132" s="1032"/>
      <c r="CM132" s="1032"/>
      <c r="CN132" s="1032"/>
      <c r="CO132" s="1032"/>
      <c r="CP132" s="1032"/>
      <c r="CQ132" s="1032"/>
      <c r="CR132" s="1032"/>
      <c r="CS132" s="1032"/>
      <c r="CT132" s="1032"/>
      <c r="CU132" s="1032"/>
      <c r="CV132" s="1032"/>
      <c r="CW132" s="1032"/>
      <c r="CX132" s="1032"/>
      <c r="CY132" s="1032"/>
      <c r="CZ132" s="1032"/>
      <c r="DA132" s="1032"/>
      <c r="DB132" s="1032"/>
      <c r="DC132" s="1032"/>
      <c r="DD132" s="1032"/>
      <c r="DE132" s="1032"/>
      <c r="DF132" s="1032"/>
      <c r="DG132" s="1032"/>
      <c r="DH132" s="1032"/>
      <c r="DI132" s="1032"/>
      <c r="DJ132" s="1032"/>
      <c r="DK132" s="1032"/>
      <c r="DL132" s="1032"/>
      <c r="DM132" s="1032"/>
      <c r="DN132" s="1032"/>
      <c r="DO132" s="1032"/>
      <c r="DP132" s="1032"/>
      <c r="DQ132" s="1032"/>
      <c r="DR132" s="1032"/>
      <c r="DS132" s="1032"/>
      <c r="DT132" s="1032"/>
      <c r="DU132" s="1032"/>
      <c r="DV132" s="1032"/>
      <c r="DW132" s="1032"/>
      <c r="DX132" s="1032"/>
      <c r="DY132" s="1032"/>
      <c r="DZ132" s="1032"/>
      <c r="EA132" s="1032"/>
      <c r="EB132" s="1032"/>
      <c r="EC132" s="1032"/>
      <c r="ED132" s="1032"/>
      <c r="EE132" s="1032"/>
      <c r="EF132" s="1032"/>
      <c r="EG132" s="1032"/>
      <c r="EH132" s="1032"/>
      <c r="EI132" s="1032"/>
      <c r="EJ132" s="1032"/>
      <c r="EK132" s="1032"/>
      <c r="EL132" s="1032"/>
      <c r="EM132" s="1032"/>
      <c r="EN132" s="1032"/>
      <c r="EO132" s="1032"/>
      <c r="EP132" s="1032"/>
      <c r="EQ132" s="1032"/>
      <c r="ER132" s="1032"/>
      <c r="ES132" s="1032"/>
      <c r="ET132" s="1032"/>
      <c r="EU132" s="1032"/>
      <c r="EV132" s="1032"/>
      <c r="EW132" s="1032"/>
      <c r="EX132" s="1032"/>
      <c r="EY132" s="1032"/>
      <c r="EZ132" s="1032"/>
      <c r="FA132" s="1032"/>
      <c r="FB132" s="1032"/>
      <c r="FC132" s="1032"/>
      <c r="FD132" s="1032"/>
      <c r="FE132" s="1032"/>
      <c r="FF132" s="1032"/>
      <c r="FG132" s="1032"/>
      <c r="FH132" s="1032"/>
      <c r="FI132" s="1032"/>
      <c r="FJ132" s="1032"/>
      <c r="FK132" s="1032"/>
      <c r="FL132" s="1032"/>
      <c r="FM132" s="1032"/>
      <c r="FN132" s="1032"/>
      <c r="FO132" s="1032"/>
      <c r="FP132" s="1032"/>
      <c r="FQ132" s="1032"/>
      <c r="FR132" s="1032"/>
      <c r="FS132" s="1032"/>
      <c r="FT132" s="1032"/>
      <c r="FU132" s="1032"/>
      <c r="FV132" s="1032"/>
      <c r="FW132" s="1032"/>
      <c r="FX132" s="1032"/>
      <c r="FY132" s="1032"/>
      <c r="FZ132" s="1032"/>
      <c r="GA132" s="1032"/>
      <c r="GB132" s="1032"/>
      <c r="GC132" s="1032"/>
      <c r="GD132" s="1032"/>
      <c r="GE132" s="1032"/>
      <c r="GF132" s="1032"/>
      <c r="GG132" s="1032"/>
      <c r="GH132" s="1032"/>
      <c r="GI132" s="1032"/>
      <c r="GJ132" s="1032"/>
      <c r="GK132" s="1032"/>
      <c r="GL132" s="1032"/>
      <c r="GM132" s="1032"/>
      <c r="GN132" s="1032"/>
      <c r="GO132" s="1032"/>
      <c r="GP132" s="1032"/>
      <c r="GQ132" s="1032"/>
      <c r="GR132" s="1032"/>
      <c r="GS132" s="1032"/>
      <c r="GT132" s="1032"/>
      <c r="GU132" s="1032"/>
      <c r="GV132" s="1032"/>
      <c r="GW132" s="1032"/>
      <c r="GX132" s="1032"/>
      <c r="GY132" s="1032"/>
      <c r="GZ132" s="1032"/>
      <c r="HA132" s="1032"/>
      <c r="HB132" s="1032"/>
      <c r="HC132" s="1032"/>
      <c r="HD132" s="1032"/>
      <c r="HE132" s="1032"/>
      <c r="HF132" s="1032"/>
      <c r="HG132" s="1032"/>
      <c r="HH132" s="1032"/>
      <c r="HI132" s="1032"/>
      <c r="HJ132" s="1032"/>
      <c r="HK132" s="1032"/>
      <c r="HL132" s="1032"/>
      <c r="HM132" s="1032"/>
      <c r="HN132" s="1032"/>
      <c r="HO132" s="1032"/>
      <c r="HP132" s="1032"/>
      <c r="HQ132" s="1032"/>
      <c r="HR132" s="1032"/>
      <c r="HS132" s="1032"/>
      <c r="HT132" s="1032"/>
      <c r="HU132" s="1032"/>
      <c r="HV132" s="1032"/>
      <c r="HW132" s="1032"/>
      <c r="HX132" s="1032"/>
      <c r="HY132" s="1032"/>
      <c r="HZ132" s="1032"/>
      <c r="IA132" s="1032"/>
      <c r="IB132" s="1032"/>
      <c r="IC132" s="1032"/>
      <c r="ID132" s="1032"/>
      <c r="IE132" s="1032"/>
      <c r="IF132" s="1032"/>
      <c r="IG132" s="1032"/>
      <c r="IH132" s="1032"/>
      <c r="II132" s="1032"/>
      <c r="IJ132" s="1032"/>
      <c r="IK132" s="1032"/>
      <c r="IL132" s="1032"/>
      <c r="IM132" s="1032"/>
      <c r="IN132" s="1032"/>
      <c r="IO132" s="1032"/>
      <c r="IP132" s="1032"/>
      <c r="IQ132" s="1032"/>
      <c r="IR132" s="1032"/>
      <c r="IS132" s="1032"/>
      <c r="IT132" s="1032"/>
      <c r="IU132" s="1032"/>
      <c r="IV132" s="1032"/>
      <c r="IW132" s="1032"/>
      <c r="IX132" s="1032"/>
      <c r="IY132" s="1032"/>
      <c r="IZ132" s="1032"/>
      <c r="JA132" s="1032"/>
      <c r="JB132" s="1032"/>
      <c r="JC132" s="1032"/>
      <c r="JD132" s="1032"/>
      <c r="JE132" s="1032"/>
      <c r="JF132" s="1032"/>
      <c r="JG132" s="1032"/>
      <c r="JH132" s="1032"/>
      <c r="JI132" s="1032"/>
      <c r="JJ132" s="1032"/>
      <c r="JK132" s="1032"/>
      <c r="JL132" s="1032"/>
      <c r="JM132" s="1032"/>
      <c r="JN132" s="1032"/>
      <c r="JO132" s="1032"/>
      <c r="JP132" s="1032"/>
      <c r="JQ132" s="1032"/>
      <c r="JR132" s="1032"/>
      <c r="JS132" s="1032"/>
      <c r="JT132" s="1032"/>
      <c r="JU132" s="1032"/>
      <c r="JV132" s="1032"/>
      <c r="JW132" s="1032"/>
      <c r="JX132" s="1032"/>
      <c r="JY132" s="1032"/>
      <c r="JZ132" s="1032"/>
      <c r="KA132" s="1032"/>
      <c r="KB132" s="1032"/>
      <c r="KC132" s="1032"/>
      <c r="KD132" s="1032"/>
      <c r="KE132" s="1032"/>
      <c r="KF132" s="1032"/>
      <c r="KG132" s="1032"/>
      <c r="KH132" s="1032"/>
      <c r="KI132" s="1032"/>
      <c r="KJ132" s="1032"/>
      <c r="KK132" s="1032"/>
      <c r="KL132" s="1032"/>
      <c r="KM132" s="1032"/>
      <c r="KN132" s="1032"/>
      <c r="KO132" s="1032"/>
      <c r="KP132" s="1032"/>
      <c r="KQ132" s="1032"/>
      <c r="KR132" s="1032"/>
      <c r="KS132" s="1032"/>
      <c r="KT132" s="1032"/>
      <c r="KU132" s="1032"/>
      <c r="KV132" s="1032"/>
      <c r="KW132" s="1032"/>
      <c r="KX132" s="1032"/>
      <c r="KY132" s="1032"/>
      <c r="KZ132" s="1032"/>
      <c r="LA132" s="1032"/>
      <c r="LB132" s="1032"/>
      <c r="LC132" s="1032"/>
      <c r="LD132" s="1032"/>
      <c r="LE132" s="1032"/>
      <c r="LF132" s="1032"/>
      <c r="LG132" s="1032"/>
      <c r="LH132" s="1032"/>
      <c r="LI132" s="1032"/>
      <c r="LJ132" s="1032"/>
      <c r="LK132" s="1032"/>
      <c r="LL132" s="1032"/>
      <c r="LM132" s="1032"/>
      <c r="LN132" s="1032"/>
      <c r="LO132" s="1032"/>
      <c r="LP132" s="1032"/>
      <c r="LQ132" s="1032"/>
      <c r="LR132" s="1032"/>
      <c r="LS132" s="1032"/>
      <c r="LT132" s="1032"/>
      <c r="LU132" s="1032"/>
      <c r="LV132" s="1032"/>
      <c r="LW132" s="1032"/>
      <c r="LX132" s="1032"/>
      <c r="LY132" s="1032"/>
      <c r="LZ132" s="1032"/>
      <c r="MA132" s="1032"/>
      <c r="MB132" s="1032"/>
      <c r="MC132" s="1032"/>
      <c r="MD132" s="1032"/>
      <c r="ME132" s="1032"/>
      <c r="MF132" s="1032"/>
      <c r="MG132" s="1032"/>
      <c r="MH132" s="1032"/>
      <c r="MI132" s="1032"/>
      <c r="MJ132" s="1032"/>
      <c r="MK132" s="1032"/>
      <c r="ML132" s="1032"/>
      <c r="MM132" s="1032"/>
      <c r="MN132" s="1032"/>
      <c r="MO132" s="1032"/>
      <c r="MP132" s="1032"/>
      <c r="MQ132" s="1032"/>
      <c r="MR132" s="1032"/>
      <c r="MS132" s="1032"/>
      <c r="MT132" s="1032"/>
      <c r="MU132" s="1032"/>
      <c r="MV132" s="1032"/>
      <c r="MW132" s="1032"/>
      <c r="MX132" s="1032"/>
      <c r="MY132" s="1032"/>
      <c r="MZ132" s="1032"/>
      <c r="NA132" s="1032"/>
      <c r="NB132" s="1032"/>
      <c r="NC132" s="1032"/>
      <c r="ND132" s="1032"/>
      <c r="NE132" s="1032"/>
      <c r="NF132" s="1032"/>
      <c r="NG132" s="1032"/>
      <c r="NH132" s="1032"/>
      <c r="NI132" s="1032"/>
      <c r="NJ132" s="1032"/>
      <c r="NK132" s="1032"/>
      <c r="NL132" s="1032"/>
      <c r="NM132" s="1032"/>
      <c r="NN132" s="1032"/>
      <c r="NO132" s="1032"/>
      <c r="NP132" s="1032"/>
      <c r="NQ132" s="1032"/>
      <c r="NR132" s="1032"/>
      <c r="NS132" s="1032"/>
      <c r="NT132" s="1032"/>
      <c r="NU132" s="1032"/>
      <c r="NV132" s="1032"/>
      <c r="NW132" s="1032"/>
      <c r="NX132" s="1032"/>
      <c r="NY132" s="1032"/>
      <c r="NZ132" s="1032"/>
      <c r="OA132" s="1032"/>
      <c r="OB132" s="1032"/>
      <c r="OC132" s="1032"/>
      <c r="OD132" s="1032"/>
      <c r="OE132" s="1032"/>
      <c r="OF132" s="1032"/>
      <c r="OG132" s="1032"/>
      <c r="OH132" s="1032"/>
    </row>
    <row r="133" spans="1:398" s="25" customFormat="1" ht="69.95" customHeight="1">
      <c r="A133" s="1045"/>
      <c r="B133" s="1036"/>
      <c r="C133" s="1036"/>
      <c r="D133" s="1036"/>
      <c r="E133" s="1046"/>
      <c r="F133" s="1046"/>
      <c r="G133" s="1046"/>
      <c r="H133" s="1036"/>
      <c r="I133" s="1036"/>
      <c r="J133" s="1045"/>
      <c r="K133" s="1036"/>
      <c r="L133" s="1036"/>
      <c r="M133" s="1045"/>
      <c r="N133" s="1036"/>
      <c r="O133" s="1036"/>
      <c r="P133" s="1045"/>
      <c r="Q133" s="1036"/>
      <c r="R133" s="1036"/>
      <c r="S133" s="1045"/>
      <c r="T133" s="1036"/>
      <c r="U133" s="1036"/>
      <c r="V133" s="1045"/>
      <c r="W133" s="1045"/>
      <c r="X133" s="1047"/>
      <c r="Y133" s="1048"/>
      <c r="Z133" s="1048"/>
      <c r="AA133" s="1048"/>
      <c r="AB133" s="1048"/>
      <c r="AC133" s="1048"/>
      <c r="AD133" s="1048"/>
      <c r="AE133" s="1048"/>
      <c r="AF133" s="1048"/>
      <c r="AG133" s="1048"/>
      <c r="AH133" s="1048"/>
      <c r="AI133" s="1048"/>
      <c r="AJ133" s="1048"/>
      <c r="AK133" s="1048"/>
      <c r="AL133" s="1048"/>
      <c r="AM133" s="1048"/>
      <c r="AN133" s="1048"/>
      <c r="AO133" s="1048"/>
      <c r="AP133" s="1048"/>
      <c r="AQ133" s="1049"/>
      <c r="AR133" s="1049"/>
      <c r="AS133" s="1049"/>
      <c r="AT133" s="1049"/>
      <c r="AU133" s="1049"/>
      <c r="AV133" s="1050"/>
      <c r="AW133" s="1050"/>
      <c r="AX133" s="1050"/>
      <c r="AY133" s="1050"/>
      <c r="AZ133" s="1050"/>
      <c r="BA133" s="1051"/>
      <c r="BB133" s="1052"/>
      <c r="BC133" s="1052"/>
      <c r="BD133" s="1052"/>
      <c r="BE133" s="1052"/>
      <c r="BF133" s="1052"/>
      <c r="BG133" s="1045"/>
      <c r="BH133" s="1036"/>
      <c r="BI133" s="1036"/>
      <c r="BJ133" s="1036"/>
      <c r="BK133" s="1036"/>
      <c r="BL133" s="1036"/>
      <c r="BM133" s="1036"/>
      <c r="BN133" s="1036"/>
      <c r="BO133" s="1036"/>
      <c r="BP133" s="1036"/>
      <c r="BQ133" s="1036"/>
      <c r="BR133" s="1036"/>
      <c r="BS133" s="1036"/>
      <c r="BT133" s="1036"/>
      <c r="BU133" s="1036"/>
      <c r="BV133" s="1036"/>
      <c r="BW133" s="1036"/>
      <c r="BX133" s="1036"/>
      <c r="BY133" s="1036"/>
      <c r="BZ133" s="1036"/>
      <c r="CA133" s="1036"/>
      <c r="CB133" s="1049"/>
      <c r="CC133" s="1032"/>
      <c r="CD133" s="1032"/>
      <c r="CE133" s="1032"/>
      <c r="CF133" s="1032"/>
      <c r="CG133" s="1032"/>
      <c r="CH133" s="1032"/>
      <c r="CI133" s="1032"/>
      <c r="CJ133" s="1032"/>
      <c r="CK133" s="1032"/>
      <c r="CL133" s="1032"/>
      <c r="CM133" s="1032"/>
      <c r="CN133" s="1032"/>
      <c r="CO133" s="1032"/>
      <c r="CP133" s="1032"/>
      <c r="CQ133" s="1032"/>
      <c r="CR133" s="1032"/>
      <c r="CS133" s="1032"/>
      <c r="CT133" s="1032"/>
      <c r="CU133" s="1032"/>
      <c r="CV133" s="1032"/>
      <c r="CW133" s="1032"/>
      <c r="CX133" s="1032"/>
      <c r="CY133" s="1032"/>
      <c r="CZ133" s="1032"/>
      <c r="DA133" s="1032"/>
      <c r="DB133" s="1032"/>
      <c r="DC133" s="1032"/>
      <c r="DD133" s="1032"/>
      <c r="DE133" s="1032"/>
      <c r="DF133" s="1032"/>
      <c r="DG133" s="1032"/>
      <c r="DH133" s="1032"/>
      <c r="DI133" s="1032"/>
      <c r="DJ133" s="1032"/>
      <c r="DK133" s="1032"/>
      <c r="DL133" s="1032"/>
      <c r="DM133" s="1032"/>
      <c r="DN133" s="1032"/>
      <c r="DO133" s="1032"/>
      <c r="DP133" s="1032"/>
      <c r="DQ133" s="1032"/>
      <c r="DR133" s="1032"/>
      <c r="DS133" s="1032"/>
      <c r="DT133" s="1032"/>
      <c r="DU133" s="1032"/>
      <c r="DV133" s="1032"/>
      <c r="DW133" s="1032"/>
      <c r="DX133" s="1032"/>
      <c r="DY133" s="1032"/>
      <c r="DZ133" s="1032"/>
      <c r="EA133" s="1032"/>
      <c r="EB133" s="1032"/>
      <c r="EC133" s="1032"/>
      <c r="ED133" s="1032"/>
      <c r="EE133" s="1032"/>
      <c r="EF133" s="1032"/>
      <c r="EG133" s="1032"/>
      <c r="EH133" s="1032"/>
      <c r="EI133" s="1032"/>
      <c r="EJ133" s="1032"/>
      <c r="EK133" s="1032"/>
      <c r="EL133" s="1032"/>
      <c r="EM133" s="1032"/>
      <c r="EN133" s="1032"/>
      <c r="EO133" s="1032"/>
      <c r="EP133" s="1032"/>
      <c r="EQ133" s="1032"/>
      <c r="ER133" s="1032"/>
      <c r="ES133" s="1032"/>
      <c r="ET133" s="1032"/>
      <c r="EU133" s="1032"/>
      <c r="EV133" s="1032"/>
      <c r="EW133" s="1032"/>
      <c r="EX133" s="1032"/>
      <c r="EY133" s="1032"/>
      <c r="EZ133" s="1032"/>
      <c r="FA133" s="1032"/>
      <c r="FB133" s="1032"/>
      <c r="FC133" s="1032"/>
      <c r="FD133" s="1032"/>
      <c r="FE133" s="1032"/>
      <c r="FF133" s="1032"/>
      <c r="FG133" s="1032"/>
      <c r="FH133" s="1032"/>
      <c r="FI133" s="1032"/>
      <c r="FJ133" s="1032"/>
      <c r="FK133" s="1032"/>
      <c r="FL133" s="1032"/>
      <c r="FM133" s="1032"/>
      <c r="FN133" s="1032"/>
      <c r="FO133" s="1032"/>
      <c r="FP133" s="1032"/>
      <c r="FQ133" s="1032"/>
      <c r="FR133" s="1032"/>
      <c r="FS133" s="1032"/>
      <c r="FT133" s="1032"/>
      <c r="FU133" s="1032"/>
      <c r="FV133" s="1032"/>
      <c r="FW133" s="1032"/>
      <c r="FX133" s="1032"/>
      <c r="FY133" s="1032"/>
      <c r="FZ133" s="1032"/>
      <c r="GA133" s="1032"/>
      <c r="GB133" s="1032"/>
      <c r="GC133" s="1032"/>
      <c r="GD133" s="1032"/>
      <c r="GE133" s="1032"/>
      <c r="GF133" s="1032"/>
      <c r="GG133" s="1032"/>
      <c r="GH133" s="1032"/>
      <c r="GI133" s="1032"/>
      <c r="GJ133" s="1032"/>
      <c r="GK133" s="1032"/>
      <c r="GL133" s="1032"/>
      <c r="GM133" s="1032"/>
      <c r="GN133" s="1032"/>
      <c r="GO133" s="1032"/>
      <c r="GP133" s="1032"/>
      <c r="GQ133" s="1032"/>
      <c r="GR133" s="1032"/>
      <c r="GS133" s="1032"/>
      <c r="GT133" s="1032"/>
      <c r="GU133" s="1032"/>
      <c r="GV133" s="1032"/>
      <c r="GW133" s="1032"/>
      <c r="GX133" s="1032"/>
      <c r="GY133" s="1032"/>
      <c r="GZ133" s="1032"/>
      <c r="HA133" s="1032"/>
      <c r="HB133" s="1032"/>
      <c r="HC133" s="1032"/>
      <c r="HD133" s="1032"/>
      <c r="HE133" s="1032"/>
      <c r="HF133" s="1032"/>
      <c r="HG133" s="1032"/>
      <c r="HH133" s="1032"/>
      <c r="HI133" s="1032"/>
      <c r="HJ133" s="1032"/>
      <c r="HK133" s="1032"/>
      <c r="HL133" s="1032"/>
      <c r="HM133" s="1032"/>
      <c r="HN133" s="1032"/>
      <c r="HO133" s="1032"/>
      <c r="HP133" s="1032"/>
      <c r="HQ133" s="1032"/>
      <c r="HR133" s="1032"/>
      <c r="HS133" s="1032"/>
      <c r="HT133" s="1032"/>
      <c r="HU133" s="1032"/>
      <c r="HV133" s="1032"/>
      <c r="HW133" s="1032"/>
      <c r="HX133" s="1032"/>
      <c r="HY133" s="1032"/>
      <c r="HZ133" s="1032"/>
      <c r="IA133" s="1032"/>
      <c r="IB133" s="1032"/>
      <c r="IC133" s="1032"/>
      <c r="ID133" s="1032"/>
      <c r="IE133" s="1032"/>
      <c r="IF133" s="1032"/>
      <c r="IG133" s="1032"/>
      <c r="IH133" s="1032"/>
      <c r="II133" s="1032"/>
      <c r="IJ133" s="1032"/>
      <c r="IK133" s="1032"/>
      <c r="IL133" s="1032"/>
      <c r="IM133" s="1032"/>
      <c r="IN133" s="1032"/>
      <c r="IO133" s="1032"/>
      <c r="IP133" s="1032"/>
      <c r="IQ133" s="1032"/>
      <c r="IR133" s="1032"/>
      <c r="IS133" s="1032"/>
      <c r="IT133" s="1032"/>
      <c r="IU133" s="1032"/>
      <c r="IV133" s="1032"/>
      <c r="IW133" s="1032"/>
      <c r="IX133" s="1032"/>
      <c r="IY133" s="1032"/>
      <c r="IZ133" s="1032"/>
      <c r="JA133" s="1032"/>
      <c r="JB133" s="1032"/>
      <c r="JC133" s="1032"/>
      <c r="JD133" s="1032"/>
      <c r="JE133" s="1032"/>
      <c r="JF133" s="1032"/>
      <c r="JG133" s="1032"/>
      <c r="JH133" s="1032"/>
      <c r="JI133" s="1032"/>
      <c r="JJ133" s="1032"/>
      <c r="JK133" s="1032"/>
      <c r="JL133" s="1032"/>
      <c r="JM133" s="1032"/>
      <c r="JN133" s="1032"/>
      <c r="JO133" s="1032"/>
      <c r="JP133" s="1032"/>
      <c r="JQ133" s="1032"/>
      <c r="JR133" s="1032"/>
      <c r="JS133" s="1032"/>
      <c r="JT133" s="1032"/>
      <c r="JU133" s="1032"/>
      <c r="JV133" s="1032"/>
      <c r="JW133" s="1032"/>
      <c r="JX133" s="1032"/>
      <c r="JY133" s="1032"/>
      <c r="JZ133" s="1032"/>
      <c r="KA133" s="1032"/>
      <c r="KB133" s="1032"/>
      <c r="KC133" s="1032"/>
      <c r="KD133" s="1032"/>
      <c r="KE133" s="1032"/>
      <c r="KF133" s="1032"/>
      <c r="KG133" s="1032"/>
      <c r="KH133" s="1032"/>
      <c r="KI133" s="1032"/>
      <c r="KJ133" s="1032"/>
      <c r="KK133" s="1032"/>
      <c r="KL133" s="1032"/>
      <c r="KM133" s="1032"/>
      <c r="KN133" s="1032"/>
      <c r="KO133" s="1032"/>
      <c r="KP133" s="1032"/>
      <c r="KQ133" s="1032"/>
      <c r="KR133" s="1032"/>
      <c r="KS133" s="1032"/>
      <c r="KT133" s="1032"/>
      <c r="KU133" s="1032"/>
      <c r="KV133" s="1032"/>
      <c r="KW133" s="1032"/>
      <c r="KX133" s="1032"/>
      <c r="KY133" s="1032"/>
      <c r="KZ133" s="1032"/>
      <c r="LA133" s="1032"/>
      <c r="LB133" s="1032"/>
      <c r="LC133" s="1032"/>
      <c r="LD133" s="1032"/>
      <c r="LE133" s="1032"/>
      <c r="LF133" s="1032"/>
      <c r="LG133" s="1032"/>
      <c r="LH133" s="1032"/>
      <c r="LI133" s="1032"/>
      <c r="LJ133" s="1032"/>
      <c r="LK133" s="1032"/>
      <c r="LL133" s="1032"/>
      <c r="LM133" s="1032"/>
      <c r="LN133" s="1032"/>
      <c r="LO133" s="1032"/>
      <c r="LP133" s="1032"/>
      <c r="LQ133" s="1032"/>
      <c r="LR133" s="1032"/>
      <c r="LS133" s="1032"/>
      <c r="LT133" s="1032"/>
      <c r="LU133" s="1032"/>
      <c r="LV133" s="1032"/>
      <c r="LW133" s="1032"/>
      <c r="LX133" s="1032"/>
      <c r="LY133" s="1032"/>
      <c r="LZ133" s="1032"/>
      <c r="MA133" s="1032"/>
      <c r="MB133" s="1032"/>
      <c r="MC133" s="1032"/>
      <c r="MD133" s="1032"/>
      <c r="ME133" s="1032"/>
      <c r="MF133" s="1032"/>
      <c r="MG133" s="1032"/>
      <c r="MH133" s="1032"/>
      <c r="MI133" s="1032"/>
      <c r="MJ133" s="1032"/>
      <c r="MK133" s="1032"/>
      <c r="ML133" s="1032"/>
      <c r="MM133" s="1032"/>
      <c r="MN133" s="1032"/>
      <c r="MO133" s="1032"/>
      <c r="MP133" s="1032"/>
      <c r="MQ133" s="1032"/>
      <c r="MR133" s="1032"/>
      <c r="MS133" s="1032"/>
      <c r="MT133" s="1032"/>
      <c r="MU133" s="1032"/>
      <c r="MV133" s="1032"/>
      <c r="MW133" s="1032"/>
      <c r="MX133" s="1032"/>
      <c r="MY133" s="1032"/>
      <c r="MZ133" s="1032"/>
      <c r="NA133" s="1032"/>
      <c r="NB133" s="1032"/>
      <c r="NC133" s="1032"/>
      <c r="ND133" s="1032"/>
      <c r="NE133" s="1032"/>
      <c r="NF133" s="1032"/>
      <c r="NG133" s="1032"/>
      <c r="NH133" s="1032"/>
      <c r="NI133" s="1032"/>
      <c r="NJ133" s="1032"/>
      <c r="NK133" s="1032"/>
      <c r="NL133" s="1032"/>
      <c r="NM133" s="1032"/>
      <c r="NN133" s="1032"/>
      <c r="NO133" s="1032"/>
      <c r="NP133" s="1032"/>
      <c r="NQ133" s="1032"/>
      <c r="NR133" s="1032"/>
      <c r="NS133" s="1032"/>
      <c r="NT133" s="1032"/>
      <c r="NU133" s="1032"/>
      <c r="NV133" s="1032"/>
      <c r="NW133" s="1032"/>
      <c r="NX133" s="1032"/>
      <c r="NY133" s="1032"/>
      <c r="NZ133" s="1032"/>
      <c r="OA133" s="1032"/>
      <c r="OB133" s="1032"/>
      <c r="OC133" s="1032"/>
      <c r="OD133" s="1032"/>
      <c r="OE133" s="1032"/>
      <c r="OF133" s="1032"/>
      <c r="OG133" s="1032"/>
      <c r="OH133" s="1032"/>
    </row>
    <row r="134" spans="1:398" s="13" customFormat="1" ht="69.95" customHeight="1">
      <c r="A134" s="1045"/>
      <c r="B134" s="1036"/>
      <c r="C134" s="1036"/>
      <c r="D134" s="1036"/>
      <c r="E134" s="1046"/>
      <c r="F134" s="1046"/>
      <c r="G134" s="1046"/>
      <c r="H134" s="1036"/>
      <c r="I134" s="1036"/>
      <c r="J134" s="1045"/>
      <c r="K134" s="1036"/>
      <c r="L134" s="1036"/>
      <c r="M134" s="1045"/>
      <c r="N134" s="1036"/>
      <c r="O134" s="1036"/>
      <c r="P134" s="1045"/>
      <c r="Q134" s="1036"/>
      <c r="R134" s="1036"/>
      <c r="S134" s="1045"/>
      <c r="T134" s="1036"/>
      <c r="U134" s="1036"/>
      <c r="V134" s="1045"/>
      <c r="W134" s="1045"/>
      <c r="X134" s="1047"/>
      <c r="Y134" s="1048"/>
      <c r="Z134" s="1048"/>
      <c r="AA134" s="1048"/>
      <c r="AB134" s="1048"/>
      <c r="AC134" s="1048"/>
      <c r="AD134" s="1048"/>
      <c r="AE134" s="1048"/>
      <c r="AF134" s="1048"/>
      <c r="AG134" s="1048"/>
      <c r="AH134" s="1048"/>
      <c r="AI134" s="1048"/>
      <c r="AJ134" s="1048"/>
      <c r="AK134" s="1048"/>
      <c r="AL134" s="1048"/>
      <c r="AM134" s="1048"/>
      <c r="AN134" s="1048"/>
      <c r="AO134" s="1048"/>
      <c r="AP134" s="1048"/>
      <c r="AQ134" s="1049"/>
      <c r="AR134" s="1049"/>
      <c r="AS134" s="1049"/>
      <c r="AT134" s="1049"/>
      <c r="AU134" s="1049"/>
      <c r="AV134" s="1050"/>
      <c r="AW134" s="1050"/>
      <c r="AX134" s="1050"/>
      <c r="AY134" s="1050"/>
      <c r="AZ134" s="1050"/>
      <c r="BA134" s="1051"/>
      <c r="BB134" s="1052"/>
      <c r="BC134" s="1052"/>
      <c r="BD134" s="1052"/>
      <c r="BE134" s="1052"/>
      <c r="BF134" s="1052"/>
      <c r="BG134" s="1045"/>
      <c r="BH134" s="1036"/>
      <c r="BI134" s="1036"/>
      <c r="BJ134" s="1036"/>
      <c r="BK134" s="1036"/>
      <c r="BL134" s="1036"/>
      <c r="BM134" s="1036"/>
      <c r="BN134" s="1036"/>
      <c r="BO134" s="1036"/>
      <c r="BP134" s="1036"/>
      <c r="BQ134" s="1036"/>
      <c r="BR134" s="1036"/>
      <c r="BS134" s="1036"/>
      <c r="BT134" s="1036"/>
      <c r="BU134" s="1036"/>
      <c r="BV134" s="1036"/>
      <c r="BW134" s="1036"/>
      <c r="BX134" s="1036"/>
      <c r="BY134" s="1036"/>
      <c r="BZ134" s="1036"/>
      <c r="CA134" s="1036"/>
      <c r="CB134" s="1036"/>
      <c r="CC134" s="1032"/>
      <c r="CD134" s="1032"/>
      <c r="CE134" s="1032"/>
      <c r="CF134" s="1032"/>
      <c r="CG134" s="1032"/>
      <c r="CH134" s="1032"/>
      <c r="CI134" s="1032"/>
      <c r="CJ134" s="1032"/>
      <c r="CK134" s="1032"/>
      <c r="CL134" s="1032"/>
      <c r="CM134" s="1032"/>
      <c r="CN134" s="1032"/>
      <c r="CO134" s="1032"/>
      <c r="CP134" s="1032"/>
      <c r="CQ134" s="1032"/>
      <c r="CR134" s="1032"/>
      <c r="CS134" s="1032"/>
      <c r="CT134" s="1032"/>
      <c r="CU134" s="1032"/>
      <c r="CV134" s="1032"/>
      <c r="CW134" s="1032"/>
      <c r="CX134" s="1032"/>
      <c r="CY134" s="1032"/>
      <c r="CZ134" s="1032"/>
      <c r="DA134" s="1032"/>
      <c r="DB134" s="1032"/>
      <c r="DC134" s="1032"/>
      <c r="DD134" s="1032"/>
      <c r="DE134" s="1032"/>
      <c r="DF134" s="1032"/>
      <c r="DG134" s="1032"/>
      <c r="DH134" s="1032"/>
      <c r="DI134" s="1032"/>
      <c r="DJ134" s="1032"/>
      <c r="DK134" s="1032"/>
      <c r="DL134" s="1032"/>
      <c r="DM134" s="1032"/>
      <c r="DN134" s="1032"/>
      <c r="DO134" s="1032"/>
      <c r="DP134" s="1032"/>
      <c r="DQ134" s="1032"/>
      <c r="DR134" s="1032"/>
      <c r="DS134" s="1032"/>
      <c r="DT134" s="1032"/>
      <c r="DU134" s="1032"/>
      <c r="DV134" s="1032"/>
      <c r="DW134" s="1032"/>
      <c r="DX134" s="1032"/>
      <c r="DY134" s="1032"/>
      <c r="DZ134" s="1032"/>
      <c r="EA134" s="1032"/>
      <c r="EB134" s="1032"/>
      <c r="EC134" s="1032"/>
      <c r="ED134" s="1032"/>
      <c r="EE134" s="1032"/>
      <c r="EF134" s="1032"/>
      <c r="EG134" s="1032"/>
      <c r="EH134" s="1032"/>
      <c r="EI134" s="1032"/>
      <c r="EJ134" s="1032"/>
      <c r="EK134" s="1032"/>
      <c r="EL134" s="1032"/>
      <c r="EM134" s="1032"/>
      <c r="EN134" s="1032"/>
      <c r="EO134" s="1032"/>
      <c r="EP134" s="1032"/>
      <c r="EQ134" s="1032"/>
      <c r="ER134" s="1032"/>
      <c r="ES134" s="1032"/>
      <c r="ET134" s="1032"/>
      <c r="EU134" s="1032"/>
      <c r="EV134" s="1032"/>
      <c r="EW134" s="1032"/>
      <c r="EX134" s="1032"/>
      <c r="EY134" s="1032"/>
      <c r="EZ134" s="1032"/>
      <c r="FA134" s="1032"/>
      <c r="FB134" s="1032"/>
      <c r="FC134" s="1032"/>
      <c r="FD134" s="1032"/>
      <c r="FE134" s="1032"/>
      <c r="FF134" s="1032"/>
      <c r="FG134" s="1032"/>
      <c r="FH134" s="1032"/>
      <c r="FI134" s="1032"/>
      <c r="FJ134" s="1032"/>
      <c r="FK134" s="1032"/>
      <c r="FL134" s="1032"/>
      <c r="FM134" s="1032"/>
      <c r="FN134" s="1032"/>
      <c r="FO134" s="1032"/>
      <c r="FP134" s="1032"/>
      <c r="FQ134" s="1032"/>
      <c r="FR134" s="1032"/>
      <c r="FS134" s="1032"/>
      <c r="FT134" s="1032"/>
      <c r="FU134" s="1032"/>
      <c r="FV134" s="1032"/>
      <c r="FW134" s="1032"/>
      <c r="FX134" s="1032"/>
      <c r="FY134" s="1032"/>
      <c r="FZ134" s="1032"/>
      <c r="GA134" s="1032"/>
      <c r="GB134" s="1032"/>
      <c r="GC134" s="1032"/>
      <c r="GD134" s="1032"/>
      <c r="GE134" s="1032"/>
      <c r="GF134" s="1032"/>
      <c r="GG134" s="1032"/>
      <c r="GH134" s="1032"/>
      <c r="GI134" s="1032"/>
      <c r="GJ134" s="1032"/>
      <c r="GK134" s="1032"/>
      <c r="GL134" s="1032"/>
      <c r="GM134" s="1032"/>
      <c r="GN134" s="1032"/>
      <c r="GO134" s="1032"/>
      <c r="GP134" s="1032"/>
      <c r="GQ134" s="1032"/>
      <c r="GR134" s="1032"/>
      <c r="GS134" s="1032"/>
      <c r="GT134" s="1032"/>
      <c r="GU134" s="1032"/>
      <c r="GV134" s="1032"/>
      <c r="GW134" s="1032"/>
      <c r="GX134" s="1032"/>
      <c r="GY134" s="1032"/>
      <c r="GZ134" s="1032"/>
      <c r="HA134" s="1032"/>
      <c r="HB134" s="1032"/>
      <c r="HC134" s="1032"/>
      <c r="HD134" s="1032"/>
      <c r="HE134" s="1032"/>
      <c r="HF134" s="1032"/>
      <c r="HG134" s="1032"/>
      <c r="HH134" s="1032"/>
      <c r="HI134" s="1032"/>
      <c r="HJ134" s="1032"/>
      <c r="HK134" s="1032"/>
      <c r="HL134" s="1032"/>
      <c r="HM134" s="1032"/>
      <c r="HN134" s="1032"/>
      <c r="HO134" s="1032"/>
      <c r="HP134" s="1032"/>
      <c r="HQ134" s="1032"/>
      <c r="HR134" s="1032"/>
      <c r="HS134" s="1032"/>
      <c r="HT134" s="1032"/>
      <c r="HU134" s="1032"/>
      <c r="HV134" s="1032"/>
      <c r="HW134" s="1032"/>
      <c r="HX134" s="1032"/>
      <c r="HY134" s="1032"/>
      <c r="HZ134" s="1032"/>
      <c r="IA134" s="1032"/>
      <c r="IB134" s="1032"/>
      <c r="IC134" s="1032"/>
      <c r="ID134" s="1032"/>
      <c r="IE134" s="1032"/>
      <c r="IF134" s="1032"/>
      <c r="IG134" s="1032"/>
      <c r="IH134" s="1032"/>
      <c r="II134" s="1032"/>
      <c r="IJ134" s="1032"/>
      <c r="IK134" s="1032"/>
      <c r="IL134" s="1032"/>
      <c r="IM134" s="1032"/>
      <c r="IN134" s="1032"/>
      <c r="IO134" s="1032"/>
      <c r="IP134" s="1032"/>
      <c r="IQ134" s="1032"/>
      <c r="IR134" s="1032"/>
      <c r="IS134" s="1032"/>
      <c r="IT134" s="1032"/>
      <c r="IU134" s="1032"/>
      <c r="IV134" s="1032"/>
      <c r="IW134" s="1032"/>
      <c r="IX134" s="1032"/>
      <c r="IY134" s="1032"/>
      <c r="IZ134" s="1032"/>
      <c r="JA134" s="1032"/>
      <c r="JB134" s="1032"/>
      <c r="JC134" s="1032"/>
      <c r="JD134" s="1032"/>
      <c r="JE134" s="1032"/>
      <c r="JF134" s="1032"/>
      <c r="JG134" s="1032"/>
      <c r="JH134" s="1032"/>
      <c r="JI134" s="1032"/>
      <c r="JJ134" s="1032"/>
      <c r="JK134" s="1032"/>
      <c r="JL134" s="1032"/>
      <c r="JM134" s="1032"/>
      <c r="JN134" s="1032"/>
      <c r="JO134" s="1032"/>
      <c r="JP134" s="1032"/>
      <c r="JQ134" s="1032"/>
      <c r="JR134" s="1032"/>
      <c r="JS134" s="1032"/>
      <c r="JT134" s="1032"/>
      <c r="JU134" s="1032"/>
      <c r="JV134" s="1032"/>
      <c r="JW134" s="1032"/>
      <c r="JX134" s="1032"/>
      <c r="JY134" s="1032"/>
      <c r="JZ134" s="1032"/>
      <c r="KA134" s="1032"/>
      <c r="KB134" s="1032"/>
      <c r="KC134" s="1032"/>
      <c r="KD134" s="1032"/>
      <c r="KE134" s="1032"/>
      <c r="KF134" s="1032"/>
      <c r="KG134" s="1032"/>
      <c r="KH134" s="1032"/>
      <c r="KI134" s="1032"/>
      <c r="KJ134" s="1032"/>
      <c r="KK134" s="1032"/>
      <c r="KL134" s="1032"/>
      <c r="KM134" s="1032"/>
      <c r="KN134" s="1032"/>
      <c r="KO134" s="1032"/>
      <c r="KP134" s="1032"/>
      <c r="KQ134" s="1032"/>
      <c r="KR134" s="1032"/>
      <c r="KS134" s="1032"/>
      <c r="KT134" s="1032"/>
      <c r="KU134" s="1032"/>
      <c r="KV134" s="1032"/>
      <c r="KW134" s="1032"/>
      <c r="KX134" s="1032"/>
      <c r="KY134" s="1032"/>
      <c r="KZ134" s="1032"/>
      <c r="LA134" s="1032"/>
      <c r="LB134" s="1032"/>
      <c r="LC134" s="1032"/>
      <c r="LD134" s="1032"/>
      <c r="LE134" s="1032"/>
      <c r="LF134" s="1032"/>
      <c r="LG134" s="1032"/>
      <c r="LH134" s="1032"/>
      <c r="LI134" s="1032"/>
      <c r="LJ134" s="1032"/>
      <c r="LK134" s="1032"/>
      <c r="LL134" s="1032"/>
      <c r="LM134" s="1032"/>
      <c r="LN134" s="1032"/>
      <c r="LO134" s="1032"/>
      <c r="LP134" s="1032"/>
      <c r="LQ134" s="1032"/>
      <c r="LR134" s="1032"/>
      <c r="LS134" s="1032"/>
      <c r="LT134" s="1032"/>
      <c r="LU134" s="1032"/>
      <c r="LV134" s="1032"/>
      <c r="LW134" s="1032"/>
      <c r="LX134" s="1032"/>
      <c r="LY134" s="1032"/>
      <c r="LZ134" s="1032"/>
      <c r="MA134" s="1032"/>
      <c r="MB134" s="1032"/>
      <c r="MC134" s="1032"/>
      <c r="MD134" s="1032"/>
      <c r="ME134" s="1032"/>
      <c r="MF134" s="1032"/>
      <c r="MG134" s="1032"/>
      <c r="MH134" s="1032"/>
      <c r="MI134" s="1032"/>
      <c r="MJ134" s="1032"/>
      <c r="MK134" s="1032"/>
      <c r="ML134" s="1032"/>
      <c r="MM134" s="1032"/>
      <c r="MN134" s="1032"/>
      <c r="MO134" s="1032"/>
      <c r="MP134" s="1032"/>
      <c r="MQ134" s="1032"/>
      <c r="MR134" s="1032"/>
      <c r="MS134" s="1032"/>
      <c r="MT134" s="1032"/>
      <c r="MU134" s="1032"/>
      <c r="MV134" s="1032"/>
      <c r="MW134" s="1032"/>
      <c r="MX134" s="1032"/>
      <c r="MY134" s="1032"/>
      <c r="MZ134" s="1032"/>
      <c r="NA134" s="1032"/>
      <c r="NB134" s="1032"/>
      <c r="NC134" s="1032"/>
      <c r="ND134" s="1032"/>
      <c r="NE134" s="1032"/>
      <c r="NF134" s="1032"/>
      <c r="NG134" s="1032"/>
      <c r="NH134" s="1032"/>
      <c r="NI134" s="1032"/>
      <c r="NJ134" s="1032"/>
      <c r="NK134" s="1032"/>
      <c r="NL134" s="1032"/>
      <c r="NM134" s="1032"/>
      <c r="NN134" s="1032"/>
      <c r="NO134" s="1032"/>
      <c r="NP134" s="1032"/>
      <c r="NQ134" s="1032"/>
      <c r="NR134" s="1032"/>
      <c r="NS134" s="1032"/>
      <c r="NT134" s="1032"/>
      <c r="NU134" s="1032"/>
      <c r="NV134" s="1032"/>
      <c r="NW134" s="1032"/>
      <c r="NX134" s="1032"/>
      <c r="NY134" s="1032"/>
      <c r="NZ134" s="1032"/>
      <c r="OA134" s="1032"/>
      <c r="OB134" s="1032"/>
      <c r="OC134" s="1032"/>
      <c r="OD134" s="1032"/>
      <c r="OE134" s="1032"/>
      <c r="OF134" s="1032"/>
      <c r="OG134" s="1032"/>
      <c r="OH134" s="1032"/>
    </row>
    <row r="135" spans="1:398" s="25" customFormat="1" ht="69.95" customHeight="1">
      <c r="A135" s="1045"/>
      <c r="B135" s="1036"/>
      <c r="C135" s="1036"/>
      <c r="D135" s="1036"/>
      <c r="E135" s="1046"/>
      <c r="F135" s="1046"/>
      <c r="G135" s="1046"/>
      <c r="H135" s="1036"/>
      <c r="I135" s="1036"/>
      <c r="J135" s="1045"/>
      <c r="K135" s="1036"/>
      <c r="L135" s="1036"/>
      <c r="M135" s="1045"/>
      <c r="N135" s="1036"/>
      <c r="O135" s="1036"/>
      <c r="P135" s="1045"/>
      <c r="Q135" s="1036"/>
      <c r="R135" s="1036"/>
      <c r="S135" s="1045"/>
      <c r="T135" s="1036"/>
      <c r="U135" s="1036"/>
      <c r="V135" s="1045"/>
      <c r="W135" s="1045"/>
      <c r="X135" s="1047"/>
      <c r="Y135" s="1048"/>
      <c r="Z135" s="1048"/>
      <c r="AA135" s="1048"/>
      <c r="AB135" s="1048"/>
      <c r="AC135" s="1048"/>
      <c r="AD135" s="1048"/>
      <c r="AE135" s="1048"/>
      <c r="AF135" s="1048"/>
      <c r="AG135" s="1048"/>
      <c r="AH135" s="1048"/>
      <c r="AI135" s="1048"/>
      <c r="AJ135" s="1048"/>
      <c r="AK135" s="1048"/>
      <c r="AL135" s="1048"/>
      <c r="AM135" s="1048"/>
      <c r="AN135" s="1048"/>
      <c r="AO135" s="1048"/>
      <c r="AP135" s="1048"/>
      <c r="AQ135" s="1049"/>
      <c r="AR135" s="1049"/>
      <c r="AS135" s="1049"/>
      <c r="AT135" s="1049"/>
      <c r="AU135" s="1049"/>
      <c r="AV135" s="1050"/>
      <c r="AW135" s="1050"/>
      <c r="AX135" s="1050"/>
      <c r="AY135" s="1050"/>
      <c r="AZ135" s="1050"/>
      <c r="BA135" s="1051"/>
      <c r="BB135" s="1052"/>
      <c r="BC135" s="1052"/>
      <c r="BD135" s="1052"/>
      <c r="BE135" s="1052"/>
      <c r="BF135" s="1052"/>
      <c r="BG135" s="1045"/>
      <c r="BH135" s="1036"/>
      <c r="BI135" s="1036"/>
      <c r="BJ135" s="1036"/>
      <c r="BK135" s="1036"/>
      <c r="BL135" s="1036"/>
      <c r="BM135" s="1036"/>
      <c r="BN135" s="1036"/>
      <c r="BO135" s="1036"/>
      <c r="BP135" s="1036"/>
      <c r="BQ135" s="1036"/>
      <c r="BR135" s="1036"/>
      <c r="BS135" s="1036"/>
      <c r="BT135" s="1036"/>
      <c r="BU135" s="1036"/>
      <c r="BV135" s="1036"/>
      <c r="BW135" s="1036"/>
      <c r="BX135" s="1036"/>
      <c r="BY135" s="1036"/>
      <c r="BZ135" s="1036"/>
      <c r="CA135" s="1036"/>
      <c r="CB135" s="1049"/>
      <c r="CC135" s="1032"/>
      <c r="CD135" s="1032"/>
      <c r="CE135" s="1032"/>
      <c r="CF135" s="1032"/>
      <c r="CG135" s="1032"/>
      <c r="CH135" s="1032"/>
      <c r="CI135" s="1032"/>
      <c r="CJ135" s="1032"/>
      <c r="CK135" s="1032"/>
      <c r="CL135" s="1032"/>
      <c r="CM135" s="1032"/>
      <c r="CN135" s="1032"/>
      <c r="CO135" s="1032"/>
      <c r="CP135" s="1032"/>
      <c r="CQ135" s="1032"/>
      <c r="CR135" s="1032"/>
      <c r="CS135" s="1032"/>
      <c r="CT135" s="1032"/>
      <c r="CU135" s="1032"/>
      <c r="CV135" s="1032"/>
      <c r="CW135" s="1032"/>
      <c r="CX135" s="1032"/>
      <c r="CY135" s="1032"/>
      <c r="CZ135" s="1032"/>
      <c r="DA135" s="1032"/>
      <c r="DB135" s="1032"/>
      <c r="DC135" s="1032"/>
      <c r="DD135" s="1032"/>
      <c r="DE135" s="1032"/>
      <c r="DF135" s="1032"/>
      <c r="DG135" s="1032"/>
      <c r="DH135" s="1032"/>
      <c r="DI135" s="1032"/>
      <c r="DJ135" s="1032"/>
      <c r="DK135" s="1032"/>
      <c r="DL135" s="1032"/>
      <c r="DM135" s="1032"/>
      <c r="DN135" s="1032"/>
      <c r="DO135" s="1032"/>
      <c r="DP135" s="1032"/>
      <c r="DQ135" s="1032"/>
      <c r="DR135" s="1032"/>
      <c r="DS135" s="1032"/>
      <c r="DT135" s="1032"/>
      <c r="DU135" s="1032"/>
      <c r="DV135" s="1032"/>
      <c r="DW135" s="1032"/>
      <c r="DX135" s="1032"/>
      <c r="DY135" s="1032"/>
      <c r="DZ135" s="1032"/>
      <c r="EA135" s="1032"/>
      <c r="EB135" s="1032"/>
      <c r="EC135" s="1032"/>
      <c r="ED135" s="1032"/>
      <c r="EE135" s="1032"/>
      <c r="EF135" s="1032"/>
      <c r="EG135" s="1032"/>
      <c r="EH135" s="1032"/>
      <c r="EI135" s="1032"/>
      <c r="EJ135" s="1032"/>
      <c r="EK135" s="1032"/>
      <c r="EL135" s="1032"/>
      <c r="EM135" s="1032"/>
      <c r="EN135" s="1032"/>
      <c r="EO135" s="1032"/>
      <c r="EP135" s="1032"/>
      <c r="EQ135" s="1032"/>
      <c r="ER135" s="1032"/>
      <c r="ES135" s="1032"/>
      <c r="ET135" s="1032"/>
      <c r="EU135" s="1032"/>
      <c r="EV135" s="1032"/>
      <c r="EW135" s="1032"/>
      <c r="EX135" s="1032"/>
      <c r="EY135" s="1032"/>
      <c r="EZ135" s="1032"/>
      <c r="FA135" s="1032"/>
      <c r="FB135" s="1032"/>
      <c r="FC135" s="1032"/>
      <c r="FD135" s="1032"/>
      <c r="FE135" s="1032"/>
      <c r="FF135" s="1032"/>
      <c r="FG135" s="1032"/>
      <c r="FH135" s="1032"/>
      <c r="FI135" s="1032"/>
      <c r="FJ135" s="1032"/>
      <c r="FK135" s="1032"/>
      <c r="FL135" s="1032"/>
      <c r="FM135" s="1032"/>
      <c r="FN135" s="1032"/>
      <c r="FO135" s="1032"/>
      <c r="FP135" s="1032"/>
      <c r="FQ135" s="1032"/>
      <c r="FR135" s="1032"/>
      <c r="FS135" s="1032"/>
      <c r="FT135" s="1032"/>
      <c r="FU135" s="1032"/>
      <c r="FV135" s="1032"/>
      <c r="FW135" s="1032"/>
      <c r="FX135" s="1032"/>
      <c r="FY135" s="1032"/>
      <c r="FZ135" s="1032"/>
      <c r="GA135" s="1032"/>
      <c r="GB135" s="1032"/>
      <c r="GC135" s="1032"/>
      <c r="GD135" s="1032"/>
      <c r="GE135" s="1032"/>
      <c r="GF135" s="1032"/>
      <c r="GG135" s="1032"/>
      <c r="GH135" s="1032"/>
      <c r="GI135" s="1032"/>
      <c r="GJ135" s="1032"/>
      <c r="GK135" s="1032"/>
      <c r="GL135" s="1032"/>
      <c r="GM135" s="1032"/>
      <c r="GN135" s="1032"/>
      <c r="GO135" s="1032"/>
      <c r="GP135" s="1032"/>
      <c r="GQ135" s="1032"/>
      <c r="GR135" s="1032"/>
      <c r="GS135" s="1032"/>
      <c r="GT135" s="1032"/>
      <c r="GU135" s="1032"/>
      <c r="GV135" s="1032"/>
      <c r="GW135" s="1032"/>
      <c r="GX135" s="1032"/>
      <c r="GY135" s="1032"/>
      <c r="GZ135" s="1032"/>
      <c r="HA135" s="1032"/>
      <c r="HB135" s="1032"/>
      <c r="HC135" s="1032"/>
      <c r="HD135" s="1032"/>
      <c r="HE135" s="1032"/>
      <c r="HF135" s="1032"/>
      <c r="HG135" s="1032"/>
      <c r="HH135" s="1032"/>
      <c r="HI135" s="1032"/>
      <c r="HJ135" s="1032"/>
      <c r="HK135" s="1032"/>
      <c r="HL135" s="1032"/>
      <c r="HM135" s="1032"/>
      <c r="HN135" s="1032"/>
      <c r="HO135" s="1032"/>
      <c r="HP135" s="1032"/>
      <c r="HQ135" s="1032"/>
      <c r="HR135" s="1032"/>
      <c r="HS135" s="1032"/>
      <c r="HT135" s="1032"/>
      <c r="HU135" s="1032"/>
      <c r="HV135" s="1032"/>
      <c r="HW135" s="1032"/>
      <c r="HX135" s="1032"/>
      <c r="HY135" s="1032"/>
      <c r="HZ135" s="1032"/>
      <c r="IA135" s="1032"/>
      <c r="IB135" s="1032"/>
      <c r="IC135" s="1032"/>
      <c r="ID135" s="1032"/>
      <c r="IE135" s="1032"/>
      <c r="IF135" s="1032"/>
      <c r="IG135" s="1032"/>
      <c r="IH135" s="1032"/>
      <c r="II135" s="1032"/>
      <c r="IJ135" s="1032"/>
      <c r="IK135" s="1032"/>
      <c r="IL135" s="1032"/>
      <c r="IM135" s="1032"/>
      <c r="IN135" s="1032"/>
      <c r="IO135" s="1032"/>
      <c r="IP135" s="1032"/>
      <c r="IQ135" s="1032"/>
      <c r="IR135" s="1032"/>
      <c r="IS135" s="1032"/>
      <c r="IT135" s="1032"/>
      <c r="IU135" s="1032"/>
      <c r="IV135" s="1032"/>
      <c r="IW135" s="1032"/>
      <c r="IX135" s="1032"/>
      <c r="IY135" s="1032"/>
      <c r="IZ135" s="1032"/>
      <c r="JA135" s="1032"/>
      <c r="JB135" s="1032"/>
      <c r="JC135" s="1032"/>
      <c r="JD135" s="1032"/>
      <c r="JE135" s="1032"/>
      <c r="JF135" s="1032"/>
      <c r="JG135" s="1032"/>
      <c r="JH135" s="1032"/>
      <c r="JI135" s="1032"/>
      <c r="JJ135" s="1032"/>
      <c r="JK135" s="1032"/>
      <c r="JL135" s="1032"/>
      <c r="JM135" s="1032"/>
      <c r="JN135" s="1032"/>
      <c r="JO135" s="1032"/>
      <c r="JP135" s="1032"/>
      <c r="JQ135" s="1032"/>
      <c r="JR135" s="1032"/>
      <c r="JS135" s="1032"/>
      <c r="JT135" s="1032"/>
      <c r="JU135" s="1032"/>
      <c r="JV135" s="1032"/>
      <c r="JW135" s="1032"/>
      <c r="JX135" s="1032"/>
      <c r="JY135" s="1032"/>
      <c r="JZ135" s="1032"/>
      <c r="KA135" s="1032"/>
      <c r="KB135" s="1032"/>
      <c r="KC135" s="1032"/>
      <c r="KD135" s="1032"/>
      <c r="KE135" s="1032"/>
      <c r="KF135" s="1032"/>
      <c r="KG135" s="1032"/>
      <c r="KH135" s="1032"/>
      <c r="KI135" s="1032"/>
      <c r="KJ135" s="1032"/>
      <c r="KK135" s="1032"/>
      <c r="KL135" s="1032"/>
      <c r="KM135" s="1032"/>
      <c r="KN135" s="1032"/>
      <c r="KO135" s="1032"/>
      <c r="KP135" s="1032"/>
      <c r="KQ135" s="1032"/>
      <c r="KR135" s="1032"/>
      <c r="KS135" s="1032"/>
      <c r="KT135" s="1032"/>
      <c r="KU135" s="1032"/>
      <c r="KV135" s="1032"/>
      <c r="KW135" s="1032"/>
      <c r="KX135" s="1032"/>
      <c r="KY135" s="1032"/>
      <c r="KZ135" s="1032"/>
      <c r="LA135" s="1032"/>
      <c r="LB135" s="1032"/>
      <c r="LC135" s="1032"/>
      <c r="LD135" s="1032"/>
      <c r="LE135" s="1032"/>
      <c r="LF135" s="1032"/>
      <c r="LG135" s="1032"/>
      <c r="LH135" s="1032"/>
      <c r="LI135" s="1032"/>
      <c r="LJ135" s="1032"/>
      <c r="LK135" s="1032"/>
      <c r="LL135" s="1032"/>
      <c r="LM135" s="1032"/>
      <c r="LN135" s="1032"/>
      <c r="LO135" s="1032"/>
      <c r="LP135" s="1032"/>
      <c r="LQ135" s="1032"/>
      <c r="LR135" s="1032"/>
      <c r="LS135" s="1032"/>
      <c r="LT135" s="1032"/>
      <c r="LU135" s="1032"/>
      <c r="LV135" s="1032"/>
      <c r="LW135" s="1032"/>
      <c r="LX135" s="1032"/>
      <c r="LY135" s="1032"/>
      <c r="LZ135" s="1032"/>
      <c r="MA135" s="1032"/>
      <c r="MB135" s="1032"/>
      <c r="MC135" s="1032"/>
      <c r="MD135" s="1032"/>
      <c r="ME135" s="1032"/>
      <c r="MF135" s="1032"/>
      <c r="MG135" s="1032"/>
      <c r="MH135" s="1032"/>
      <c r="MI135" s="1032"/>
      <c r="MJ135" s="1032"/>
      <c r="MK135" s="1032"/>
      <c r="ML135" s="1032"/>
      <c r="MM135" s="1032"/>
      <c r="MN135" s="1032"/>
      <c r="MO135" s="1032"/>
      <c r="MP135" s="1032"/>
      <c r="MQ135" s="1032"/>
      <c r="MR135" s="1032"/>
      <c r="MS135" s="1032"/>
      <c r="MT135" s="1032"/>
      <c r="MU135" s="1032"/>
      <c r="MV135" s="1032"/>
      <c r="MW135" s="1032"/>
      <c r="MX135" s="1032"/>
      <c r="MY135" s="1032"/>
      <c r="MZ135" s="1032"/>
      <c r="NA135" s="1032"/>
      <c r="NB135" s="1032"/>
      <c r="NC135" s="1032"/>
      <c r="ND135" s="1032"/>
      <c r="NE135" s="1032"/>
      <c r="NF135" s="1032"/>
      <c r="NG135" s="1032"/>
      <c r="NH135" s="1032"/>
      <c r="NI135" s="1032"/>
      <c r="NJ135" s="1032"/>
      <c r="NK135" s="1032"/>
      <c r="NL135" s="1032"/>
      <c r="NM135" s="1032"/>
      <c r="NN135" s="1032"/>
      <c r="NO135" s="1032"/>
      <c r="NP135" s="1032"/>
      <c r="NQ135" s="1032"/>
      <c r="NR135" s="1032"/>
      <c r="NS135" s="1032"/>
      <c r="NT135" s="1032"/>
      <c r="NU135" s="1032"/>
      <c r="NV135" s="1032"/>
      <c r="NW135" s="1032"/>
      <c r="NX135" s="1032"/>
      <c r="NY135" s="1032"/>
      <c r="NZ135" s="1032"/>
      <c r="OA135" s="1032"/>
      <c r="OB135" s="1032"/>
      <c r="OC135" s="1032"/>
      <c r="OD135" s="1032"/>
      <c r="OE135" s="1032"/>
      <c r="OF135" s="1032"/>
      <c r="OG135" s="1032"/>
      <c r="OH135" s="1032"/>
    </row>
    <row r="136" spans="1:398" s="13" customFormat="1" ht="69.95" customHeight="1">
      <c r="A136" s="1045"/>
      <c r="B136" s="1036"/>
      <c r="C136" s="1036"/>
      <c r="D136" s="1036"/>
      <c r="E136" s="1046"/>
      <c r="F136" s="1046"/>
      <c r="G136" s="1046"/>
      <c r="H136" s="1036"/>
      <c r="I136" s="1036"/>
      <c r="J136" s="1045"/>
      <c r="K136" s="1036"/>
      <c r="L136" s="1036"/>
      <c r="M136" s="1045"/>
      <c r="N136" s="1036"/>
      <c r="O136" s="1036"/>
      <c r="P136" s="1045"/>
      <c r="Q136" s="1036"/>
      <c r="R136" s="1036"/>
      <c r="S136" s="1045"/>
      <c r="T136" s="1036"/>
      <c r="U136" s="1036"/>
      <c r="V136" s="1045"/>
      <c r="W136" s="1045"/>
      <c r="X136" s="1047"/>
      <c r="Y136" s="1048"/>
      <c r="Z136" s="1048"/>
      <c r="AA136" s="1048"/>
      <c r="AB136" s="1048"/>
      <c r="AC136" s="1048"/>
      <c r="AD136" s="1048"/>
      <c r="AE136" s="1048"/>
      <c r="AF136" s="1048"/>
      <c r="AG136" s="1048"/>
      <c r="AH136" s="1048"/>
      <c r="AI136" s="1048"/>
      <c r="AJ136" s="1048"/>
      <c r="AK136" s="1048"/>
      <c r="AL136" s="1048"/>
      <c r="AM136" s="1048"/>
      <c r="AN136" s="1048"/>
      <c r="AO136" s="1048"/>
      <c r="AP136" s="1048"/>
      <c r="AQ136" s="1049"/>
      <c r="AR136" s="1049"/>
      <c r="AS136" s="1049"/>
      <c r="AT136" s="1049"/>
      <c r="AU136" s="1049"/>
      <c r="AV136" s="1050"/>
      <c r="AW136" s="1050"/>
      <c r="AX136" s="1050"/>
      <c r="AY136" s="1050"/>
      <c r="AZ136" s="1050"/>
      <c r="BA136" s="1051"/>
      <c r="BB136" s="1052"/>
      <c r="BC136" s="1052"/>
      <c r="BD136" s="1052"/>
      <c r="BE136" s="1052"/>
      <c r="BF136" s="1052"/>
      <c r="BG136" s="1045"/>
      <c r="BH136" s="1036"/>
      <c r="BI136" s="1036"/>
      <c r="BJ136" s="1036"/>
      <c r="BK136" s="1036"/>
      <c r="BL136" s="1036"/>
      <c r="BM136" s="1036"/>
      <c r="BN136" s="1036"/>
      <c r="BO136" s="1036"/>
      <c r="BP136" s="1036"/>
      <c r="BQ136" s="1036"/>
      <c r="BR136" s="1036"/>
      <c r="BS136" s="1036"/>
      <c r="BT136" s="1036"/>
      <c r="BU136" s="1036"/>
      <c r="BV136" s="1036"/>
      <c r="BW136" s="1036"/>
      <c r="BX136" s="1036"/>
      <c r="BY136" s="1036"/>
      <c r="BZ136" s="1036"/>
      <c r="CA136" s="1036"/>
      <c r="CB136" s="1049"/>
      <c r="CC136" s="1032"/>
      <c r="CD136" s="1032"/>
      <c r="CE136" s="1032"/>
      <c r="CF136" s="1032"/>
      <c r="CG136" s="1032"/>
      <c r="CH136" s="1032"/>
      <c r="CI136" s="1032"/>
      <c r="CJ136" s="1032"/>
      <c r="CK136" s="1032"/>
      <c r="CL136" s="1032"/>
      <c r="CM136" s="1032"/>
      <c r="CN136" s="1032"/>
      <c r="CO136" s="1032"/>
      <c r="CP136" s="1032"/>
      <c r="CQ136" s="1032"/>
      <c r="CR136" s="1032"/>
      <c r="CS136" s="1032"/>
      <c r="CT136" s="1032"/>
      <c r="CU136" s="1032"/>
      <c r="CV136" s="1032"/>
      <c r="CW136" s="1032"/>
      <c r="CX136" s="1032"/>
      <c r="CY136" s="1032"/>
      <c r="CZ136" s="1032"/>
      <c r="DA136" s="1032"/>
      <c r="DB136" s="1032"/>
      <c r="DC136" s="1032"/>
      <c r="DD136" s="1032"/>
      <c r="DE136" s="1032"/>
      <c r="DF136" s="1032"/>
      <c r="DG136" s="1032"/>
      <c r="DH136" s="1032"/>
      <c r="DI136" s="1032"/>
      <c r="DJ136" s="1032"/>
      <c r="DK136" s="1032"/>
      <c r="DL136" s="1032"/>
      <c r="DM136" s="1032"/>
      <c r="DN136" s="1032"/>
      <c r="DO136" s="1032"/>
      <c r="DP136" s="1032"/>
      <c r="DQ136" s="1032"/>
      <c r="DR136" s="1032"/>
      <c r="DS136" s="1032"/>
      <c r="DT136" s="1032"/>
      <c r="DU136" s="1032"/>
      <c r="DV136" s="1032"/>
      <c r="DW136" s="1032"/>
      <c r="DX136" s="1032"/>
      <c r="DY136" s="1032"/>
      <c r="DZ136" s="1032"/>
      <c r="EA136" s="1032"/>
      <c r="EB136" s="1032"/>
      <c r="EC136" s="1032"/>
      <c r="ED136" s="1032"/>
      <c r="EE136" s="1032"/>
      <c r="EF136" s="1032"/>
      <c r="EG136" s="1032"/>
      <c r="EH136" s="1032"/>
      <c r="EI136" s="1032"/>
      <c r="EJ136" s="1032"/>
      <c r="EK136" s="1032"/>
      <c r="EL136" s="1032"/>
      <c r="EM136" s="1032"/>
      <c r="EN136" s="1032"/>
      <c r="EO136" s="1032"/>
      <c r="EP136" s="1032"/>
      <c r="EQ136" s="1032"/>
      <c r="ER136" s="1032"/>
      <c r="ES136" s="1032"/>
      <c r="ET136" s="1032"/>
      <c r="EU136" s="1032"/>
      <c r="EV136" s="1032"/>
      <c r="EW136" s="1032"/>
      <c r="EX136" s="1032"/>
      <c r="EY136" s="1032"/>
      <c r="EZ136" s="1032"/>
      <c r="FA136" s="1032"/>
      <c r="FB136" s="1032"/>
      <c r="FC136" s="1032"/>
      <c r="FD136" s="1032"/>
      <c r="FE136" s="1032"/>
      <c r="FF136" s="1032"/>
      <c r="FG136" s="1032"/>
      <c r="FH136" s="1032"/>
      <c r="FI136" s="1032"/>
      <c r="FJ136" s="1032"/>
      <c r="FK136" s="1032"/>
      <c r="FL136" s="1032"/>
      <c r="FM136" s="1032"/>
      <c r="FN136" s="1032"/>
      <c r="FO136" s="1032"/>
      <c r="FP136" s="1032"/>
      <c r="FQ136" s="1032"/>
      <c r="FR136" s="1032"/>
      <c r="FS136" s="1032"/>
      <c r="FT136" s="1032"/>
      <c r="FU136" s="1032"/>
      <c r="FV136" s="1032"/>
      <c r="FW136" s="1032"/>
      <c r="FX136" s="1032"/>
      <c r="FY136" s="1032"/>
      <c r="FZ136" s="1032"/>
      <c r="GA136" s="1032"/>
      <c r="GB136" s="1032"/>
      <c r="GC136" s="1032"/>
      <c r="GD136" s="1032"/>
      <c r="GE136" s="1032"/>
      <c r="GF136" s="1032"/>
      <c r="GG136" s="1032"/>
      <c r="GH136" s="1032"/>
      <c r="GI136" s="1032"/>
      <c r="GJ136" s="1032"/>
      <c r="GK136" s="1032"/>
      <c r="GL136" s="1032"/>
      <c r="GM136" s="1032"/>
      <c r="GN136" s="1032"/>
      <c r="GO136" s="1032"/>
      <c r="GP136" s="1032"/>
      <c r="GQ136" s="1032"/>
      <c r="GR136" s="1032"/>
      <c r="GS136" s="1032"/>
      <c r="GT136" s="1032"/>
      <c r="GU136" s="1032"/>
      <c r="GV136" s="1032"/>
      <c r="GW136" s="1032"/>
      <c r="GX136" s="1032"/>
      <c r="GY136" s="1032"/>
      <c r="GZ136" s="1032"/>
      <c r="HA136" s="1032"/>
      <c r="HB136" s="1032"/>
      <c r="HC136" s="1032"/>
      <c r="HD136" s="1032"/>
      <c r="HE136" s="1032"/>
      <c r="HF136" s="1032"/>
      <c r="HG136" s="1032"/>
      <c r="HH136" s="1032"/>
      <c r="HI136" s="1032"/>
      <c r="HJ136" s="1032"/>
      <c r="HK136" s="1032"/>
      <c r="HL136" s="1032"/>
      <c r="HM136" s="1032"/>
      <c r="HN136" s="1032"/>
      <c r="HO136" s="1032"/>
      <c r="HP136" s="1032"/>
      <c r="HQ136" s="1032"/>
      <c r="HR136" s="1032"/>
      <c r="HS136" s="1032"/>
      <c r="HT136" s="1032"/>
      <c r="HU136" s="1032"/>
      <c r="HV136" s="1032"/>
      <c r="HW136" s="1032"/>
      <c r="HX136" s="1032"/>
      <c r="HY136" s="1032"/>
      <c r="HZ136" s="1032"/>
      <c r="IA136" s="1032"/>
      <c r="IB136" s="1032"/>
      <c r="IC136" s="1032"/>
      <c r="ID136" s="1032"/>
      <c r="IE136" s="1032"/>
      <c r="IF136" s="1032"/>
      <c r="IG136" s="1032"/>
      <c r="IH136" s="1032"/>
      <c r="II136" s="1032"/>
      <c r="IJ136" s="1032"/>
      <c r="IK136" s="1032"/>
      <c r="IL136" s="1032"/>
      <c r="IM136" s="1032"/>
      <c r="IN136" s="1032"/>
      <c r="IO136" s="1032"/>
      <c r="IP136" s="1032"/>
      <c r="IQ136" s="1032"/>
      <c r="IR136" s="1032"/>
      <c r="IS136" s="1032"/>
      <c r="IT136" s="1032"/>
      <c r="IU136" s="1032"/>
      <c r="IV136" s="1032"/>
      <c r="IW136" s="1032"/>
      <c r="IX136" s="1032"/>
      <c r="IY136" s="1032"/>
      <c r="IZ136" s="1032"/>
      <c r="JA136" s="1032"/>
      <c r="JB136" s="1032"/>
      <c r="JC136" s="1032"/>
      <c r="JD136" s="1032"/>
      <c r="JE136" s="1032"/>
      <c r="JF136" s="1032"/>
      <c r="JG136" s="1032"/>
      <c r="JH136" s="1032"/>
      <c r="JI136" s="1032"/>
      <c r="JJ136" s="1032"/>
      <c r="JK136" s="1032"/>
      <c r="JL136" s="1032"/>
      <c r="JM136" s="1032"/>
      <c r="JN136" s="1032"/>
      <c r="JO136" s="1032"/>
      <c r="JP136" s="1032"/>
      <c r="JQ136" s="1032"/>
      <c r="JR136" s="1032"/>
      <c r="JS136" s="1032"/>
      <c r="JT136" s="1032"/>
      <c r="JU136" s="1032"/>
      <c r="JV136" s="1032"/>
      <c r="JW136" s="1032"/>
      <c r="JX136" s="1032"/>
      <c r="JY136" s="1032"/>
      <c r="JZ136" s="1032"/>
      <c r="KA136" s="1032"/>
      <c r="KB136" s="1032"/>
      <c r="KC136" s="1032"/>
      <c r="KD136" s="1032"/>
      <c r="KE136" s="1032"/>
      <c r="KF136" s="1032"/>
      <c r="KG136" s="1032"/>
      <c r="KH136" s="1032"/>
      <c r="KI136" s="1032"/>
      <c r="KJ136" s="1032"/>
      <c r="KK136" s="1032"/>
      <c r="KL136" s="1032"/>
      <c r="KM136" s="1032"/>
      <c r="KN136" s="1032"/>
      <c r="KO136" s="1032"/>
      <c r="KP136" s="1032"/>
      <c r="KQ136" s="1032"/>
      <c r="KR136" s="1032"/>
      <c r="KS136" s="1032"/>
      <c r="KT136" s="1032"/>
      <c r="KU136" s="1032"/>
      <c r="KV136" s="1032"/>
      <c r="KW136" s="1032"/>
      <c r="KX136" s="1032"/>
      <c r="KY136" s="1032"/>
      <c r="KZ136" s="1032"/>
      <c r="LA136" s="1032"/>
      <c r="LB136" s="1032"/>
      <c r="LC136" s="1032"/>
      <c r="LD136" s="1032"/>
      <c r="LE136" s="1032"/>
      <c r="LF136" s="1032"/>
      <c r="LG136" s="1032"/>
      <c r="LH136" s="1032"/>
      <c r="LI136" s="1032"/>
      <c r="LJ136" s="1032"/>
      <c r="LK136" s="1032"/>
      <c r="LL136" s="1032"/>
      <c r="LM136" s="1032"/>
      <c r="LN136" s="1032"/>
      <c r="LO136" s="1032"/>
      <c r="LP136" s="1032"/>
      <c r="LQ136" s="1032"/>
      <c r="LR136" s="1032"/>
      <c r="LS136" s="1032"/>
      <c r="LT136" s="1032"/>
      <c r="LU136" s="1032"/>
      <c r="LV136" s="1032"/>
      <c r="LW136" s="1032"/>
      <c r="LX136" s="1032"/>
      <c r="LY136" s="1032"/>
      <c r="LZ136" s="1032"/>
      <c r="MA136" s="1032"/>
      <c r="MB136" s="1032"/>
      <c r="MC136" s="1032"/>
      <c r="MD136" s="1032"/>
      <c r="ME136" s="1032"/>
      <c r="MF136" s="1032"/>
      <c r="MG136" s="1032"/>
      <c r="MH136" s="1032"/>
      <c r="MI136" s="1032"/>
      <c r="MJ136" s="1032"/>
      <c r="MK136" s="1032"/>
      <c r="ML136" s="1032"/>
      <c r="MM136" s="1032"/>
      <c r="MN136" s="1032"/>
      <c r="MO136" s="1032"/>
      <c r="MP136" s="1032"/>
      <c r="MQ136" s="1032"/>
      <c r="MR136" s="1032"/>
      <c r="MS136" s="1032"/>
      <c r="MT136" s="1032"/>
      <c r="MU136" s="1032"/>
      <c r="MV136" s="1032"/>
      <c r="MW136" s="1032"/>
      <c r="MX136" s="1032"/>
      <c r="MY136" s="1032"/>
      <c r="MZ136" s="1032"/>
      <c r="NA136" s="1032"/>
      <c r="NB136" s="1032"/>
      <c r="NC136" s="1032"/>
      <c r="ND136" s="1032"/>
      <c r="NE136" s="1032"/>
      <c r="NF136" s="1032"/>
      <c r="NG136" s="1032"/>
      <c r="NH136" s="1032"/>
      <c r="NI136" s="1032"/>
      <c r="NJ136" s="1032"/>
      <c r="NK136" s="1032"/>
      <c r="NL136" s="1032"/>
      <c r="NM136" s="1032"/>
      <c r="NN136" s="1032"/>
      <c r="NO136" s="1032"/>
      <c r="NP136" s="1032"/>
      <c r="NQ136" s="1032"/>
      <c r="NR136" s="1032"/>
      <c r="NS136" s="1032"/>
      <c r="NT136" s="1032"/>
      <c r="NU136" s="1032"/>
      <c r="NV136" s="1032"/>
      <c r="NW136" s="1032"/>
      <c r="NX136" s="1032"/>
      <c r="NY136" s="1032"/>
      <c r="NZ136" s="1032"/>
      <c r="OA136" s="1032"/>
      <c r="OB136" s="1032"/>
      <c r="OC136" s="1032"/>
      <c r="OD136" s="1032"/>
      <c r="OE136" s="1032"/>
      <c r="OF136" s="1032"/>
      <c r="OG136" s="1032"/>
      <c r="OH136" s="1032"/>
    </row>
    <row r="137" spans="1:398" s="25" customFormat="1" ht="69.95" customHeight="1">
      <c r="A137" s="1045"/>
      <c r="B137" s="1036"/>
      <c r="C137" s="1036"/>
      <c r="D137" s="1036"/>
      <c r="E137" s="1046"/>
      <c r="F137" s="1046"/>
      <c r="G137" s="1046"/>
      <c r="H137" s="1036"/>
      <c r="I137" s="1036"/>
      <c r="J137" s="1045"/>
      <c r="K137" s="1036"/>
      <c r="L137" s="1036"/>
      <c r="M137" s="1045"/>
      <c r="N137" s="1036"/>
      <c r="O137" s="1036"/>
      <c r="P137" s="1045"/>
      <c r="Q137" s="1036"/>
      <c r="R137" s="1036"/>
      <c r="S137" s="1045"/>
      <c r="T137" s="1036"/>
      <c r="U137" s="1036"/>
      <c r="V137" s="1045"/>
      <c r="W137" s="1045"/>
      <c r="X137" s="1047"/>
      <c r="Y137" s="1048"/>
      <c r="Z137" s="1048"/>
      <c r="AA137" s="1048"/>
      <c r="AB137" s="1048"/>
      <c r="AC137" s="1048"/>
      <c r="AD137" s="1048"/>
      <c r="AE137" s="1048"/>
      <c r="AF137" s="1048"/>
      <c r="AG137" s="1048"/>
      <c r="AH137" s="1048"/>
      <c r="AI137" s="1048"/>
      <c r="AJ137" s="1048"/>
      <c r="AK137" s="1048"/>
      <c r="AL137" s="1048"/>
      <c r="AM137" s="1048"/>
      <c r="AN137" s="1048"/>
      <c r="AO137" s="1048"/>
      <c r="AP137" s="1048"/>
      <c r="AQ137" s="1049"/>
      <c r="AR137" s="1049"/>
      <c r="AS137" s="1049"/>
      <c r="AT137" s="1049"/>
      <c r="AU137" s="1049"/>
      <c r="AV137" s="1050"/>
      <c r="AW137" s="1050"/>
      <c r="AX137" s="1050"/>
      <c r="AY137" s="1050"/>
      <c r="AZ137" s="1050"/>
      <c r="BA137" s="1051"/>
      <c r="BB137" s="1052"/>
      <c r="BC137" s="1052"/>
      <c r="BD137" s="1052"/>
      <c r="BE137" s="1052"/>
      <c r="BF137" s="1052"/>
      <c r="BG137" s="1045"/>
      <c r="BH137" s="1036"/>
      <c r="BI137" s="1036"/>
      <c r="BJ137" s="1036"/>
      <c r="BK137" s="1036"/>
      <c r="BL137" s="1036"/>
      <c r="BM137" s="1036"/>
      <c r="BN137" s="1036"/>
      <c r="BO137" s="1036"/>
      <c r="BP137" s="1036"/>
      <c r="BQ137" s="1036"/>
      <c r="BR137" s="1036"/>
      <c r="BS137" s="1036"/>
      <c r="BT137" s="1036"/>
      <c r="BU137" s="1036"/>
      <c r="BV137" s="1036"/>
      <c r="BW137" s="1036"/>
      <c r="BX137" s="1036"/>
      <c r="BY137" s="1036"/>
      <c r="BZ137" s="1036"/>
      <c r="CA137" s="1036"/>
      <c r="CB137" s="1049"/>
      <c r="CC137" s="1032"/>
      <c r="CD137" s="1032"/>
      <c r="CE137" s="1032"/>
      <c r="CF137" s="1032"/>
      <c r="CG137" s="1032"/>
      <c r="CH137" s="1032"/>
      <c r="CI137" s="1032"/>
      <c r="CJ137" s="1032"/>
      <c r="CK137" s="1032"/>
      <c r="CL137" s="1032"/>
      <c r="CM137" s="1032"/>
      <c r="CN137" s="1032"/>
      <c r="CO137" s="1032"/>
      <c r="CP137" s="1032"/>
      <c r="CQ137" s="1032"/>
      <c r="CR137" s="1032"/>
      <c r="CS137" s="1032"/>
      <c r="CT137" s="1032"/>
      <c r="CU137" s="1032"/>
      <c r="CV137" s="1032"/>
      <c r="CW137" s="1032"/>
      <c r="CX137" s="1032"/>
      <c r="CY137" s="1032"/>
      <c r="CZ137" s="1032"/>
      <c r="DA137" s="1032"/>
      <c r="DB137" s="1032"/>
      <c r="DC137" s="1032"/>
      <c r="DD137" s="1032"/>
      <c r="DE137" s="1032"/>
      <c r="DF137" s="1032"/>
      <c r="DG137" s="1032"/>
      <c r="DH137" s="1032"/>
      <c r="DI137" s="1032"/>
      <c r="DJ137" s="1032"/>
      <c r="DK137" s="1032"/>
      <c r="DL137" s="1032"/>
      <c r="DM137" s="1032"/>
      <c r="DN137" s="1032"/>
      <c r="DO137" s="1032"/>
      <c r="DP137" s="1032"/>
      <c r="DQ137" s="1032"/>
      <c r="DR137" s="1032"/>
      <c r="DS137" s="1032"/>
      <c r="DT137" s="1032"/>
      <c r="DU137" s="1032"/>
      <c r="DV137" s="1032"/>
      <c r="DW137" s="1032"/>
      <c r="DX137" s="1032"/>
      <c r="DY137" s="1032"/>
      <c r="DZ137" s="1032"/>
      <c r="EA137" s="1032"/>
      <c r="EB137" s="1032"/>
      <c r="EC137" s="1032"/>
      <c r="ED137" s="1032"/>
      <c r="EE137" s="1032"/>
      <c r="EF137" s="1032"/>
      <c r="EG137" s="1032"/>
      <c r="EH137" s="1032"/>
      <c r="EI137" s="1032"/>
      <c r="EJ137" s="1032"/>
      <c r="EK137" s="1032"/>
      <c r="EL137" s="1032"/>
      <c r="EM137" s="1032"/>
      <c r="EN137" s="1032"/>
      <c r="EO137" s="1032"/>
      <c r="EP137" s="1032"/>
      <c r="EQ137" s="1032"/>
      <c r="ER137" s="1032"/>
      <c r="ES137" s="1032"/>
      <c r="ET137" s="1032"/>
      <c r="EU137" s="1032"/>
      <c r="EV137" s="1032"/>
      <c r="EW137" s="1032"/>
      <c r="EX137" s="1032"/>
      <c r="EY137" s="1032"/>
      <c r="EZ137" s="1032"/>
      <c r="FA137" s="1032"/>
      <c r="FB137" s="1032"/>
      <c r="FC137" s="1032"/>
      <c r="FD137" s="1032"/>
      <c r="FE137" s="1032"/>
      <c r="FF137" s="1032"/>
      <c r="FG137" s="1032"/>
      <c r="FH137" s="1032"/>
      <c r="FI137" s="1032"/>
      <c r="FJ137" s="1032"/>
      <c r="FK137" s="1032"/>
      <c r="FL137" s="1032"/>
      <c r="FM137" s="1032"/>
      <c r="FN137" s="1032"/>
      <c r="FO137" s="1032"/>
      <c r="FP137" s="1032"/>
      <c r="FQ137" s="1032"/>
      <c r="FR137" s="1032"/>
      <c r="FS137" s="1032"/>
      <c r="FT137" s="1032"/>
      <c r="FU137" s="1032"/>
      <c r="FV137" s="1032"/>
      <c r="FW137" s="1032"/>
      <c r="FX137" s="1032"/>
      <c r="FY137" s="1032"/>
      <c r="FZ137" s="1032"/>
      <c r="GA137" s="1032"/>
      <c r="GB137" s="1032"/>
      <c r="GC137" s="1032"/>
      <c r="GD137" s="1032"/>
      <c r="GE137" s="1032"/>
      <c r="GF137" s="1032"/>
      <c r="GG137" s="1032"/>
      <c r="GH137" s="1032"/>
      <c r="GI137" s="1032"/>
      <c r="GJ137" s="1032"/>
      <c r="GK137" s="1032"/>
      <c r="GL137" s="1032"/>
      <c r="GM137" s="1032"/>
      <c r="GN137" s="1032"/>
      <c r="GO137" s="1032"/>
      <c r="GP137" s="1032"/>
      <c r="GQ137" s="1032"/>
      <c r="GR137" s="1032"/>
      <c r="GS137" s="1032"/>
      <c r="GT137" s="1032"/>
      <c r="GU137" s="1032"/>
      <c r="GV137" s="1032"/>
      <c r="GW137" s="1032"/>
      <c r="GX137" s="1032"/>
      <c r="GY137" s="1032"/>
      <c r="GZ137" s="1032"/>
      <c r="HA137" s="1032"/>
      <c r="HB137" s="1032"/>
      <c r="HC137" s="1032"/>
      <c r="HD137" s="1032"/>
      <c r="HE137" s="1032"/>
      <c r="HF137" s="1032"/>
      <c r="HG137" s="1032"/>
      <c r="HH137" s="1032"/>
      <c r="HI137" s="1032"/>
      <c r="HJ137" s="1032"/>
      <c r="HK137" s="1032"/>
      <c r="HL137" s="1032"/>
      <c r="HM137" s="1032"/>
      <c r="HN137" s="1032"/>
      <c r="HO137" s="1032"/>
      <c r="HP137" s="1032"/>
      <c r="HQ137" s="1032"/>
      <c r="HR137" s="1032"/>
      <c r="HS137" s="1032"/>
      <c r="HT137" s="1032"/>
      <c r="HU137" s="1032"/>
      <c r="HV137" s="1032"/>
      <c r="HW137" s="1032"/>
      <c r="HX137" s="1032"/>
      <c r="HY137" s="1032"/>
      <c r="HZ137" s="1032"/>
      <c r="IA137" s="1032"/>
      <c r="IB137" s="1032"/>
      <c r="IC137" s="1032"/>
      <c r="ID137" s="1032"/>
      <c r="IE137" s="1032"/>
      <c r="IF137" s="1032"/>
      <c r="IG137" s="1032"/>
      <c r="IH137" s="1032"/>
      <c r="II137" s="1032"/>
      <c r="IJ137" s="1032"/>
      <c r="IK137" s="1032"/>
      <c r="IL137" s="1032"/>
      <c r="IM137" s="1032"/>
      <c r="IN137" s="1032"/>
      <c r="IO137" s="1032"/>
      <c r="IP137" s="1032"/>
      <c r="IQ137" s="1032"/>
      <c r="IR137" s="1032"/>
      <c r="IS137" s="1032"/>
      <c r="IT137" s="1032"/>
      <c r="IU137" s="1032"/>
      <c r="IV137" s="1032"/>
      <c r="IW137" s="1032"/>
      <c r="IX137" s="1032"/>
      <c r="IY137" s="1032"/>
      <c r="IZ137" s="1032"/>
      <c r="JA137" s="1032"/>
      <c r="JB137" s="1032"/>
      <c r="JC137" s="1032"/>
      <c r="JD137" s="1032"/>
      <c r="JE137" s="1032"/>
      <c r="JF137" s="1032"/>
      <c r="JG137" s="1032"/>
      <c r="JH137" s="1032"/>
      <c r="JI137" s="1032"/>
      <c r="JJ137" s="1032"/>
      <c r="JK137" s="1032"/>
      <c r="JL137" s="1032"/>
      <c r="JM137" s="1032"/>
      <c r="JN137" s="1032"/>
      <c r="JO137" s="1032"/>
      <c r="JP137" s="1032"/>
      <c r="JQ137" s="1032"/>
      <c r="JR137" s="1032"/>
      <c r="JS137" s="1032"/>
      <c r="JT137" s="1032"/>
      <c r="JU137" s="1032"/>
      <c r="JV137" s="1032"/>
      <c r="JW137" s="1032"/>
      <c r="JX137" s="1032"/>
      <c r="JY137" s="1032"/>
      <c r="JZ137" s="1032"/>
      <c r="KA137" s="1032"/>
      <c r="KB137" s="1032"/>
      <c r="KC137" s="1032"/>
      <c r="KD137" s="1032"/>
      <c r="KE137" s="1032"/>
      <c r="KF137" s="1032"/>
      <c r="KG137" s="1032"/>
      <c r="KH137" s="1032"/>
      <c r="KI137" s="1032"/>
      <c r="KJ137" s="1032"/>
      <c r="KK137" s="1032"/>
      <c r="KL137" s="1032"/>
      <c r="KM137" s="1032"/>
      <c r="KN137" s="1032"/>
      <c r="KO137" s="1032"/>
      <c r="KP137" s="1032"/>
      <c r="KQ137" s="1032"/>
      <c r="KR137" s="1032"/>
      <c r="KS137" s="1032"/>
      <c r="KT137" s="1032"/>
      <c r="KU137" s="1032"/>
      <c r="KV137" s="1032"/>
      <c r="KW137" s="1032"/>
      <c r="KX137" s="1032"/>
      <c r="KY137" s="1032"/>
      <c r="KZ137" s="1032"/>
      <c r="LA137" s="1032"/>
      <c r="LB137" s="1032"/>
      <c r="LC137" s="1032"/>
      <c r="LD137" s="1032"/>
      <c r="LE137" s="1032"/>
      <c r="LF137" s="1032"/>
      <c r="LG137" s="1032"/>
      <c r="LH137" s="1032"/>
      <c r="LI137" s="1032"/>
      <c r="LJ137" s="1032"/>
      <c r="LK137" s="1032"/>
      <c r="LL137" s="1032"/>
      <c r="LM137" s="1032"/>
      <c r="LN137" s="1032"/>
      <c r="LO137" s="1032"/>
      <c r="LP137" s="1032"/>
      <c r="LQ137" s="1032"/>
      <c r="LR137" s="1032"/>
      <c r="LS137" s="1032"/>
      <c r="LT137" s="1032"/>
      <c r="LU137" s="1032"/>
      <c r="LV137" s="1032"/>
      <c r="LW137" s="1032"/>
      <c r="LX137" s="1032"/>
      <c r="LY137" s="1032"/>
      <c r="LZ137" s="1032"/>
      <c r="MA137" s="1032"/>
      <c r="MB137" s="1032"/>
      <c r="MC137" s="1032"/>
      <c r="MD137" s="1032"/>
      <c r="ME137" s="1032"/>
      <c r="MF137" s="1032"/>
      <c r="MG137" s="1032"/>
      <c r="MH137" s="1032"/>
      <c r="MI137" s="1032"/>
      <c r="MJ137" s="1032"/>
      <c r="MK137" s="1032"/>
      <c r="ML137" s="1032"/>
      <c r="MM137" s="1032"/>
      <c r="MN137" s="1032"/>
      <c r="MO137" s="1032"/>
      <c r="MP137" s="1032"/>
      <c r="MQ137" s="1032"/>
      <c r="MR137" s="1032"/>
      <c r="MS137" s="1032"/>
      <c r="MT137" s="1032"/>
      <c r="MU137" s="1032"/>
      <c r="MV137" s="1032"/>
      <c r="MW137" s="1032"/>
      <c r="MX137" s="1032"/>
      <c r="MY137" s="1032"/>
      <c r="MZ137" s="1032"/>
      <c r="NA137" s="1032"/>
      <c r="NB137" s="1032"/>
      <c r="NC137" s="1032"/>
      <c r="ND137" s="1032"/>
      <c r="NE137" s="1032"/>
      <c r="NF137" s="1032"/>
      <c r="NG137" s="1032"/>
      <c r="NH137" s="1032"/>
      <c r="NI137" s="1032"/>
      <c r="NJ137" s="1032"/>
      <c r="NK137" s="1032"/>
      <c r="NL137" s="1032"/>
      <c r="NM137" s="1032"/>
      <c r="NN137" s="1032"/>
      <c r="NO137" s="1032"/>
      <c r="NP137" s="1032"/>
      <c r="NQ137" s="1032"/>
      <c r="NR137" s="1032"/>
      <c r="NS137" s="1032"/>
      <c r="NT137" s="1032"/>
      <c r="NU137" s="1032"/>
      <c r="NV137" s="1032"/>
      <c r="NW137" s="1032"/>
      <c r="NX137" s="1032"/>
      <c r="NY137" s="1032"/>
      <c r="NZ137" s="1032"/>
      <c r="OA137" s="1032"/>
      <c r="OB137" s="1032"/>
      <c r="OC137" s="1032"/>
      <c r="OD137" s="1032"/>
      <c r="OE137" s="1032"/>
      <c r="OF137" s="1032"/>
      <c r="OG137" s="1032"/>
      <c r="OH137" s="1032"/>
    </row>
    <row r="138" spans="1:398" s="13" customFormat="1" ht="69.95" customHeight="1">
      <c r="A138" s="1045"/>
      <c r="B138" s="1036"/>
      <c r="C138" s="1036"/>
      <c r="D138" s="1036"/>
      <c r="E138" s="1046"/>
      <c r="F138" s="1046"/>
      <c r="G138" s="1046"/>
      <c r="H138" s="1036"/>
      <c r="I138" s="1036"/>
      <c r="J138" s="1045"/>
      <c r="K138" s="1036"/>
      <c r="L138" s="1036"/>
      <c r="M138" s="1045"/>
      <c r="N138" s="1036"/>
      <c r="O138" s="1036"/>
      <c r="P138" s="1045"/>
      <c r="Q138" s="1036"/>
      <c r="R138" s="1036"/>
      <c r="S138" s="1045"/>
      <c r="T138" s="1036"/>
      <c r="U138" s="1036"/>
      <c r="V138" s="1045"/>
      <c r="W138" s="1045"/>
      <c r="X138" s="1047"/>
      <c r="Y138" s="1048"/>
      <c r="Z138" s="1048"/>
      <c r="AA138" s="1048"/>
      <c r="AB138" s="1048"/>
      <c r="AC138" s="1048"/>
      <c r="AD138" s="1048"/>
      <c r="AE138" s="1048"/>
      <c r="AF138" s="1048"/>
      <c r="AG138" s="1048"/>
      <c r="AH138" s="1048"/>
      <c r="AI138" s="1048"/>
      <c r="AJ138" s="1048"/>
      <c r="AK138" s="1048"/>
      <c r="AL138" s="1048"/>
      <c r="AM138" s="1048"/>
      <c r="AN138" s="1048"/>
      <c r="AO138" s="1048"/>
      <c r="AP138" s="1048"/>
      <c r="AQ138" s="1049"/>
      <c r="AR138" s="1049"/>
      <c r="AS138" s="1049"/>
      <c r="AT138" s="1049"/>
      <c r="AU138" s="1049"/>
      <c r="AV138" s="1050"/>
      <c r="AW138" s="1050"/>
      <c r="AX138" s="1050"/>
      <c r="AY138" s="1050"/>
      <c r="AZ138" s="1050"/>
      <c r="BA138" s="1051"/>
      <c r="BB138" s="1052"/>
      <c r="BC138" s="1052"/>
      <c r="BD138" s="1052"/>
      <c r="BE138" s="1052"/>
      <c r="BF138" s="1052"/>
      <c r="BG138" s="1045"/>
      <c r="BH138" s="1036"/>
      <c r="BI138" s="1036"/>
      <c r="BJ138" s="1036"/>
      <c r="BK138" s="1036"/>
      <c r="BL138" s="1036"/>
      <c r="BM138" s="1036"/>
      <c r="BN138" s="1036"/>
      <c r="BO138" s="1036"/>
      <c r="BP138" s="1036"/>
      <c r="BQ138" s="1036"/>
      <c r="BR138" s="1036"/>
      <c r="BS138" s="1036"/>
      <c r="BT138" s="1036"/>
      <c r="BU138" s="1036"/>
      <c r="BV138" s="1036"/>
      <c r="BW138" s="1036"/>
      <c r="BX138" s="1036"/>
      <c r="BY138" s="1036"/>
      <c r="BZ138" s="1036"/>
      <c r="CA138" s="1036"/>
      <c r="CB138" s="1049"/>
      <c r="CC138" s="1032"/>
      <c r="CD138" s="1032"/>
      <c r="CE138" s="1032"/>
      <c r="CF138" s="1032"/>
      <c r="CG138" s="1032"/>
      <c r="CH138" s="1032"/>
      <c r="CI138" s="1032"/>
      <c r="CJ138" s="1032"/>
      <c r="CK138" s="1032"/>
      <c r="CL138" s="1032"/>
      <c r="CM138" s="1032"/>
      <c r="CN138" s="1032"/>
      <c r="CO138" s="1032"/>
      <c r="CP138" s="1032"/>
      <c r="CQ138" s="1032"/>
      <c r="CR138" s="1032"/>
      <c r="CS138" s="1032"/>
      <c r="CT138" s="1032"/>
      <c r="CU138" s="1032"/>
      <c r="CV138" s="1032"/>
      <c r="CW138" s="1032"/>
      <c r="CX138" s="1032"/>
      <c r="CY138" s="1032"/>
      <c r="CZ138" s="1032"/>
      <c r="DA138" s="1032"/>
      <c r="DB138" s="1032"/>
      <c r="DC138" s="1032"/>
      <c r="DD138" s="1032"/>
      <c r="DE138" s="1032"/>
      <c r="DF138" s="1032"/>
      <c r="DG138" s="1032"/>
      <c r="DH138" s="1032"/>
      <c r="DI138" s="1032"/>
      <c r="DJ138" s="1032"/>
      <c r="DK138" s="1032"/>
      <c r="DL138" s="1032"/>
      <c r="DM138" s="1032"/>
      <c r="DN138" s="1032"/>
      <c r="DO138" s="1032"/>
      <c r="DP138" s="1032"/>
      <c r="DQ138" s="1032"/>
      <c r="DR138" s="1032"/>
      <c r="DS138" s="1032"/>
      <c r="DT138" s="1032"/>
      <c r="DU138" s="1032"/>
      <c r="DV138" s="1032"/>
      <c r="DW138" s="1032"/>
      <c r="DX138" s="1032"/>
      <c r="DY138" s="1032"/>
      <c r="DZ138" s="1032"/>
      <c r="EA138" s="1032"/>
      <c r="EB138" s="1032"/>
      <c r="EC138" s="1032"/>
      <c r="ED138" s="1032"/>
      <c r="EE138" s="1032"/>
      <c r="EF138" s="1032"/>
      <c r="EG138" s="1032"/>
      <c r="EH138" s="1032"/>
      <c r="EI138" s="1032"/>
      <c r="EJ138" s="1032"/>
      <c r="EK138" s="1032"/>
      <c r="EL138" s="1032"/>
      <c r="EM138" s="1032"/>
      <c r="EN138" s="1032"/>
      <c r="EO138" s="1032"/>
      <c r="EP138" s="1032"/>
      <c r="EQ138" s="1032"/>
      <c r="ER138" s="1032"/>
      <c r="ES138" s="1032"/>
      <c r="ET138" s="1032"/>
      <c r="EU138" s="1032"/>
      <c r="EV138" s="1032"/>
      <c r="EW138" s="1032"/>
      <c r="EX138" s="1032"/>
      <c r="EY138" s="1032"/>
      <c r="EZ138" s="1032"/>
      <c r="FA138" s="1032"/>
      <c r="FB138" s="1032"/>
      <c r="FC138" s="1032"/>
      <c r="FD138" s="1032"/>
      <c r="FE138" s="1032"/>
      <c r="FF138" s="1032"/>
      <c r="FG138" s="1032"/>
      <c r="FH138" s="1032"/>
      <c r="FI138" s="1032"/>
      <c r="FJ138" s="1032"/>
      <c r="FK138" s="1032"/>
      <c r="FL138" s="1032"/>
      <c r="FM138" s="1032"/>
      <c r="FN138" s="1032"/>
      <c r="FO138" s="1032"/>
      <c r="FP138" s="1032"/>
      <c r="FQ138" s="1032"/>
      <c r="FR138" s="1032"/>
      <c r="FS138" s="1032"/>
      <c r="FT138" s="1032"/>
      <c r="FU138" s="1032"/>
      <c r="FV138" s="1032"/>
      <c r="FW138" s="1032"/>
      <c r="FX138" s="1032"/>
      <c r="FY138" s="1032"/>
      <c r="FZ138" s="1032"/>
      <c r="GA138" s="1032"/>
      <c r="GB138" s="1032"/>
      <c r="GC138" s="1032"/>
      <c r="GD138" s="1032"/>
      <c r="GE138" s="1032"/>
      <c r="GF138" s="1032"/>
      <c r="GG138" s="1032"/>
      <c r="GH138" s="1032"/>
      <c r="GI138" s="1032"/>
      <c r="GJ138" s="1032"/>
      <c r="GK138" s="1032"/>
      <c r="GL138" s="1032"/>
      <c r="GM138" s="1032"/>
      <c r="GN138" s="1032"/>
      <c r="GO138" s="1032"/>
      <c r="GP138" s="1032"/>
      <c r="GQ138" s="1032"/>
      <c r="GR138" s="1032"/>
      <c r="GS138" s="1032"/>
      <c r="GT138" s="1032"/>
      <c r="GU138" s="1032"/>
      <c r="GV138" s="1032"/>
      <c r="GW138" s="1032"/>
      <c r="GX138" s="1032"/>
      <c r="GY138" s="1032"/>
      <c r="GZ138" s="1032"/>
      <c r="HA138" s="1032"/>
      <c r="HB138" s="1032"/>
      <c r="HC138" s="1032"/>
      <c r="HD138" s="1032"/>
      <c r="HE138" s="1032"/>
      <c r="HF138" s="1032"/>
      <c r="HG138" s="1032"/>
      <c r="HH138" s="1032"/>
      <c r="HI138" s="1032"/>
      <c r="HJ138" s="1032"/>
      <c r="HK138" s="1032"/>
      <c r="HL138" s="1032"/>
      <c r="HM138" s="1032"/>
      <c r="HN138" s="1032"/>
      <c r="HO138" s="1032"/>
      <c r="HP138" s="1032"/>
      <c r="HQ138" s="1032"/>
      <c r="HR138" s="1032"/>
      <c r="HS138" s="1032"/>
      <c r="HT138" s="1032"/>
      <c r="HU138" s="1032"/>
      <c r="HV138" s="1032"/>
      <c r="HW138" s="1032"/>
      <c r="HX138" s="1032"/>
      <c r="HY138" s="1032"/>
      <c r="HZ138" s="1032"/>
      <c r="IA138" s="1032"/>
      <c r="IB138" s="1032"/>
      <c r="IC138" s="1032"/>
      <c r="ID138" s="1032"/>
      <c r="IE138" s="1032"/>
      <c r="IF138" s="1032"/>
      <c r="IG138" s="1032"/>
      <c r="IH138" s="1032"/>
      <c r="II138" s="1032"/>
      <c r="IJ138" s="1032"/>
      <c r="IK138" s="1032"/>
      <c r="IL138" s="1032"/>
      <c r="IM138" s="1032"/>
      <c r="IN138" s="1032"/>
      <c r="IO138" s="1032"/>
      <c r="IP138" s="1032"/>
      <c r="IQ138" s="1032"/>
      <c r="IR138" s="1032"/>
      <c r="IS138" s="1032"/>
      <c r="IT138" s="1032"/>
      <c r="IU138" s="1032"/>
      <c r="IV138" s="1032"/>
      <c r="IW138" s="1032"/>
      <c r="IX138" s="1032"/>
      <c r="IY138" s="1032"/>
      <c r="IZ138" s="1032"/>
      <c r="JA138" s="1032"/>
      <c r="JB138" s="1032"/>
      <c r="JC138" s="1032"/>
      <c r="JD138" s="1032"/>
      <c r="JE138" s="1032"/>
      <c r="JF138" s="1032"/>
      <c r="JG138" s="1032"/>
      <c r="JH138" s="1032"/>
      <c r="JI138" s="1032"/>
      <c r="JJ138" s="1032"/>
      <c r="JK138" s="1032"/>
      <c r="JL138" s="1032"/>
      <c r="JM138" s="1032"/>
      <c r="JN138" s="1032"/>
      <c r="JO138" s="1032"/>
      <c r="JP138" s="1032"/>
      <c r="JQ138" s="1032"/>
      <c r="JR138" s="1032"/>
      <c r="JS138" s="1032"/>
      <c r="JT138" s="1032"/>
      <c r="JU138" s="1032"/>
      <c r="JV138" s="1032"/>
      <c r="JW138" s="1032"/>
      <c r="JX138" s="1032"/>
      <c r="JY138" s="1032"/>
      <c r="JZ138" s="1032"/>
      <c r="KA138" s="1032"/>
      <c r="KB138" s="1032"/>
      <c r="KC138" s="1032"/>
      <c r="KD138" s="1032"/>
      <c r="KE138" s="1032"/>
      <c r="KF138" s="1032"/>
      <c r="KG138" s="1032"/>
      <c r="KH138" s="1032"/>
      <c r="KI138" s="1032"/>
      <c r="KJ138" s="1032"/>
      <c r="KK138" s="1032"/>
      <c r="KL138" s="1032"/>
      <c r="KM138" s="1032"/>
      <c r="KN138" s="1032"/>
      <c r="KO138" s="1032"/>
      <c r="KP138" s="1032"/>
      <c r="KQ138" s="1032"/>
      <c r="KR138" s="1032"/>
      <c r="KS138" s="1032"/>
      <c r="KT138" s="1032"/>
      <c r="KU138" s="1032"/>
      <c r="KV138" s="1032"/>
      <c r="KW138" s="1032"/>
      <c r="KX138" s="1032"/>
      <c r="KY138" s="1032"/>
      <c r="KZ138" s="1032"/>
      <c r="LA138" s="1032"/>
      <c r="LB138" s="1032"/>
      <c r="LC138" s="1032"/>
      <c r="LD138" s="1032"/>
      <c r="LE138" s="1032"/>
      <c r="LF138" s="1032"/>
      <c r="LG138" s="1032"/>
      <c r="LH138" s="1032"/>
      <c r="LI138" s="1032"/>
      <c r="LJ138" s="1032"/>
      <c r="LK138" s="1032"/>
      <c r="LL138" s="1032"/>
      <c r="LM138" s="1032"/>
      <c r="LN138" s="1032"/>
      <c r="LO138" s="1032"/>
      <c r="LP138" s="1032"/>
      <c r="LQ138" s="1032"/>
      <c r="LR138" s="1032"/>
      <c r="LS138" s="1032"/>
      <c r="LT138" s="1032"/>
      <c r="LU138" s="1032"/>
      <c r="LV138" s="1032"/>
      <c r="LW138" s="1032"/>
      <c r="LX138" s="1032"/>
      <c r="LY138" s="1032"/>
      <c r="LZ138" s="1032"/>
      <c r="MA138" s="1032"/>
      <c r="MB138" s="1032"/>
      <c r="MC138" s="1032"/>
      <c r="MD138" s="1032"/>
      <c r="ME138" s="1032"/>
      <c r="MF138" s="1032"/>
      <c r="MG138" s="1032"/>
      <c r="MH138" s="1032"/>
      <c r="MI138" s="1032"/>
      <c r="MJ138" s="1032"/>
      <c r="MK138" s="1032"/>
      <c r="ML138" s="1032"/>
      <c r="MM138" s="1032"/>
      <c r="MN138" s="1032"/>
      <c r="MO138" s="1032"/>
      <c r="MP138" s="1032"/>
      <c r="MQ138" s="1032"/>
      <c r="MR138" s="1032"/>
      <c r="MS138" s="1032"/>
      <c r="MT138" s="1032"/>
      <c r="MU138" s="1032"/>
      <c r="MV138" s="1032"/>
      <c r="MW138" s="1032"/>
      <c r="MX138" s="1032"/>
      <c r="MY138" s="1032"/>
      <c r="MZ138" s="1032"/>
      <c r="NA138" s="1032"/>
      <c r="NB138" s="1032"/>
      <c r="NC138" s="1032"/>
      <c r="ND138" s="1032"/>
      <c r="NE138" s="1032"/>
      <c r="NF138" s="1032"/>
      <c r="NG138" s="1032"/>
      <c r="NH138" s="1032"/>
      <c r="NI138" s="1032"/>
      <c r="NJ138" s="1032"/>
      <c r="NK138" s="1032"/>
      <c r="NL138" s="1032"/>
      <c r="NM138" s="1032"/>
      <c r="NN138" s="1032"/>
      <c r="NO138" s="1032"/>
      <c r="NP138" s="1032"/>
      <c r="NQ138" s="1032"/>
      <c r="NR138" s="1032"/>
      <c r="NS138" s="1032"/>
      <c r="NT138" s="1032"/>
      <c r="NU138" s="1032"/>
      <c r="NV138" s="1032"/>
      <c r="NW138" s="1032"/>
      <c r="NX138" s="1032"/>
      <c r="NY138" s="1032"/>
      <c r="NZ138" s="1032"/>
      <c r="OA138" s="1032"/>
      <c r="OB138" s="1032"/>
      <c r="OC138" s="1032"/>
      <c r="OD138" s="1032"/>
      <c r="OE138" s="1032"/>
      <c r="OF138" s="1032"/>
      <c r="OG138" s="1032"/>
      <c r="OH138" s="1032"/>
    </row>
    <row r="139" spans="1:398" s="25" customFormat="1" ht="69.95" customHeight="1">
      <c r="A139" s="1045"/>
      <c r="B139" s="1036"/>
      <c r="C139" s="1036"/>
      <c r="D139" s="1036"/>
      <c r="E139" s="1046"/>
      <c r="F139" s="1046"/>
      <c r="G139" s="1046"/>
      <c r="H139" s="1036"/>
      <c r="I139" s="1036"/>
      <c r="J139" s="1045"/>
      <c r="K139" s="1036"/>
      <c r="L139" s="1036"/>
      <c r="M139" s="1045"/>
      <c r="N139" s="1036"/>
      <c r="O139" s="1036"/>
      <c r="P139" s="1045"/>
      <c r="Q139" s="1036"/>
      <c r="R139" s="1036"/>
      <c r="S139" s="1045"/>
      <c r="T139" s="1036"/>
      <c r="U139" s="1036"/>
      <c r="V139" s="1045"/>
      <c r="W139" s="1045"/>
      <c r="X139" s="1047"/>
      <c r="Y139" s="1048"/>
      <c r="Z139" s="1048"/>
      <c r="AA139" s="1048"/>
      <c r="AB139" s="1048"/>
      <c r="AC139" s="1048"/>
      <c r="AD139" s="1048"/>
      <c r="AE139" s="1048"/>
      <c r="AF139" s="1048"/>
      <c r="AG139" s="1048"/>
      <c r="AH139" s="1048"/>
      <c r="AI139" s="1048"/>
      <c r="AJ139" s="1048"/>
      <c r="AK139" s="1048"/>
      <c r="AL139" s="1048"/>
      <c r="AM139" s="1048"/>
      <c r="AN139" s="1048"/>
      <c r="AO139" s="1048"/>
      <c r="AP139" s="1048"/>
      <c r="AQ139" s="1049"/>
      <c r="AR139" s="1049"/>
      <c r="AS139" s="1049"/>
      <c r="AT139" s="1049"/>
      <c r="AU139" s="1049"/>
      <c r="AV139" s="1050"/>
      <c r="AW139" s="1050"/>
      <c r="AX139" s="1050"/>
      <c r="AY139" s="1050"/>
      <c r="AZ139" s="1050"/>
      <c r="BA139" s="1051"/>
      <c r="BB139" s="1052"/>
      <c r="BC139" s="1052"/>
      <c r="BD139" s="1052"/>
      <c r="BE139" s="1052"/>
      <c r="BF139" s="1052"/>
      <c r="BG139" s="1045"/>
      <c r="BH139" s="1036"/>
      <c r="BI139" s="1036"/>
      <c r="BJ139" s="1036"/>
      <c r="BK139" s="1036"/>
      <c r="BL139" s="1036"/>
      <c r="BM139" s="1036"/>
      <c r="BN139" s="1036"/>
      <c r="BO139" s="1036"/>
      <c r="BP139" s="1036"/>
      <c r="BQ139" s="1036"/>
      <c r="BR139" s="1036"/>
      <c r="BS139" s="1036"/>
      <c r="BT139" s="1036"/>
      <c r="BU139" s="1036"/>
      <c r="BV139" s="1036"/>
      <c r="BW139" s="1036"/>
      <c r="BX139" s="1036"/>
      <c r="BY139" s="1036"/>
      <c r="BZ139" s="1036"/>
      <c r="CA139" s="1036"/>
      <c r="CB139" s="1036"/>
      <c r="CC139" s="1032"/>
      <c r="CD139" s="1032"/>
      <c r="CE139" s="1032"/>
      <c r="CF139" s="1032"/>
      <c r="CG139" s="1032"/>
      <c r="CH139" s="1032"/>
      <c r="CI139" s="1032"/>
      <c r="CJ139" s="1032"/>
      <c r="CK139" s="1032"/>
      <c r="CL139" s="1032"/>
      <c r="CM139" s="1032"/>
      <c r="CN139" s="1032"/>
      <c r="CO139" s="1032"/>
      <c r="CP139" s="1032"/>
      <c r="CQ139" s="1032"/>
      <c r="CR139" s="1032"/>
      <c r="CS139" s="1032"/>
      <c r="CT139" s="1032"/>
      <c r="CU139" s="1032"/>
      <c r="CV139" s="1032"/>
      <c r="CW139" s="1032"/>
      <c r="CX139" s="1032"/>
      <c r="CY139" s="1032"/>
      <c r="CZ139" s="1032"/>
      <c r="DA139" s="1032"/>
      <c r="DB139" s="1032"/>
      <c r="DC139" s="1032"/>
      <c r="DD139" s="1032"/>
      <c r="DE139" s="1032"/>
      <c r="DF139" s="1032"/>
      <c r="DG139" s="1032"/>
      <c r="DH139" s="1032"/>
      <c r="DI139" s="1032"/>
      <c r="DJ139" s="1032"/>
      <c r="DK139" s="1032"/>
      <c r="DL139" s="1032"/>
      <c r="DM139" s="1032"/>
      <c r="DN139" s="1032"/>
      <c r="DO139" s="1032"/>
      <c r="DP139" s="1032"/>
      <c r="DQ139" s="1032"/>
      <c r="DR139" s="1032"/>
      <c r="DS139" s="1032"/>
      <c r="DT139" s="1032"/>
      <c r="DU139" s="1032"/>
      <c r="DV139" s="1032"/>
      <c r="DW139" s="1032"/>
      <c r="DX139" s="1032"/>
      <c r="DY139" s="1032"/>
      <c r="DZ139" s="1032"/>
      <c r="EA139" s="1032"/>
      <c r="EB139" s="1032"/>
      <c r="EC139" s="1032"/>
      <c r="ED139" s="1032"/>
      <c r="EE139" s="1032"/>
      <c r="EF139" s="1032"/>
      <c r="EG139" s="1032"/>
      <c r="EH139" s="1032"/>
      <c r="EI139" s="1032"/>
      <c r="EJ139" s="1032"/>
      <c r="EK139" s="1032"/>
      <c r="EL139" s="1032"/>
      <c r="EM139" s="1032"/>
      <c r="EN139" s="1032"/>
      <c r="EO139" s="1032"/>
      <c r="EP139" s="1032"/>
      <c r="EQ139" s="1032"/>
      <c r="ER139" s="1032"/>
      <c r="ES139" s="1032"/>
      <c r="ET139" s="1032"/>
      <c r="EU139" s="1032"/>
      <c r="EV139" s="1032"/>
      <c r="EW139" s="1032"/>
      <c r="EX139" s="1032"/>
      <c r="EY139" s="1032"/>
      <c r="EZ139" s="1032"/>
      <c r="FA139" s="1032"/>
      <c r="FB139" s="1032"/>
      <c r="FC139" s="1032"/>
      <c r="FD139" s="1032"/>
      <c r="FE139" s="1032"/>
      <c r="FF139" s="1032"/>
      <c r="FG139" s="1032"/>
      <c r="FH139" s="1032"/>
      <c r="FI139" s="1032"/>
      <c r="FJ139" s="1032"/>
      <c r="FK139" s="1032"/>
      <c r="FL139" s="1032"/>
      <c r="FM139" s="1032"/>
      <c r="FN139" s="1032"/>
      <c r="FO139" s="1032"/>
      <c r="FP139" s="1032"/>
      <c r="FQ139" s="1032"/>
      <c r="FR139" s="1032"/>
      <c r="FS139" s="1032"/>
      <c r="FT139" s="1032"/>
      <c r="FU139" s="1032"/>
      <c r="FV139" s="1032"/>
      <c r="FW139" s="1032"/>
      <c r="FX139" s="1032"/>
      <c r="FY139" s="1032"/>
      <c r="FZ139" s="1032"/>
      <c r="GA139" s="1032"/>
      <c r="GB139" s="1032"/>
      <c r="GC139" s="1032"/>
      <c r="GD139" s="1032"/>
      <c r="GE139" s="1032"/>
      <c r="GF139" s="1032"/>
      <c r="GG139" s="1032"/>
      <c r="GH139" s="1032"/>
      <c r="GI139" s="1032"/>
      <c r="GJ139" s="1032"/>
      <c r="GK139" s="1032"/>
      <c r="GL139" s="1032"/>
      <c r="GM139" s="1032"/>
      <c r="GN139" s="1032"/>
      <c r="GO139" s="1032"/>
      <c r="GP139" s="1032"/>
      <c r="GQ139" s="1032"/>
      <c r="GR139" s="1032"/>
      <c r="GS139" s="1032"/>
      <c r="GT139" s="1032"/>
      <c r="GU139" s="1032"/>
      <c r="GV139" s="1032"/>
      <c r="GW139" s="1032"/>
      <c r="GX139" s="1032"/>
      <c r="GY139" s="1032"/>
      <c r="GZ139" s="1032"/>
      <c r="HA139" s="1032"/>
      <c r="HB139" s="1032"/>
      <c r="HC139" s="1032"/>
      <c r="HD139" s="1032"/>
      <c r="HE139" s="1032"/>
      <c r="HF139" s="1032"/>
      <c r="HG139" s="1032"/>
      <c r="HH139" s="1032"/>
      <c r="HI139" s="1032"/>
      <c r="HJ139" s="1032"/>
      <c r="HK139" s="1032"/>
      <c r="HL139" s="1032"/>
      <c r="HM139" s="1032"/>
      <c r="HN139" s="1032"/>
      <c r="HO139" s="1032"/>
      <c r="HP139" s="1032"/>
      <c r="HQ139" s="1032"/>
      <c r="HR139" s="1032"/>
      <c r="HS139" s="1032"/>
      <c r="HT139" s="1032"/>
      <c r="HU139" s="1032"/>
      <c r="HV139" s="1032"/>
      <c r="HW139" s="1032"/>
      <c r="HX139" s="1032"/>
      <c r="HY139" s="1032"/>
      <c r="HZ139" s="1032"/>
      <c r="IA139" s="1032"/>
      <c r="IB139" s="1032"/>
      <c r="IC139" s="1032"/>
      <c r="ID139" s="1032"/>
      <c r="IE139" s="1032"/>
      <c r="IF139" s="1032"/>
      <c r="IG139" s="1032"/>
      <c r="IH139" s="1032"/>
      <c r="II139" s="1032"/>
      <c r="IJ139" s="1032"/>
      <c r="IK139" s="1032"/>
      <c r="IL139" s="1032"/>
      <c r="IM139" s="1032"/>
      <c r="IN139" s="1032"/>
      <c r="IO139" s="1032"/>
      <c r="IP139" s="1032"/>
      <c r="IQ139" s="1032"/>
      <c r="IR139" s="1032"/>
      <c r="IS139" s="1032"/>
      <c r="IT139" s="1032"/>
      <c r="IU139" s="1032"/>
      <c r="IV139" s="1032"/>
      <c r="IW139" s="1032"/>
      <c r="IX139" s="1032"/>
      <c r="IY139" s="1032"/>
      <c r="IZ139" s="1032"/>
      <c r="JA139" s="1032"/>
      <c r="JB139" s="1032"/>
      <c r="JC139" s="1032"/>
      <c r="JD139" s="1032"/>
      <c r="JE139" s="1032"/>
      <c r="JF139" s="1032"/>
      <c r="JG139" s="1032"/>
      <c r="JH139" s="1032"/>
      <c r="JI139" s="1032"/>
      <c r="JJ139" s="1032"/>
      <c r="JK139" s="1032"/>
      <c r="JL139" s="1032"/>
      <c r="JM139" s="1032"/>
      <c r="JN139" s="1032"/>
      <c r="JO139" s="1032"/>
      <c r="JP139" s="1032"/>
      <c r="JQ139" s="1032"/>
      <c r="JR139" s="1032"/>
      <c r="JS139" s="1032"/>
      <c r="JT139" s="1032"/>
      <c r="JU139" s="1032"/>
      <c r="JV139" s="1032"/>
      <c r="JW139" s="1032"/>
      <c r="JX139" s="1032"/>
      <c r="JY139" s="1032"/>
      <c r="JZ139" s="1032"/>
      <c r="KA139" s="1032"/>
      <c r="KB139" s="1032"/>
      <c r="KC139" s="1032"/>
      <c r="KD139" s="1032"/>
      <c r="KE139" s="1032"/>
      <c r="KF139" s="1032"/>
      <c r="KG139" s="1032"/>
      <c r="KH139" s="1032"/>
      <c r="KI139" s="1032"/>
      <c r="KJ139" s="1032"/>
      <c r="KK139" s="1032"/>
      <c r="KL139" s="1032"/>
      <c r="KM139" s="1032"/>
      <c r="KN139" s="1032"/>
      <c r="KO139" s="1032"/>
      <c r="KP139" s="1032"/>
      <c r="KQ139" s="1032"/>
      <c r="KR139" s="1032"/>
      <c r="KS139" s="1032"/>
      <c r="KT139" s="1032"/>
      <c r="KU139" s="1032"/>
      <c r="KV139" s="1032"/>
      <c r="KW139" s="1032"/>
      <c r="KX139" s="1032"/>
      <c r="KY139" s="1032"/>
      <c r="KZ139" s="1032"/>
      <c r="LA139" s="1032"/>
      <c r="LB139" s="1032"/>
      <c r="LC139" s="1032"/>
      <c r="LD139" s="1032"/>
      <c r="LE139" s="1032"/>
      <c r="LF139" s="1032"/>
      <c r="LG139" s="1032"/>
      <c r="LH139" s="1032"/>
      <c r="LI139" s="1032"/>
      <c r="LJ139" s="1032"/>
      <c r="LK139" s="1032"/>
      <c r="LL139" s="1032"/>
      <c r="LM139" s="1032"/>
      <c r="LN139" s="1032"/>
      <c r="LO139" s="1032"/>
      <c r="LP139" s="1032"/>
      <c r="LQ139" s="1032"/>
      <c r="LR139" s="1032"/>
      <c r="LS139" s="1032"/>
      <c r="LT139" s="1032"/>
      <c r="LU139" s="1032"/>
      <c r="LV139" s="1032"/>
      <c r="LW139" s="1032"/>
      <c r="LX139" s="1032"/>
      <c r="LY139" s="1032"/>
      <c r="LZ139" s="1032"/>
      <c r="MA139" s="1032"/>
      <c r="MB139" s="1032"/>
      <c r="MC139" s="1032"/>
      <c r="MD139" s="1032"/>
      <c r="ME139" s="1032"/>
      <c r="MF139" s="1032"/>
      <c r="MG139" s="1032"/>
      <c r="MH139" s="1032"/>
      <c r="MI139" s="1032"/>
      <c r="MJ139" s="1032"/>
      <c r="MK139" s="1032"/>
      <c r="ML139" s="1032"/>
      <c r="MM139" s="1032"/>
      <c r="MN139" s="1032"/>
      <c r="MO139" s="1032"/>
      <c r="MP139" s="1032"/>
      <c r="MQ139" s="1032"/>
      <c r="MR139" s="1032"/>
      <c r="MS139" s="1032"/>
      <c r="MT139" s="1032"/>
      <c r="MU139" s="1032"/>
      <c r="MV139" s="1032"/>
      <c r="MW139" s="1032"/>
      <c r="MX139" s="1032"/>
      <c r="MY139" s="1032"/>
      <c r="MZ139" s="1032"/>
      <c r="NA139" s="1032"/>
      <c r="NB139" s="1032"/>
      <c r="NC139" s="1032"/>
      <c r="ND139" s="1032"/>
      <c r="NE139" s="1032"/>
      <c r="NF139" s="1032"/>
      <c r="NG139" s="1032"/>
      <c r="NH139" s="1032"/>
      <c r="NI139" s="1032"/>
      <c r="NJ139" s="1032"/>
      <c r="NK139" s="1032"/>
      <c r="NL139" s="1032"/>
      <c r="NM139" s="1032"/>
      <c r="NN139" s="1032"/>
      <c r="NO139" s="1032"/>
      <c r="NP139" s="1032"/>
      <c r="NQ139" s="1032"/>
      <c r="NR139" s="1032"/>
      <c r="NS139" s="1032"/>
      <c r="NT139" s="1032"/>
      <c r="NU139" s="1032"/>
      <c r="NV139" s="1032"/>
      <c r="NW139" s="1032"/>
      <c r="NX139" s="1032"/>
      <c r="NY139" s="1032"/>
      <c r="NZ139" s="1032"/>
      <c r="OA139" s="1032"/>
      <c r="OB139" s="1032"/>
      <c r="OC139" s="1032"/>
      <c r="OD139" s="1032"/>
      <c r="OE139" s="1032"/>
      <c r="OF139" s="1032"/>
      <c r="OG139" s="1032"/>
      <c r="OH139" s="1032"/>
    </row>
    <row r="140" spans="1:398" s="17" customFormat="1" ht="69.95" customHeight="1">
      <c r="A140" s="1045"/>
      <c r="B140" s="1036"/>
      <c r="C140" s="1036"/>
      <c r="D140" s="1036"/>
      <c r="E140" s="1046"/>
      <c r="F140" s="1046"/>
      <c r="G140" s="1046"/>
      <c r="H140" s="1036"/>
      <c r="I140" s="1036"/>
      <c r="J140" s="1045"/>
      <c r="K140" s="1036"/>
      <c r="L140" s="1036"/>
      <c r="M140" s="1045"/>
      <c r="N140" s="1036"/>
      <c r="O140" s="1036"/>
      <c r="P140" s="1045"/>
      <c r="Q140" s="1036"/>
      <c r="R140" s="1036"/>
      <c r="S140" s="1045"/>
      <c r="T140" s="1036"/>
      <c r="U140" s="1036"/>
      <c r="V140" s="1045"/>
      <c r="W140" s="1045"/>
      <c r="X140" s="1047"/>
      <c r="Y140" s="1048"/>
      <c r="Z140" s="1048"/>
      <c r="AA140" s="1048"/>
      <c r="AB140" s="1048"/>
      <c r="AC140" s="1048"/>
      <c r="AD140" s="1048"/>
      <c r="AE140" s="1048"/>
      <c r="AF140" s="1048"/>
      <c r="AG140" s="1048"/>
      <c r="AH140" s="1048"/>
      <c r="AI140" s="1048"/>
      <c r="AJ140" s="1048"/>
      <c r="AK140" s="1048"/>
      <c r="AL140" s="1048"/>
      <c r="AM140" s="1048"/>
      <c r="AN140" s="1048"/>
      <c r="AO140" s="1048"/>
      <c r="AP140" s="1048"/>
      <c r="AQ140" s="1049"/>
      <c r="AR140" s="1049"/>
      <c r="AS140" s="1049"/>
      <c r="AT140" s="1049"/>
      <c r="AU140" s="1049"/>
      <c r="AV140" s="1050"/>
      <c r="AW140" s="1050"/>
      <c r="AX140" s="1050"/>
      <c r="AY140" s="1050"/>
      <c r="AZ140" s="1050"/>
      <c r="BA140" s="1051"/>
      <c r="BB140" s="1052"/>
      <c r="BC140" s="1052"/>
      <c r="BD140" s="1052"/>
      <c r="BE140" s="1052"/>
      <c r="BF140" s="1052"/>
      <c r="BG140" s="1045"/>
      <c r="BH140" s="1036"/>
      <c r="BI140" s="1036"/>
      <c r="BJ140" s="1036"/>
      <c r="BK140" s="1036"/>
      <c r="BL140" s="1036"/>
      <c r="BM140" s="1036"/>
      <c r="BN140" s="1036"/>
      <c r="BO140" s="1036"/>
      <c r="BP140" s="1036"/>
      <c r="BQ140" s="1036"/>
      <c r="BR140" s="1036"/>
      <c r="BS140" s="1036"/>
      <c r="BT140" s="1036"/>
      <c r="BU140" s="1036"/>
      <c r="BV140" s="1036"/>
      <c r="BW140" s="1036"/>
      <c r="BX140" s="1036"/>
      <c r="BY140" s="1036"/>
      <c r="BZ140" s="1036"/>
      <c r="CA140" s="1036"/>
      <c r="CB140" s="1049"/>
      <c r="CC140" s="1032"/>
      <c r="CD140" s="1033"/>
      <c r="CE140" s="1033"/>
      <c r="CF140" s="1033"/>
      <c r="CG140" s="1033"/>
      <c r="CH140" s="1033"/>
      <c r="CI140" s="1033"/>
      <c r="CJ140" s="1033"/>
      <c r="CK140" s="1033"/>
      <c r="CL140" s="1033"/>
      <c r="CM140" s="1033"/>
      <c r="CN140" s="1033"/>
      <c r="CO140" s="1033"/>
      <c r="CP140" s="1033"/>
      <c r="CQ140" s="1033"/>
      <c r="CR140" s="1033"/>
      <c r="CS140" s="1033"/>
      <c r="CT140" s="1033"/>
      <c r="CU140" s="1033"/>
      <c r="CV140" s="1033"/>
      <c r="CW140" s="1033"/>
      <c r="CX140" s="1033"/>
      <c r="CY140" s="1033"/>
      <c r="CZ140" s="1033"/>
      <c r="DA140" s="1033"/>
      <c r="DB140" s="1033"/>
      <c r="DC140" s="1033"/>
      <c r="DD140" s="1033"/>
      <c r="DE140" s="1033"/>
      <c r="DF140" s="1033"/>
      <c r="DG140" s="1033"/>
      <c r="DH140" s="1033"/>
      <c r="DI140" s="1033"/>
      <c r="DJ140" s="1033"/>
      <c r="DK140" s="1033"/>
      <c r="DL140" s="1033"/>
      <c r="DM140" s="1033"/>
      <c r="DN140" s="1033"/>
      <c r="DO140" s="1033"/>
      <c r="DP140" s="1033"/>
      <c r="DQ140" s="1033"/>
      <c r="DR140" s="1033"/>
      <c r="DS140" s="1033"/>
      <c r="DT140" s="1033"/>
      <c r="DU140" s="1033"/>
      <c r="DV140" s="1033"/>
      <c r="DW140" s="1033"/>
      <c r="DX140" s="1033"/>
      <c r="DY140" s="1033"/>
      <c r="DZ140" s="1033"/>
      <c r="EA140" s="1033"/>
      <c r="EB140" s="1033"/>
      <c r="EC140" s="1033"/>
      <c r="ED140" s="1033"/>
      <c r="EE140" s="1033"/>
      <c r="EF140" s="1033"/>
      <c r="EG140" s="1033"/>
      <c r="EH140" s="1033"/>
      <c r="EI140" s="1033"/>
      <c r="EJ140" s="1033"/>
      <c r="EK140" s="1033"/>
      <c r="EL140" s="1033"/>
      <c r="EM140" s="1033"/>
      <c r="EN140" s="1033"/>
      <c r="EO140" s="1033"/>
      <c r="EP140" s="1033"/>
      <c r="EQ140" s="1033"/>
      <c r="ER140" s="1033"/>
      <c r="ES140" s="1033"/>
      <c r="ET140" s="1033"/>
      <c r="EU140" s="1033"/>
      <c r="EV140" s="1033"/>
      <c r="EW140" s="1033"/>
      <c r="EX140" s="1033"/>
      <c r="EY140" s="1033"/>
      <c r="EZ140" s="1033"/>
      <c r="FA140" s="1033"/>
      <c r="FB140" s="1033"/>
      <c r="FC140" s="1033"/>
      <c r="FD140" s="1033"/>
      <c r="FE140" s="1033"/>
      <c r="FF140" s="1033"/>
      <c r="FG140" s="1033"/>
      <c r="FH140" s="1033"/>
      <c r="FI140" s="1033"/>
      <c r="FJ140" s="1033"/>
      <c r="FK140" s="1033"/>
      <c r="FL140" s="1033"/>
      <c r="FM140" s="1033"/>
      <c r="FN140" s="1033"/>
      <c r="FO140" s="1033"/>
      <c r="FP140" s="1033"/>
      <c r="FQ140" s="1033"/>
      <c r="FR140" s="1033"/>
      <c r="FS140" s="1033"/>
      <c r="FT140" s="1033"/>
      <c r="FU140" s="1033"/>
      <c r="FV140" s="1033"/>
      <c r="FW140" s="1033"/>
      <c r="FX140" s="1033"/>
      <c r="FY140" s="1033"/>
      <c r="FZ140" s="1033"/>
      <c r="GA140" s="1033"/>
      <c r="GB140" s="1033"/>
      <c r="GC140" s="1033"/>
      <c r="GD140" s="1033"/>
      <c r="GE140" s="1033"/>
      <c r="GF140" s="1033"/>
      <c r="GG140" s="1033"/>
      <c r="GH140" s="1033"/>
      <c r="GI140" s="1033"/>
      <c r="GJ140" s="1033"/>
      <c r="GK140" s="1033"/>
      <c r="GL140" s="1033"/>
      <c r="GM140" s="1033"/>
      <c r="GN140" s="1033"/>
      <c r="GO140" s="1033"/>
      <c r="GP140" s="1033"/>
      <c r="GQ140" s="1033"/>
      <c r="GR140" s="1033"/>
      <c r="GS140" s="1033"/>
      <c r="GT140" s="1033"/>
      <c r="GU140" s="1033"/>
      <c r="GV140" s="1033"/>
      <c r="GW140" s="1033"/>
      <c r="GX140" s="1033"/>
      <c r="GY140" s="1033"/>
      <c r="GZ140" s="1033"/>
      <c r="HA140" s="1033"/>
      <c r="HB140" s="1033"/>
      <c r="HC140" s="1033"/>
      <c r="HD140" s="1033"/>
      <c r="HE140" s="1033"/>
      <c r="HF140" s="1033"/>
      <c r="HG140" s="1033"/>
      <c r="HH140" s="1033"/>
      <c r="HI140" s="1033"/>
      <c r="HJ140" s="1033"/>
      <c r="HK140" s="1033"/>
      <c r="HL140" s="1033"/>
      <c r="HM140" s="1033"/>
      <c r="HN140" s="1033"/>
      <c r="HO140" s="1033"/>
      <c r="HP140" s="1033"/>
      <c r="HQ140" s="1033"/>
      <c r="HR140" s="1033"/>
      <c r="HS140" s="1033"/>
      <c r="HT140" s="1033"/>
      <c r="HU140" s="1033"/>
      <c r="HV140" s="1033"/>
      <c r="HW140" s="1033"/>
      <c r="HX140" s="1033"/>
      <c r="HY140" s="1033"/>
      <c r="HZ140" s="1033"/>
      <c r="IA140" s="1033"/>
      <c r="IB140" s="1033"/>
      <c r="IC140" s="1033"/>
      <c r="ID140" s="1033"/>
      <c r="IE140" s="1033"/>
      <c r="IF140" s="1033"/>
      <c r="IG140" s="1033"/>
      <c r="IH140" s="1033"/>
      <c r="II140" s="1033"/>
      <c r="IJ140" s="1033"/>
      <c r="IK140" s="1033"/>
      <c r="IL140" s="1033"/>
      <c r="IM140" s="1033"/>
      <c r="IN140" s="1033"/>
      <c r="IO140" s="1033"/>
      <c r="IP140" s="1033"/>
      <c r="IQ140" s="1033"/>
      <c r="IR140" s="1033"/>
      <c r="IS140" s="1033"/>
      <c r="IT140" s="1033"/>
      <c r="IU140" s="1033"/>
      <c r="IV140" s="1033"/>
      <c r="IW140" s="1033"/>
      <c r="IX140" s="1033"/>
      <c r="IY140" s="1033"/>
      <c r="IZ140" s="1033"/>
      <c r="JA140" s="1033"/>
      <c r="JB140" s="1033"/>
      <c r="JC140" s="1033"/>
      <c r="JD140" s="1033"/>
      <c r="JE140" s="1033"/>
      <c r="JF140" s="1033"/>
      <c r="JG140" s="1033"/>
      <c r="JH140" s="1033"/>
      <c r="JI140" s="1033"/>
      <c r="JJ140" s="1033"/>
      <c r="JK140" s="1033"/>
      <c r="JL140" s="1033"/>
      <c r="JM140" s="1033"/>
      <c r="JN140" s="1033"/>
      <c r="JO140" s="1033"/>
      <c r="JP140" s="1033"/>
      <c r="JQ140" s="1033"/>
      <c r="JR140" s="1033"/>
      <c r="JS140" s="1033"/>
      <c r="JT140" s="1033"/>
      <c r="JU140" s="1033"/>
      <c r="JV140" s="1033"/>
      <c r="JW140" s="1033"/>
      <c r="JX140" s="1033"/>
      <c r="JY140" s="1033"/>
      <c r="JZ140" s="1033"/>
      <c r="KA140" s="1033"/>
      <c r="KB140" s="1033"/>
      <c r="KC140" s="1033"/>
      <c r="KD140" s="1033"/>
      <c r="KE140" s="1033"/>
      <c r="KF140" s="1033"/>
      <c r="KG140" s="1033"/>
      <c r="KH140" s="1033"/>
      <c r="KI140" s="1033"/>
      <c r="KJ140" s="1033"/>
      <c r="KK140" s="1033"/>
      <c r="KL140" s="1033"/>
      <c r="KM140" s="1033"/>
      <c r="KN140" s="1033"/>
      <c r="KO140" s="1033"/>
      <c r="KP140" s="1033"/>
      <c r="KQ140" s="1033"/>
      <c r="KR140" s="1033"/>
      <c r="KS140" s="1033"/>
      <c r="KT140" s="1033"/>
      <c r="KU140" s="1033"/>
      <c r="KV140" s="1033"/>
      <c r="KW140" s="1033"/>
      <c r="KX140" s="1033"/>
      <c r="KY140" s="1033"/>
      <c r="KZ140" s="1033"/>
      <c r="LA140" s="1033"/>
      <c r="LB140" s="1033"/>
      <c r="LC140" s="1033"/>
      <c r="LD140" s="1033"/>
      <c r="LE140" s="1033"/>
      <c r="LF140" s="1033"/>
      <c r="LG140" s="1033"/>
      <c r="LH140" s="1033"/>
      <c r="LI140" s="1033"/>
      <c r="LJ140" s="1033"/>
      <c r="LK140" s="1033"/>
      <c r="LL140" s="1033"/>
      <c r="LM140" s="1033"/>
      <c r="LN140" s="1033"/>
      <c r="LO140" s="1033"/>
      <c r="LP140" s="1033"/>
      <c r="LQ140" s="1033"/>
      <c r="LR140" s="1033"/>
      <c r="LS140" s="1033"/>
      <c r="LT140" s="1033"/>
      <c r="LU140" s="1033"/>
      <c r="LV140" s="1033"/>
      <c r="LW140" s="1033"/>
      <c r="LX140" s="1033"/>
      <c r="LY140" s="1033"/>
      <c r="LZ140" s="1033"/>
      <c r="MA140" s="1033"/>
      <c r="MB140" s="1033"/>
      <c r="MC140" s="1033"/>
      <c r="MD140" s="1033"/>
      <c r="ME140" s="1033"/>
      <c r="MF140" s="1033"/>
      <c r="MG140" s="1033"/>
      <c r="MH140" s="1033"/>
      <c r="MI140" s="1033"/>
      <c r="MJ140" s="1033"/>
      <c r="MK140" s="1033"/>
      <c r="ML140" s="1033"/>
      <c r="MM140" s="1033"/>
      <c r="MN140" s="1033"/>
      <c r="MO140" s="1033"/>
      <c r="MP140" s="1033"/>
      <c r="MQ140" s="1033"/>
      <c r="MR140" s="1033"/>
      <c r="MS140" s="1033"/>
      <c r="MT140" s="1033"/>
      <c r="MU140" s="1033"/>
      <c r="MV140" s="1033"/>
      <c r="MW140" s="1033"/>
      <c r="MX140" s="1033"/>
      <c r="MY140" s="1033"/>
      <c r="MZ140" s="1033"/>
      <c r="NA140" s="1033"/>
      <c r="NB140" s="1033"/>
      <c r="NC140" s="1033"/>
      <c r="ND140" s="1033"/>
      <c r="NE140" s="1033"/>
      <c r="NF140" s="1033"/>
      <c r="NG140" s="1033"/>
      <c r="NH140" s="1033"/>
      <c r="NI140" s="1033"/>
      <c r="NJ140" s="1033"/>
      <c r="NK140" s="1033"/>
      <c r="NL140" s="1033"/>
      <c r="NM140" s="1033"/>
      <c r="NN140" s="1033"/>
      <c r="NO140" s="1033"/>
      <c r="NP140" s="1033"/>
      <c r="NQ140" s="1033"/>
      <c r="NR140" s="1033"/>
      <c r="NS140" s="1033"/>
      <c r="NT140" s="1033"/>
      <c r="NU140" s="1033"/>
      <c r="NV140" s="1033"/>
      <c r="NW140" s="1033"/>
      <c r="NX140" s="1033"/>
      <c r="NY140" s="1033"/>
      <c r="NZ140" s="1033"/>
      <c r="OA140" s="1033"/>
      <c r="OB140" s="1033"/>
      <c r="OC140" s="1033"/>
      <c r="OD140" s="1033"/>
      <c r="OE140" s="1033"/>
      <c r="OF140" s="1033"/>
      <c r="OG140" s="1033"/>
      <c r="OH140" s="1033"/>
    </row>
    <row r="141" spans="1:398" s="17" customFormat="1" ht="69.95" customHeight="1">
      <c r="A141" s="1045"/>
      <c r="B141" s="1055"/>
      <c r="C141" s="1055"/>
      <c r="D141" s="1055"/>
      <c r="E141" s="1056"/>
      <c r="F141" s="1056"/>
      <c r="G141" s="1056"/>
      <c r="H141" s="1036"/>
      <c r="I141" s="1036"/>
      <c r="J141" s="1045"/>
      <c r="K141" s="1036"/>
      <c r="L141" s="1036"/>
      <c r="M141" s="1045"/>
      <c r="N141" s="1036"/>
      <c r="O141" s="1036"/>
      <c r="P141" s="1045"/>
      <c r="Q141" s="1036"/>
      <c r="R141" s="1036"/>
      <c r="S141" s="1045"/>
      <c r="T141" s="1036"/>
      <c r="U141" s="1036"/>
      <c r="V141" s="1045"/>
      <c r="W141" s="1045"/>
      <c r="X141" s="1050"/>
      <c r="Y141" s="1048"/>
      <c r="Z141" s="1048"/>
      <c r="AA141" s="1048"/>
      <c r="AB141" s="1048"/>
      <c r="AC141" s="1036"/>
      <c r="AD141" s="1045"/>
      <c r="AE141" s="1048"/>
      <c r="AF141" s="1048"/>
      <c r="AG141" s="1048"/>
      <c r="AH141" s="1048"/>
      <c r="AI141" s="1048"/>
      <c r="AJ141" s="1048"/>
      <c r="AK141" s="1048"/>
      <c r="AL141" s="1036"/>
      <c r="AM141" s="1036"/>
      <c r="AN141" s="1045"/>
      <c r="AO141" s="1045"/>
      <c r="AP141" s="1048"/>
      <c r="AQ141" s="1049"/>
      <c r="AR141" s="1049"/>
      <c r="AS141" s="1049"/>
      <c r="AT141" s="1049"/>
      <c r="AU141" s="1049"/>
      <c r="AV141" s="1050"/>
      <c r="AW141" s="1050"/>
      <c r="AX141" s="1050"/>
      <c r="AY141" s="1050"/>
      <c r="AZ141" s="1050"/>
      <c r="BA141" s="1051"/>
      <c r="BB141" s="1052"/>
      <c r="BC141" s="1052"/>
      <c r="BD141" s="1052"/>
      <c r="BE141" s="1052"/>
      <c r="BF141" s="1052"/>
      <c r="BG141" s="1049"/>
      <c r="BH141" s="1055"/>
      <c r="BI141" s="1055"/>
      <c r="BJ141" s="1036"/>
      <c r="BK141" s="1036"/>
      <c r="BL141" s="1036"/>
      <c r="BM141" s="1036"/>
      <c r="BN141" s="1036"/>
      <c r="BO141" s="1036"/>
      <c r="BP141" s="1036"/>
      <c r="BQ141" s="1036"/>
      <c r="BR141" s="1036"/>
      <c r="BS141" s="1036"/>
      <c r="BT141" s="1036"/>
      <c r="BU141" s="1036"/>
      <c r="BV141" s="1036"/>
      <c r="BW141" s="1036"/>
      <c r="BX141" s="1036"/>
      <c r="BY141" s="1036"/>
      <c r="BZ141" s="1036"/>
      <c r="CA141" s="1036"/>
      <c r="CB141" s="1049"/>
      <c r="CC141" s="1032"/>
      <c r="CD141" s="1033"/>
      <c r="CE141" s="1033"/>
      <c r="CF141" s="1033"/>
      <c r="CG141" s="1033"/>
      <c r="CH141" s="1033"/>
      <c r="CI141" s="1033"/>
      <c r="CJ141" s="1033"/>
      <c r="CK141" s="1033"/>
      <c r="CL141" s="1033"/>
      <c r="CM141" s="1033"/>
      <c r="CN141" s="1033"/>
      <c r="CO141" s="1033"/>
      <c r="CP141" s="1033"/>
      <c r="CQ141" s="1033"/>
      <c r="CR141" s="1033"/>
      <c r="CS141" s="1033"/>
      <c r="CT141" s="1033"/>
      <c r="CU141" s="1033"/>
      <c r="CV141" s="1033"/>
      <c r="CW141" s="1033"/>
      <c r="CX141" s="1033"/>
      <c r="CY141" s="1033"/>
      <c r="CZ141" s="1033"/>
      <c r="DA141" s="1033"/>
      <c r="DB141" s="1033"/>
      <c r="DC141" s="1033"/>
      <c r="DD141" s="1033"/>
      <c r="DE141" s="1033"/>
      <c r="DF141" s="1033"/>
      <c r="DG141" s="1033"/>
      <c r="DH141" s="1033"/>
      <c r="DI141" s="1033"/>
      <c r="DJ141" s="1033"/>
      <c r="DK141" s="1033"/>
      <c r="DL141" s="1033"/>
      <c r="DM141" s="1033"/>
      <c r="DN141" s="1033"/>
      <c r="DO141" s="1033"/>
      <c r="DP141" s="1033"/>
      <c r="DQ141" s="1033"/>
      <c r="DR141" s="1033"/>
      <c r="DS141" s="1033"/>
      <c r="DT141" s="1033"/>
      <c r="DU141" s="1033"/>
      <c r="DV141" s="1033"/>
      <c r="DW141" s="1033"/>
      <c r="DX141" s="1033"/>
      <c r="DY141" s="1033"/>
      <c r="DZ141" s="1033"/>
      <c r="EA141" s="1033"/>
      <c r="EB141" s="1033"/>
      <c r="EC141" s="1033"/>
      <c r="ED141" s="1033"/>
      <c r="EE141" s="1033"/>
      <c r="EF141" s="1033"/>
      <c r="EG141" s="1033"/>
      <c r="EH141" s="1033"/>
      <c r="EI141" s="1033"/>
      <c r="EJ141" s="1033"/>
      <c r="EK141" s="1033"/>
      <c r="EL141" s="1033"/>
      <c r="EM141" s="1033"/>
      <c r="EN141" s="1033"/>
      <c r="EO141" s="1033"/>
      <c r="EP141" s="1033"/>
      <c r="EQ141" s="1033"/>
      <c r="ER141" s="1033"/>
      <c r="ES141" s="1033"/>
      <c r="ET141" s="1033"/>
      <c r="EU141" s="1033"/>
      <c r="EV141" s="1033"/>
      <c r="EW141" s="1033"/>
      <c r="EX141" s="1033"/>
      <c r="EY141" s="1033"/>
      <c r="EZ141" s="1033"/>
      <c r="FA141" s="1033"/>
      <c r="FB141" s="1033"/>
      <c r="FC141" s="1033"/>
      <c r="FD141" s="1033"/>
      <c r="FE141" s="1033"/>
      <c r="FF141" s="1033"/>
      <c r="FG141" s="1033"/>
      <c r="FH141" s="1033"/>
      <c r="FI141" s="1033"/>
      <c r="FJ141" s="1033"/>
      <c r="FK141" s="1033"/>
      <c r="FL141" s="1033"/>
      <c r="FM141" s="1033"/>
      <c r="FN141" s="1033"/>
      <c r="FO141" s="1033"/>
      <c r="FP141" s="1033"/>
      <c r="FQ141" s="1033"/>
      <c r="FR141" s="1033"/>
      <c r="FS141" s="1033"/>
      <c r="FT141" s="1033"/>
      <c r="FU141" s="1033"/>
      <c r="FV141" s="1033"/>
      <c r="FW141" s="1033"/>
      <c r="FX141" s="1033"/>
      <c r="FY141" s="1033"/>
      <c r="FZ141" s="1033"/>
      <c r="GA141" s="1033"/>
      <c r="GB141" s="1033"/>
      <c r="GC141" s="1033"/>
      <c r="GD141" s="1033"/>
      <c r="GE141" s="1033"/>
      <c r="GF141" s="1033"/>
      <c r="GG141" s="1033"/>
      <c r="GH141" s="1033"/>
      <c r="GI141" s="1033"/>
      <c r="GJ141" s="1033"/>
      <c r="GK141" s="1033"/>
      <c r="GL141" s="1033"/>
      <c r="GM141" s="1033"/>
      <c r="GN141" s="1033"/>
      <c r="GO141" s="1033"/>
      <c r="GP141" s="1033"/>
      <c r="GQ141" s="1033"/>
      <c r="GR141" s="1033"/>
      <c r="GS141" s="1033"/>
      <c r="GT141" s="1033"/>
      <c r="GU141" s="1033"/>
      <c r="GV141" s="1033"/>
      <c r="GW141" s="1033"/>
      <c r="GX141" s="1033"/>
      <c r="GY141" s="1033"/>
      <c r="GZ141" s="1033"/>
      <c r="HA141" s="1033"/>
      <c r="HB141" s="1033"/>
      <c r="HC141" s="1033"/>
      <c r="HD141" s="1033"/>
      <c r="HE141" s="1033"/>
      <c r="HF141" s="1033"/>
      <c r="HG141" s="1033"/>
      <c r="HH141" s="1033"/>
      <c r="HI141" s="1033"/>
      <c r="HJ141" s="1033"/>
      <c r="HK141" s="1033"/>
      <c r="HL141" s="1033"/>
      <c r="HM141" s="1033"/>
      <c r="HN141" s="1033"/>
      <c r="HO141" s="1033"/>
      <c r="HP141" s="1033"/>
      <c r="HQ141" s="1033"/>
      <c r="HR141" s="1033"/>
      <c r="HS141" s="1033"/>
      <c r="HT141" s="1033"/>
      <c r="HU141" s="1033"/>
      <c r="HV141" s="1033"/>
      <c r="HW141" s="1033"/>
      <c r="HX141" s="1033"/>
      <c r="HY141" s="1033"/>
      <c r="HZ141" s="1033"/>
      <c r="IA141" s="1033"/>
      <c r="IB141" s="1033"/>
      <c r="IC141" s="1033"/>
      <c r="ID141" s="1033"/>
      <c r="IE141" s="1033"/>
      <c r="IF141" s="1033"/>
      <c r="IG141" s="1033"/>
      <c r="IH141" s="1033"/>
      <c r="II141" s="1033"/>
      <c r="IJ141" s="1033"/>
      <c r="IK141" s="1033"/>
      <c r="IL141" s="1033"/>
      <c r="IM141" s="1033"/>
      <c r="IN141" s="1033"/>
      <c r="IO141" s="1033"/>
      <c r="IP141" s="1033"/>
      <c r="IQ141" s="1033"/>
      <c r="IR141" s="1033"/>
      <c r="IS141" s="1033"/>
      <c r="IT141" s="1033"/>
      <c r="IU141" s="1033"/>
      <c r="IV141" s="1033"/>
      <c r="IW141" s="1033"/>
      <c r="IX141" s="1033"/>
      <c r="IY141" s="1033"/>
      <c r="IZ141" s="1033"/>
      <c r="JA141" s="1033"/>
      <c r="JB141" s="1033"/>
      <c r="JC141" s="1033"/>
      <c r="JD141" s="1033"/>
      <c r="JE141" s="1033"/>
      <c r="JF141" s="1033"/>
      <c r="JG141" s="1033"/>
      <c r="JH141" s="1033"/>
      <c r="JI141" s="1033"/>
      <c r="JJ141" s="1033"/>
      <c r="JK141" s="1033"/>
      <c r="JL141" s="1033"/>
      <c r="JM141" s="1033"/>
      <c r="JN141" s="1033"/>
      <c r="JO141" s="1033"/>
      <c r="JP141" s="1033"/>
      <c r="JQ141" s="1033"/>
      <c r="JR141" s="1033"/>
      <c r="JS141" s="1033"/>
      <c r="JT141" s="1033"/>
      <c r="JU141" s="1033"/>
      <c r="JV141" s="1033"/>
      <c r="JW141" s="1033"/>
      <c r="JX141" s="1033"/>
      <c r="JY141" s="1033"/>
      <c r="JZ141" s="1033"/>
      <c r="KA141" s="1033"/>
      <c r="KB141" s="1033"/>
      <c r="KC141" s="1033"/>
      <c r="KD141" s="1033"/>
      <c r="KE141" s="1033"/>
      <c r="KF141" s="1033"/>
      <c r="KG141" s="1033"/>
      <c r="KH141" s="1033"/>
      <c r="KI141" s="1033"/>
      <c r="KJ141" s="1033"/>
      <c r="KK141" s="1033"/>
      <c r="KL141" s="1033"/>
      <c r="KM141" s="1033"/>
      <c r="KN141" s="1033"/>
      <c r="KO141" s="1033"/>
      <c r="KP141" s="1033"/>
      <c r="KQ141" s="1033"/>
      <c r="KR141" s="1033"/>
      <c r="KS141" s="1033"/>
      <c r="KT141" s="1033"/>
      <c r="KU141" s="1033"/>
      <c r="KV141" s="1033"/>
      <c r="KW141" s="1033"/>
      <c r="KX141" s="1033"/>
      <c r="KY141" s="1033"/>
      <c r="KZ141" s="1033"/>
      <c r="LA141" s="1033"/>
      <c r="LB141" s="1033"/>
      <c r="LC141" s="1033"/>
      <c r="LD141" s="1033"/>
      <c r="LE141" s="1033"/>
      <c r="LF141" s="1033"/>
      <c r="LG141" s="1033"/>
      <c r="LH141" s="1033"/>
      <c r="LI141" s="1033"/>
      <c r="LJ141" s="1033"/>
      <c r="LK141" s="1033"/>
      <c r="LL141" s="1033"/>
      <c r="LM141" s="1033"/>
      <c r="LN141" s="1033"/>
      <c r="LO141" s="1033"/>
      <c r="LP141" s="1033"/>
      <c r="LQ141" s="1033"/>
      <c r="LR141" s="1033"/>
      <c r="LS141" s="1033"/>
      <c r="LT141" s="1033"/>
      <c r="LU141" s="1033"/>
      <c r="LV141" s="1033"/>
      <c r="LW141" s="1033"/>
      <c r="LX141" s="1033"/>
      <c r="LY141" s="1033"/>
      <c r="LZ141" s="1033"/>
      <c r="MA141" s="1033"/>
      <c r="MB141" s="1033"/>
      <c r="MC141" s="1033"/>
      <c r="MD141" s="1033"/>
      <c r="ME141" s="1033"/>
      <c r="MF141" s="1033"/>
      <c r="MG141" s="1033"/>
      <c r="MH141" s="1033"/>
      <c r="MI141" s="1033"/>
      <c r="MJ141" s="1033"/>
      <c r="MK141" s="1033"/>
      <c r="ML141" s="1033"/>
      <c r="MM141" s="1033"/>
      <c r="MN141" s="1033"/>
      <c r="MO141" s="1033"/>
      <c r="MP141" s="1033"/>
      <c r="MQ141" s="1033"/>
      <c r="MR141" s="1033"/>
      <c r="MS141" s="1033"/>
      <c r="MT141" s="1033"/>
      <c r="MU141" s="1033"/>
      <c r="MV141" s="1033"/>
      <c r="MW141" s="1033"/>
      <c r="MX141" s="1033"/>
      <c r="MY141" s="1033"/>
      <c r="MZ141" s="1033"/>
      <c r="NA141" s="1033"/>
      <c r="NB141" s="1033"/>
      <c r="NC141" s="1033"/>
      <c r="ND141" s="1033"/>
      <c r="NE141" s="1033"/>
      <c r="NF141" s="1033"/>
      <c r="NG141" s="1033"/>
      <c r="NH141" s="1033"/>
      <c r="NI141" s="1033"/>
      <c r="NJ141" s="1033"/>
      <c r="NK141" s="1033"/>
      <c r="NL141" s="1033"/>
      <c r="NM141" s="1033"/>
      <c r="NN141" s="1033"/>
      <c r="NO141" s="1033"/>
      <c r="NP141" s="1033"/>
      <c r="NQ141" s="1033"/>
      <c r="NR141" s="1033"/>
      <c r="NS141" s="1033"/>
      <c r="NT141" s="1033"/>
      <c r="NU141" s="1033"/>
      <c r="NV141" s="1033"/>
      <c r="NW141" s="1033"/>
      <c r="NX141" s="1033"/>
      <c r="NY141" s="1033"/>
      <c r="NZ141" s="1033"/>
      <c r="OA141" s="1033"/>
      <c r="OB141" s="1033"/>
      <c r="OC141" s="1033"/>
      <c r="OD141" s="1033"/>
      <c r="OE141" s="1033"/>
      <c r="OF141" s="1033"/>
      <c r="OG141" s="1033"/>
      <c r="OH141" s="1033"/>
    </row>
    <row r="142" spans="1:398" s="37" customFormat="1" ht="69.95" customHeight="1">
      <c r="A142" s="1029"/>
      <c r="B142" s="1041"/>
      <c r="C142" s="1057"/>
      <c r="D142" s="1057"/>
      <c r="E142" s="1058"/>
      <c r="F142" s="1058"/>
      <c r="G142" s="1058"/>
      <c r="H142" s="1036"/>
      <c r="I142" s="1036"/>
      <c r="J142" s="1045"/>
      <c r="K142" s="1036"/>
      <c r="L142" s="1036"/>
      <c r="M142" s="1045"/>
      <c r="N142" s="1036"/>
      <c r="O142" s="1036"/>
      <c r="P142" s="1045"/>
      <c r="Q142" s="1036"/>
      <c r="R142" s="1036"/>
      <c r="S142" s="1045"/>
      <c r="T142" s="1036"/>
      <c r="U142" s="1036"/>
      <c r="V142" s="1045"/>
      <c r="W142" s="1045"/>
      <c r="X142" s="1059"/>
      <c r="Y142" s="1048"/>
      <c r="Z142" s="1048"/>
      <c r="AA142" s="1048"/>
      <c r="AB142" s="1048"/>
      <c r="AC142" s="1041"/>
      <c r="AD142" s="1041"/>
      <c r="AE142" s="1048"/>
      <c r="AF142" s="1048"/>
      <c r="AG142" s="1048"/>
      <c r="AH142" s="1048"/>
      <c r="AI142" s="1048"/>
      <c r="AJ142" s="1048"/>
      <c r="AK142" s="1048"/>
      <c r="AL142" s="1041"/>
      <c r="AM142" s="1041"/>
      <c r="AN142" s="1041"/>
      <c r="AO142" s="1041"/>
      <c r="AP142" s="1048"/>
      <c r="AQ142" s="1049"/>
      <c r="AR142" s="1049"/>
      <c r="AS142" s="1049"/>
      <c r="AT142" s="1049"/>
      <c r="AU142" s="1041"/>
      <c r="AV142" s="1050"/>
      <c r="AW142" s="1050"/>
      <c r="AX142" s="1050"/>
      <c r="AY142" s="1050"/>
      <c r="AZ142" s="1050"/>
      <c r="BA142" s="1051"/>
      <c r="BB142" s="1052"/>
      <c r="BC142" s="1052"/>
      <c r="BD142" s="1052"/>
      <c r="BE142" s="1052"/>
      <c r="BF142" s="1052"/>
      <c r="BG142" s="1060"/>
      <c r="BH142" s="1060"/>
      <c r="BI142" s="1061"/>
      <c r="BJ142" s="1036"/>
      <c r="BK142" s="1036"/>
      <c r="BL142" s="1036"/>
      <c r="BM142" s="1036"/>
      <c r="BN142" s="1036"/>
      <c r="BO142" s="1036"/>
      <c r="BP142" s="1036"/>
      <c r="BQ142" s="1036"/>
      <c r="BR142" s="1036"/>
      <c r="BS142" s="1036"/>
      <c r="BT142" s="1036"/>
      <c r="BU142" s="1036"/>
      <c r="BV142" s="1036"/>
      <c r="BW142" s="1036"/>
      <c r="BX142" s="1036"/>
      <c r="BY142" s="1036"/>
      <c r="BZ142" s="1049"/>
      <c r="CA142" s="1049"/>
      <c r="CB142" s="1049"/>
      <c r="CC142" s="1034"/>
      <c r="CD142" s="1034"/>
      <c r="CE142" s="1034"/>
      <c r="CF142" s="1034"/>
      <c r="CG142" s="1034"/>
      <c r="CH142" s="1034"/>
      <c r="CI142" s="1034"/>
      <c r="CJ142" s="1034"/>
      <c r="CK142" s="1034"/>
      <c r="CL142" s="1034"/>
      <c r="CM142" s="1034"/>
      <c r="CN142" s="1034"/>
      <c r="CO142" s="1034"/>
      <c r="CP142" s="1034"/>
      <c r="CQ142" s="1034"/>
      <c r="CR142" s="1034"/>
      <c r="CS142" s="1034"/>
      <c r="CT142" s="1034"/>
      <c r="CU142" s="1034"/>
      <c r="CV142" s="1034"/>
      <c r="CW142" s="1034"/>
      <c r="CX142" s="1034"/>
      <c r="CY142" s="1034"/>
      <c r="CZ142" s="1034"/>
      <c r="DA142" s="1034"/>
      <c r="DB142" s="1034"/>
      <c r="DC142" s="1034"/>
      <c r="DD142" s="1034"/>
      <c r="DE142" s="1034"/>
      <c r="DF142" s="1034"/>
      <c r="DG142" s="1034"/>
      <c r="DH142" s="1034"/>
      <c r="DI142" s="1034"/>
      <c r="DJ142" s="1034"/>
      <c r="DK142" s="1034"/>
      <c r="DL142" s="1034"/>
      <c r="DM142" s="1034"/>
      <c r="DN142" s="1034"/>
      <c r="DO142" s="1034"/>
      <c r="DP142" s="1034"/>
      <c r="DQ142" s="1034"/>
      <c r="DR142" s="1034"/>
      <c r="DS142" s="1034"/>
      <c r="DT142" s="1034"/>
      <c r="DU142" s="1034"/>
      <c r="DV142" s="1034"/>
      <c r="DW142" s="1034"/>
      <c r="DX142" s="1034"/>
      <c r="DY142" s="1034"/>
      <c r="DZ142" s="1034"/>
      <c r="EA142" s="1034"/>
      <c r="EB142" s="1034"/>
      <c r="EC142" s="1034"/>
      <c r="ED142" s="1034"/>
      <c r="EE142" s="1034"/>
      <c r="EF142" s="1034"/>
      <c r="EG142" s="1034"/>
      <c r="EH142" s="1034"/>
      <c r="EI142" s="1034"/>
      <c r="EJ142" s="1034"/>
      <c r="EK142" s="1034"/>
      <c r="EL142" s="1034"/>
      <c r="EM142" s="1034"/>
      <c r="EN142" s="1034"/>
      <c r="EO142" s="1034"/>
      <c r="EP142" s="1034"/>
      <c r="EQ142" s="1034"/>
      <c r="ER142" s="1034"/>
      <c r="ES142" s="1034"/>
      <c r="ET142" s="1034"/>
      <c r="EU142" s="1034"/>
      <c r="EV142" s="1034"/>
      <c r="EW142" s="1034"/>
      <c r="EX142" s="1034"/>
      <c r="EY142" s="1034"/>
      <c r="EZ142" s="1034"/>
      <c r="FA142" s="1034"/>
      <c r="FB142" s="1034"/>
      <c r="FC142" s="1034"/>
      <c r="FD142" s="1034"/>
      <c r="FE142" s="1034"/>
      <c r="FF142" s="1034"/>
      <c r="FG142" s="1034"/>
      <c r="FH142" s="1034"/>
      <c r="FI142" s="1034"/>
      <c r="FJ142" s="1034"/>
      <c r="FK142" s="1034"/>
      <c r="FL142" s="1034"/>
      <c r="FM142" s="1034"/>
      <c r="FN142" s="1034"/>
      <c r="FO142" s="1034"/>
      <c r="FP142" s="1034"/>
      <c r="FQ142" s="1034"/>
      <c r="FR142" s="1034"/>
      <c r="FS142" s="1034"/>
      <c r="FT142" s="1034"/>
      <c r="FU142" s="1034"/>
      <c r="FV142" s="1034"/>
      <c r="FW142" s="1034"/>
      <c r="FX142" s="1034"/>
      <c r="FY142" s="1034"/>
      <c r="FZ142" s="1034"/>
      <c r="GA142" s="1034"/>
      <c r="GB142" s="1034"/>
      <c r="GC142" s="1034"/>
      <c r="GD142" s="1034"/>
      <c r="GE142" s="1034"/>
      <c r="GF142" s="1034"/>
      <c r="GG142" s="1034"/>
      <c r="GH142" s="1034"/>
      <c r="GI142" s="1034"/>
      <c r="GJ142" s="1034"/>
      <c r="GK142" s="1034"/>
      <c r="GL142" s="1034"/>
      <c r="GM142" s="1034"/>
      <c r="GN142" s="1034"/>
      <c r="GO142" s="1034"/>
      <c r="GP142" s="1034"/>
      <c r="GQ142" s="1034"/>
      <c r="GR142" s="1034"/>
      <c r="GS142" s="1034"/>
      <c r="GT142" s="1034"/>
      <c r="GU142" s="1034"/>
      <c r="GV142" s="1034"/>
      <c r="GW142" s="1034"/>
      <c r="GX142" s="1034"/>
      <c r="GY142" s="1034"/>
      <c r="GZ142" s="1034"/>
      <c r="HA142" s="1034"/>
      <c r="HB142" s="1034"/>
      <c r="HC142" s="1034"/>
      <c r="HD142" s="1034"/>
      <c r="HE142" s="1034"/>
      <c r="HF142" s="1034"/>
      <c r="HG142" s="1034"/>
      <c r="HH142" s="1034"/>
      <c r="HI142" s="1034"/>
      <c r="HJ142" s="1034"/>
      <c r="HK142" s="1034"/>
      <c r="HL142" s="1034"/>
      <c r="HM142" s="1034"/>
      <c r="HN142" s="1034"/>
      <c r="HO142" s="1034"/>
      <c r="HP142" s="1034"/>
      <c r="HQ142" s="1034"/>
      <c r="HR142" s="1034"/>
      <c r="HS142" s="1034"/>
      <c r="HT142" s="1034"/>
      <c r="HU142" s="1034"/>
      <c r="HV142" s="1034"/>
      <c r="HW142" s="1034"/>
      <c r="HX142" s="1034"/>
      <c r="HY142" s="1034"/>
      <c r="HZ142" s="1034"/>
      <c r="IA142" s="1034"/>
      <c r="IB142" s="1034"/>
      <c r="IC142" s="1034"/>
      <c r="ID142" s="1034"/>
      <c r="IE142" s="1034"/>
      <c r="IF142" s="1034"/>
      <c r="IG142" s="1034"/>
      <c r="IH142" s="1034"/>
      <c r="II142" s="1034"/>
      <c r="IJ142" s="1034"/>
      <c r="IK142" s="1034"/>
      <c r="IL142" s="1034"/>
      <c r="IM142" s="1034"/>
      <c r="IN142" s="1034"/>
      <c r="IO142" s="1034"/>
      <c r="IP142" s="1034"/>
      <c r="IQ142" s="1034"/>
      <c r="IR142" s="1034"/>
      <c r="IS142" s="1034"/>
      <c r="IT142" s="1034"/>
      <c r="IU142" s="1034"/>
      <c r="IV142" s="1034"/>
      <c r="IW142" s="1034"/>
      <c r="IX142" s="1034"/>
      <c r="IY142" s="1034"/>
      <c r="IZ142" s="1034"/>
      <c r="JA142" s="1034"/>
      <c r="JB142" s="1034"/>
      <c r="JC142" s="1034"/>
      <c r="JD142" s="1034"/>
      <c r="JE142" s="1034"/>
      <c r="JF142" s="1034"/>
      <c r="JG142" s="1034"/>
      <c r="JH142" s="1034"/>
      <c r="JI142" s="1034"/>
      <c r="JJ142" s="1034"/>
      <c r="JK142" s="1034"/>
      <c r="JL142" s="1034"/>
      <c r="JM142" s="1034"/>
      <c r="JN142" s="1034"/>
      <c r="JO142" s="1034"/>
      <c r="JP142" s="1034"/>
      <c r="JQ142" s="1034"/>
      <c r="JR142" s="1034"/>
      <c r="JS142" s="1034"/>
      <c r="JT142" s="1034"/>
      <c r="JU142" s="1034"/>
      <c r="JV142" s="1034"/>
      <c r="JW142" s="1034"/>
      <c r="JX142" s="1034"/>
      <c r="JY142" s="1034"/>
      <c r="JZ142" s="1034"/>
      <c r="KA142" s="1034"/>
      <c r="KB142" s="1034"/>
      <c r="KC142" s="1034"/>
      <c r="KD142" s="1034"/>
      <c r="KE142" s="1034"/>
      <c r="KF142" s="1034"/>
      <c r="KG142" s="1034"/>
      <c r="KH142" s="1034"/>
      <c r="KI142" s="1034"/>
      <c r="KJ142" s="1034"/>
      <c r="KK142" s="1034"/>
      <c r="KL142" s="1034"/>
      <c r="KM142" s="1034"/>
      <c r="KN142" s="1034"/>
      <c r="KO142" s="1034"/>
      <c r="KP142" s="1034"/>
      <c r="KQ142" s="1034"/>
      <c r="KR142" s="1034"/>
      <c r="KS142" s="1034"/>
      <c r="KT142" s="1034"/>
      <c r="KU142" s="1034"/>
      <c r="KV142" s="1034"/>
      <c r="KW142" s="1034"/>
      <c r="KX142" s="1034"/>
      <c r="KY142" s="1034"/>
      <c r="KZ142" s="1034"/>
      <c r="LA142" s="1034"/>
      <c r="LB142" s="1034"/>
      <c r="LC142" s="1034"/>
      <c r="LD142" s="1034"/>
      <c r="LE142" s="1034"/>
      <c r="LF142" s="1034"/>
      <c r="LG142" s="1034"/>
      <c r="LH142" s="1034"/>
      <c r="LI142" s="1034"/>
      <c r="LJ142" s="1034"/>
      <c r="LK142" s="1034"/>
      <c r="LL142" s="1034"/>
      <c r="LM142" s="1034"/>
      <c r="LN142" s="1034"/>
      <c r="LO142" s="1034"/>
      <c r="LP142" s="1034"/>
      <c r="LQ142" s="1034"/>
      <c r="LR142" s="1034"/>
      <c r="LS142" s="1034"/>
      <c r="LT142" s="1034"/>
      <c r="LU142" s="1034"/>
      <c r="LV142" s="1034"/>
      <c r="LW142" s="1034"/>
      <c r="LX142" s="1034"/>
      <c r="LY142" s="1034"/>
      <c r="LZ142" s="1034"/>
      <c r="MA142" s="1034"/>
      <c r="MB142" s="1034"/>
      <c r="MC142" s="1034"/>
      <c r="MD142" s="1034"/>
      <c r="ME142" s="1034"/>
      <c r="MF142" s="1034"/>
      <c r="MG142" s="1034"/>
      <c r="MH142" s="1034"/>
      <c r="MI142" s="1034"/>
      <c r="MJ142" s="1034"/>
      <c r="MK142" s="1034"/>
      <c r="ML142" s="1034"/>
      <c r="MM142" s="1034"/>
      <c r="MN142" s="1034"/>
      <c r="MO142" s="1034"/>
      <c r="MP142" s="1034"/>
      <c r="MQ142" s="1034"/>
      <c r="MR142" s="1034"/>
      <c r="MS142" s="1034"/>
      <c r="MT142" s="1034"/>
      <c r="MU142" s="1034"/>
      <c r="MV142" s="1034"/>
      <c r="MW142" s="1034"/>
      <c r="MX142" s="1034"/>
      <c r="MY142" s="1034"/>
      <c r="MZ142" s="1034"/>
      <c r="NA142" s="1034"/>
      <c r="NB142" s="1034"/>
      <c r="NC142" s="1034"/>
      <c r="ND142" s="1034"/>
      <c r="NE142" s="1034"/>
      <c r="NF142" s="1034"/>
      <c r="NG142" s="1034"/>
      <c r="NH142" s="1034"/>
      <c r="NI142" s="1034"/>
      <c r="NJ142" s="1034"/>
      <c r="NK142" s="1034"/>
      <c r="NL142" s="1034"/>
      <c r="NM142" s="1034"/>
      <c r="NN142" s="1034"/>
      <c r="NO142" s="1034"/>
      <c r="NP142" s="1034"/>
      <c r="NQ142" s="1034"/>
      <c r="NR142" s="1034"/>
      <c r="NS142" s="1034"/>
      <c r="NT142" s="1034"/>
      <c r="NU142" s="1034"/>
      <c r="NV142" s="1034"/>
      <c r="NW142" s="1034"/>
      <c r="NX142" s="1034"/>
      <c r="NY142" s="1034"/>
      <c r="NZ142" s="1034"/>
      <c r="OA142" s="1034"/>
      <c r="OB142" s="1034"/>
      <c r="OC142" s="1034"/>
      <c r="OD142" s="1034"/>
      <c r="OE142" s="1034"/>
      <c r="OF142" s="1034"/>
      <c r="OG142" s="1034"/>
      <c r="OH142" s="1034"/>
    </row>
  </sheetData>
  <sheetProtection selectLockedCells="1" selectUnlockedCells="1"/>
  <mergeCells count="265">
    <mergeCell ref="G4:G5"/>
    <mergeCell ref="F4:F5"/>
    <mergeCell ref="AX4:AX5"/>
    <mergeCell ref="T32:V32"/>
    <mergeCell ref="AP4:AP5"/>
    <mergeCell ref="H31:S31"/>
    <mergeCell ref="H32:J33"/>
    <mergeCell ref="Q4:S4"/>
    <mergeCell ref="N4:P4"/>
    <mergeCell ref="K4:M4"/>
    <mergeCell ref="F33:F34"/>
    <mergeCell ref="G33:G34"/>
    <mergeCell ref="H118:J119"/>
    <mergeCell ref="K118:S118"/>
    <mergeCell ref="Y118:AG118"/>
    <mergeCell ref="Y119:Z119"/>
    <mergeCell ref="AA119:AB119"/>
    <mergeCell ref="AC119:AD119"/>
    <mergeCell ref="K90:S90"/>
    <mergeCell ref="T119:V119"/>
    <mergeCell ref="Y89:AG89"/>
    <mergeCell ref="H90:J91"/>
    <mergeCell ref="A89:B89"/>
    <mergeCell ref="A61:B61"/>
    <mergeCell ref="A88:B88"/>
    <mergeCell ref="A62:A63"/>
    <mergeCell ref="B62:B63"/>
    <mergeCell ref="A32:B32"/>
    <mergeCell ref="B33:B34"/>
    <mergeCell ref="Y4:Z4"/>
    <mergeCell ref="AA33:AB33"/>
    <mergeCell ref="E62:E63"/>
    <mergeCell ref="Y33:Z33"/>
    <mergeCell ref="T62:V62"/>
    <mergeCell ref="K62:M62"/>
    <mergeCell ref="K33:M33"/>
    <mergeCell ref="H61:J62"/>
    <mergeCell ref="K61:S61"/>
    <mergeCell ref="Y62:Z62"/>
    <mergeCell ref="A60:B60"/>
    <mergeCell ref="A59:B59"/>
    <mergeCell ref="A33:A34"/>
    <mergeCell ref="H3:J4"/>
    <mergeCell ref="K3:S3"/>
    <mergeCell ref="Y3:AG3"/>
    <mergeCell ref="AA4:AB4"/>
    <mergeCell ref="BV119:BW119"/>
    <mergeCell ref="BX119:BY119"/>
    <mergeCell ref="BN119:BO119"/>
    <mergeCell ref="BV91:BW91"/>
    <mergeCell ref="BX91:BY91"/>
    <mergeCell ref="BT91:BU91"/>
    <mergeCell ref="BG118:BH118"/>
    <mergeCell ref="BG117:BH117"/>
    <mergeCell ref="BA91:BA92"/>
    <mergeCell ref="BB91:BB92"/>
    <mergeCell ref="BE91:BF92"/>
    <mergeCell ref="BG116:BH116"/>
    <mergeCell ref="BG113:BH113"/>
    <mergeCell ref="BH91:BH92"/>
    <mergeCell ref="BR119:BS119"/>
    <mergeCell ref="BT119:BU119"/>
    <mergeCell ref="BJ119:BK119"/>
    <mergeCell ref="AZ119:AZ120"/>
    <mergeCell ref="BP119:BQ119"/>
    <mergeCell ref="BI119:BI120"/>
    <mergeCell ref="BL119:BM119"/>
    <mergeCell ref="AY91:AY92"/>
    <mergeCell ref="AZ91:AZ92"/>
    <mergeCell ref="BG142:BH142"/>
    <mergeCell ref="AH119:AI119"/>
    <mergeCell ref="AJ119:AK119"/>
    <mergeCell ref="AL119:AM119"/>
    <mergeCell ref="AP119:AP120"/>
    <mergeCell ref="BB119:BB120"/>
    <mergeCell ref="AY119:AY120"/>
    <mergeCell ref="BA119:BA120"/>
    <mergeCell ref="BG119:BG120"/>
    <mergeCell ref="BH119:BH120"/>
    <mergeCell ref="N119:P119"/>
    <mergeCell ref="X119:X120"/>
    <mergeCell ref="AQ119:AU119"/>
    <mergeCell ref="AL91:AM91"/>
    <mergeCell ref="AV119:AV120"/>
    <mergeCell ref="A90:B90"/>
    <mergeCell ref="A91:A92"/>
    <mergeCell ref="B91:B92"/>
    <mergeCell ref="C119:C120"/>
    <mergeCell ref="AH91:AI91"/>
    <mergeCell ref="AJ91:AK91"/>
    <mergeCell ref="A119:A120"/>
    <mergeCell ref="B119:B120"/>
    <mergeCell ref="K91:M91"/>
    <mergeCell ref="A116:B116"/>
    <mergeCell ref="E91:E92"/>
    <mergeCell ref="H117:S117"/>
    <mergeCell ref="A117:B117"/>
    <mergeCell ref="E119:E120"/>
    <mergeCell ref="A118:B118"/>
    <mergeCell ref="Q91:S91"/>
    <mergeCell ref="K119:M119"/>
    <mergeCell ref="Q119:S119"/>
    <mergeCell ref="AG119:AG120"/>
    <mergeCell ref="A1:B1"/>
    <mergeCell ref="E4:E5"/>
    <mergeCell ref="B4:B5"/>
    <mergeCell ref="A4:A5"/>
    <mergeCell ref="A3:B3"/>
    <mergeCell ref="A2:B2"/>
    <mergeCell ref="C4:C5"/>
    <mergeCell ref="BA33:BA34"/>
    <mergeCell ref="BB33:BB34"/>
    <mergeCell ref="A30:B30"/>
    <mergeCell ref="E33:E34"/>
    <mergeCell ref="AP33:AP34"/>
    <mergeCell ref="A31:B31"/>
    <mergeCell ref="H2:S2"/>
    <mergeCell ref="Y2:AG2"/>
    <mergeCell ref="AH2:AP3"/>
    <mergeCell ref="AC4:AD4"/>
    <mergeCell ref="AH4:AI4"/>
    <mergeCell ref="AE4:AF4"/>
    <mergeCell ref="Y31:AG31"/>
    <mergeCell ref="AH31:AP32"/>
    <mergeCell ref="Y32:AG32"/>
    <mergeCell ref="X4:X5"/>
    <mergeCell ref="K32:S32"/>
    <mergeCell ref="BG1:BH1"/>
    <mergeCell ref="BG30:BH30"/>
    <mergeCell ref="BG59:BH59"/>
    <mergeCell ref="BG27:BH27"/>
    <mergeCell ref="BH4:BH5"/>
    <mergeCell ref="BG4:BG5"/>
    <mergeCell ref="BG33:BG34"/>
    <mergeCell ref="AN62:AO62"/>
    <mergeCell ref="W33:W34"/>
    <mergeCell ref="W62:W63"/>
    <mergeCell ref="BG31:BH31"/>
    <mergeCell ref="AY33:AY34"/>
    <mergeCell ref="AV33:AV34"/>
    <mergeCell ref="AV62:AV63"/>
    <mergeCell ref="AY62:AY63"/>
    <mergeCell ref="BB62:BB63"/>
    <mergeCell ref="AZ62:AZ63"/>
    <mergeCell ref="X62:X63"/>
    <mergeCell ref="AJ62:AK62"/>
    <mergeCell ref="AL62:AM62"/>
    <mergeCell ref="AG62:AG63"/>
    <mergeCell ref="AE62:AF62"/>
    <mergeCell ref="AY4:AY5"/>
    <mergeCell ref="AV4:AV5"/>
    <mergeCell ref="BP62:BQ62"/>
    <mergeCell ref="BT62:BU62"/>
    <mergeCell ref="BV62:BW62"/>
    <mergeCell ref="BP4:BQ4"/>
    <mergeCell ref="BJ62:BK62"/>
    <mergeCell ref="BN62:BO62"/>
    <mergeCell ref="AX33:AX34"/>
    <mergeCell ref="AX62:AX63"/>
    <mergeCell ref="AZ33:AZ34"/>
    <mergeCell ref="BR4:BS4"/>
    <mergeCell ref="BJ4:BK4"/>
    <mergeCell ref="BN4:BO4"/>
    <mergeCell ref="BL4:BM4"/>
    <mergeCell ref="BJ33:BK33"/>
    <mergeCell ref="BN33:BO33"/>
    <mergeCell ref="BL33:BM33"/>
    <mergeCell ref="BG62:BG63"/>
    <mergeCell ref="BH62:BH63"/>
    <mergeCell ref="BA62:BA63"/>
    <mergeCell ref="BZ4:CB4"/>
    <mergeCell ref="AQ4:AU4"/>
    <mergeCell ref="BG2:BH2"/>
    <mergeCell ref="BT4:BU4"/>
    <mergeCell ref="BV4:BW4"/>
    <mergeCell ref="BX4:BY4"/>
    <mergeCell ref="AZ4:AZ5"/>
    <mergeCell ref="BA4:BA5"/>
    <mergeCell ref="BB4:BB5"/>
    <mergeCell ref="BG3:BH3"/>
    <mergeCell ref="BZ119:CB119"/>
    <mergeCell ref="BG32:BH32"/>
    <mergeCell ref="AQ62:AU62"/>
    <mergeCell ref="AQ91:AU91"/>
    <mergeCell ref="BG61:BH61"/>
    <mergeCell ref="BZ33:CB33"/>
    <mergeCell ref="BZ62:CB62"/>
    <mergeCell ref="BZ91:CB91"/>
    <mergeCell ref="BG60:BH60"/>
    <mergeCell ref="BJ91:BK91"/>
    <mergeCell ref="BN91:BO91"/>
    <mergeCell ref="BP91:BQ91"/>
    <mergeCell ref="BR91:BS91"/>
    <mergeCell ref="BL62:BM62"/>
    <mergeCell ref="BL91:BM91"/>
    <mergeCell ref="BX62:BY62"/>
    <mergeCell ref="BR33:BS33"/>
    <mergeCell ref="BV33:BW33"/>
    <mergeCell ref="BX33:BY33"/>
    <mergeCell ref="BT33:BU33"/>
    <mergeCell ref="BP33:BQ33"/>
    <mergeCell ref="BR62:BS62"/>
    <mergeCell ref="BH33:BH34"/>
    <mergeCell ref="BG56:BH56"/>
    <mergeCell ref="C33:C34"/>
    <mergeCell ref="C62:C63"/>
    <mergeCell ref="C91:C92"/>
    <mergeCell ref="N91:P91"/>
    <mergeCell ref="AP62:AP63"/>
    <mergeCell ref="N62:P62"/>
    <mergeCell ref="H89:S89"/>
    <mergeCell ref="AE33:AF33"/>
    <mergeCell ref="AN33:AO33"/>
    <mergeCell ref="Q62:S62"/>
    <mergeCell ref="H60:S60"/>
    <mergeCell ref="N33:P33"/>
    <mergeCell ref="Q33:S33"/>
    <mergeCell ref="Y61:AG61"/>
    <mergeCell ref="Y60:AG60"/>
    <mergeCell ref="AH60:AP61"/>
    <mergeCell ref="AH62:AI62"/>
    <mergeCell ref="T91:V91"/>
    <mergeCell ref="AC62:AD62"/>
    <mergeCell ref="AA62:AB62"/>
    <mergeCell ref="F91:F92"/>
    <mergeCell ref="G91:G92"/>
    <mergeCell ref="F62:F63"/>
    <mergeCell ref="G62:G63"/>
    <mergeCell ref="T4:V4"/>
    <mergeCell ref="BI91:BI92"/>
    <mergeCell ref="BI62:BI63"/>
    <mergeCell ref="BI33:BI34"/>
    <mergeCell ref="BI4:BI5"/>
    <mergeCell ref="BG88:BH88"/>
    <mergeCell ref="X91:X92"/>
    <mergeCell ref="BG91:BG92"/>
    <mergeCell ref="AP91:AP92"/>
    <mergeCell ref="AN4:AO4"/>
    <mergeCell ref="AV91:AV92"/>
    <mergeCell ref="AQ33:AU33"/>
    <mergeCell ref="BG85:BH85"/>
    <mergeCell ref="BG89:BH89"/>
    <mergeCell ref="BG90:BH90"/>
    <mergeCell ref="W4:W5"/>
    <mergeCell ref="AE119:AF119"/>
    <mergeCell ref="AN119:AO119"/>
    <mergeCell ref="AH89:AP90"/>
    <mergeCell ref="AJ4:AK4"/>
    <mergeCell ref="AL4:AM4"/>
    <mergeCell ref="AG4:AG5"/>
    <mergeCell ref="AJ33:AK33"/>
    <mergeCell ref="AL33:AM33"/>
    <mergeCell ref="Y90:AG90"/>
    <mergeCell ref="Y91:Z91"/>
    <mergeCell ref="AC33:AD33"/>
    <mergeCell ref="AG33:AG34"/>
    <mergeCell ref="AH33:AI33"/>
    <mergeCell ref="X33:X34"/>
    <mergeCell ref="AH117:AP118"/>
    <mergeCell ref="Y117:AG117"/>
    <mergeCell ref="AN91:AO91"/>
    <mergeCell ref="AA91:AB91"/>
    <mergeCell ref="AC91:AD91"/>
    <mergeCell ref="AG91:AG92"/>
    <mergeCell ref="AE91:AF91"/>
  </mergeCells>
  <phoneticPr fontId="0" type="noConversion"/>
  <printOptions horizontalCentered="1"/>
  <pageMargins left="0" right="0" top="0" bottom="0" header="0.5" footer="0.5"/>
  <pageSetup paperSize="9" scale="32" orientation="landscape" r:id="rId1"/>
  <headerFooter alignWithMargins="0"/>
  <rowBreaks count="4" manualBreakCount="4">
    <brk id="28" max="59" man="1"/>
    <brk id="57" max="46" man="1"/>
    <brk id="86" max="48" man="1"/>
    <brk id="114" max="58" man="1"/>
  </rowBreaks>
  <colBreaks count="1" manualBreakCount="1">
    <brk id="5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TB07-PROVINCIAL.</vt:lpstr>
      <vt:lpstr>TB07-OJHA</vt:lpstr>
      <vt:lpstr>TB07-NGO</vt:lpstr>
      <vt:lpstr>TB07-CDGK</vt:lpstr>
      <vt:lpstr>'TB07-CDGK'!Print_Area</vt:lpstr>
    </vt:vector>
  </TitlesOfParts>
  <Company>Health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Progrmme Manager</dc:creator>
  <cp:lastModifiedBy>Dr-Aman</cp:lastModifiedBy>
  <cp:lastPrinted>2010-01-21T08:30:00Z</cp:lastPrinted>
  <dcterms:created xsi:type="dcterms:W3CDTF">2003-08-16T06:13:28Z</dcterms:created>
  <dcterms:modified xsi:type="dcterms:W3CDTF">2010-07-25T10:23:16Z</dcterms:modified>
</cp:coreProperties>
</file>