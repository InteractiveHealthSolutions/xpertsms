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0" windowWidth="20520" windowHeight="11640"/>
  </bookViews>
  <sheets>
    <sheet name="Original Sheet" sheetId="1" r:id="rId1"/>
  </sheets>
  <definedNames>
    <definedName name="_xlnm._FilterDatabase" localSheetId="0" hidden="1">'Original Sheet'!$O$1:$O$920</definedName>
    <definedName name="_xlnm.Print_Area" localSheetId="0">'Original Sheet'!$B$390:$H$469</definedName>
  </definedNames>
  <calcPr calcId="124519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S890" i="1"/>
  <c r="T890" s="1"/>
  <c r="S887"/>
  <c r="T887" s="1"/>
  <c r="S882"/>
  <c r="T882" s="1"/>
  <c r="S878"/>
  <c r="T878" s="1"/>
  <c r="S875"/>
  <c r="T875" s="1"/>
  <c r="S874"/>
  <c r="T874" s="1"/>
  <c r="S871"/>
  <c r="T871" s="1"/>
  <c r="S870"/>
  <c r="T870" s="1"/>
  <c r="S867"/>
  <c r="T867" s="1"/>
  <c r="S863"/>
  <c r="T863" s="1"/>
  <c r="S861"/>
  <c r="T861" s="1"/>
  <c r="S853"/>
  <c r="T853" s="1"/>
  <c r="S852"/>
  <c r="T852" s="1"/>
  <c r="S835"/>
  <c r="T835" s="1"/>
  <c r="S830"/>
  <c r="T830" s="1"/>
  <c r="S828"/>
  <c r="T828" s="1"/>
  <c r="S826"/>
  <c r="T826" s="1"/>
  <c r="S825"/>
  <c r="T825" s="1"/>
  <c r="S820"/>
  <c r="T820" s="1"/>
  <c r="S819"/>
  <c r="T819" s="1"/>
  <c r="S818"/>
  <c r="T818" s="1"/>
  <c r="S817"/>
  <c r="T817" s="1"/>
  <c r="S816"/>
  <c r="T816" s="1"/>
  <c r="S811"/>
  <c r="T811" s="1"/>
  <c r="S806"/>
  <c r="T806" s="1"/>
  <c r="S805"/>
  <c r="T805" s="1"/>
  <c r="S803"/>
  <c r="T803" s="1"/>
  <c r="S802"/>
  <c r="T802" s="1"/>
  <c r="S801"/>
  <c r="T801" s="1"/>
  <c r="S800"/>
  <c r="T800" s="1"/>
  <c r="S795"/>
  <c r="T795" s="1"/>
  <c r="S792"/>
  <c r="T792" s="1"/>
  <c r="S790"/>
  <c r="T790" s="1"/>
  <c r="S789"/>
  <c r="T789" s="1"/>
  <c r="S799"/>
  <c r="T799" s="1"/>
  <c r="S798"/>
  <c r="T798" s="1"/>
  <c r="S797"/>
  <c r="T797" s="1"/>
  <c r="S796"/>
  <c r="T796" s="1"/>
  <c r="S794"/>
  <c r="T794" s="1"/>
  <c r="S793"/>
  <c r="T793" s="1"/>
  <c r="S791"/>
  <c r="T791" s="1"/>
  <c r="S788"/>
  <c r="T788" s="1"/>
  <c r="S787"/>
  <c r="T787" s="1"/>
  <c r="S786"/>
  <c r="T786" s="1"/>
  <c r="S785"/>
  <c r="T785" s="1"/>
  <c r="S784"/>
  <c r="T784" s="1"/>
  <c r="S783"/>
  <c r="T783" s="1"/>
  <c r="S782"/>
  <c r="T782" s="1"/>
  <c r="S781"/>
  <c r="T781" s="1"/>
  <c r="S780"/>
  <c r="T780" s="1"/>
  <c r="S779"/>
  <c r="T779" s="1"/>
  <c r="S778"/>
  <c r="T778" s="1"/>
  <c r="S777"/>
  <c r="T777" s="1"/>
  <c r="S776"/>
  <c r="T776" s="1"/>
  <c r="S775"/>
  <c r="T775" s="1"/>
  <c r="S774"/>
  <c r="T774" s="1"/>
  <c r="S773"/>
  <c r="T773" s="1"/>
  <c r="S772"/>
  <c r="T772" s="1"/>
  <c r="S771"/>
  <c r="T771" s="1"/>
  <c r="S770"/>
  <c r="T770" s="1"/>
  <c r="S769"/>
  <c r="T769" s="1"/>
  <c r="S768"/>
  <c r="T768" s="1"/>
  <c r="S767"/>
  <c r="T767" s="1"/>
  <c r="S766"/>
  <c r="T766" s="1"/>
  <c r="S765"/>
  <c r="T765" s="1"/>
  <c r="S764"/>
  <c r="T764" s="1"/>
  <c r="S763"/>
  <c r="T763" s="1"/>
  <c r="S762"/>
  <c r="T762" s="1"/>
  <c r="S761"/>
  <c r="T761" s="1"/>
  <c r="S760"/>
  <c r="T760" s="1"/>
  <c r="S759"/>
  <c r="T759" s="1"/>
  <c r="S758"/>
  <c r="T758" s="1"/>
  <c r="S757"/>
  <c r="T757" s="1"/>
  <c r="S756"/>
  <c r="T756" s="1"/>
  <c r="S755"/>
  <c r="T755" s="1"/>
  <c r="S754"/>
  <c r="T754" s="1"/>
  <c r="S753"/>
  <c r="T753" s="1"/>
  <c r="S752"/>
  <c r="T752" s="1"/>
  <c r="S751"/>
  <c r="T751" s="1"/>
  <c r="S750"/>
  <c r="T750" s="1"/>
  <c r="S749"/>
  <c r="T749" s="1"/>
  <c r="S748"/>
  <c r="T748" s="1"/>
  <c r="S747"/>
  <c r="T747" s="1"/>
  <c r="S746"/>
  <c r="T746" s="1"/>
  <c r="S745"/>
  <c r="T745" s="1"/>
  <c r="S744"/>
  <c r="T744" s="1"/>
  <c r="S743"/>
  <c r="T743" s="1"/>
  <c r="S742"/>
  <c r="T742" s="1"/>
  <c r="S741"/>
  <c r="T741" s="1"/>
  <c r="S740"/>
  <c r="T740" s="1"/>
  <c r="S739"/>
  <c r="T739" s="1"/>
  <c r="S738"/>
  <c r="T738" s="1"/>
  <c r="S737"/>
  <c r="T737" s="1"/>
  <c r="S736"/>
  <c r="T736" s="1"/>
  <c r="S735"/>
  <c r="T735" s="1"/>
  <c r="S734"/>
  <c r="T734" s="1"/>
  <c r="S733"/>
  <c r="T733" s="1"/>
  <c r="S732"/>
  <c r="T732" s="1"/>
  <c r="S731"/>
  <c r="T731" s="1"/>
  <c r="S730"/>
  <c r="T730" s="1"/>
  <c r="S729"/>
  <c r="T729" s="1"/>
  <c r="S728"/>
  <c r="T728" s="1"/>
  <c r="S727"/>
  <c r="T727" s="1"/>
  <c r="S726"/>
  <c r="T726" s="1"/>
  <c r="S725"/>
  <c r="T725" s="1"/>
  <c r="S724"/>
  <c r="T724" s="1"/>
  <c r="S723"/>
  <c r="T723" s="1"/>
  <c r="S722"/>
  <c r="T722" s="1"/>
  <c r="S721"/>
  <c r="T721" s="1"/>
  <c r="S720"/>
  <c r="T720" s="1"/>
  <c r="S719"/>
  <c r="T719" s="1"/>
  <c r="S718"/>
  <c r="T718" s="1"/>
  <c r="S717"/>
  <c r="T717" s="1"/>
  <c r="S716"/>
  <c r="T716" s="1"/>
  <c r="S715"/>
  <c r="T715" s="1"/>
  <c r="S714"/>
  <c r="T714" s="1"/>
  <c r="S713"/>
  <c r="T713" s="1"/>
  <c r="S712"/>
  <c r="T712" s="1"/>
  <c r="S711"/>
  <c r="T711" s="1"/>
  <c r="S710"/>
  <c r="T710" s="1"/>
  <c r="S709"/>
  <c r="T709" s="1"/>
  <c r="S708"/>
  <c r="T708" s="1"/>
  <c r="S707"/>
  <c r="T707" s="1"/>
  <c r="S706"/>
  <c r="T706" s="1"/>
  <c r="S705"/>
  <c r="T705" s="1"/>
  <c r="S704"/>
  <c r="T704" s="1"/>
  <c r="S703"/>
  <c r="T703" s="1"/>
  <c r="S702"/>
  <c r="T702" s="1"/>
  <c r="S701"/>
  <c r="T701" s="1"/>
  <c r="S700"/>
  <c r="T700" s="1"/>
  <c r="S699"/>
  <c r="T699" s="1"/>
  <c r="S698"/>
  <c r="T698" s="1"/>
  <c r="S697"/>
  <c r="T697" s="1"/>
  <c r="S696"/>
  <c r="T696" s="1"/>
  <c r="S695"/>
  <c r="T695" s="1"/>
  <c r="S694"/>
  <c r="T694" s="1"/>
  <c r="S693"/>
  <c r="T693" s="1"/>
  <c r="S692"/>
  <c r="T692" s="1"/>
  <c r="S691"/>
  <c r="T691" s="1"/>
  <c r="S690"/>
  <c r="T690" s="1"/>
  <c r="S689"/>
  <c r="T689" s="1"/>
  <c r="S688"/>
  <c r="T688" s="1"/>
  <c r="S687"/>
  <c r="T687" s="1"/>
  <c r="S686"/>
  <c r="T686" s="1"/>
  <c r="S685"/>
  <c r="T685" s="1"/>
  <c r="S684"/>
  <c r="T684" s="1"/>
  <c r="S683"/>
  <c r="T683" s="1"/>
  <c r="S682"/>
  <c r="T682" s="1"/>
  <c r="S681"/>
  <c r="T681" s="1"/>
  <c r="S680"/>
  <c r="T680" s="1"/>
  <c r="S679"/>
  <c r="T679" s="1"/>
  <c r="S678"/>
  <c r="T678" s="1"/>
  <c r="S677"/>
  <c r="T677" s="1"/>
  <c r="S676"/>
  <c r="T676" s="1"/>
  <c r="S675"/>
  <c r="T675" s="1"/>
  <c r="S674"/>
  <c r="T674" s="1"/>
  <c r="S673"/>
  <c r="T673" s="1"/>
  <c r="S672"/>
  <c r="T672" s="1"/>
  <c r="S671"/>
  <c r="T671" s="1"/>
  <c r="S670"/>
  <c r="T670" s="1"/>
  <c r="S669"/>
  <c r="T669" s="1"/>
  <c r="S668"/>
  <c r="T668" s="1"/>
  <c r="S667"/>
  <c r="T667" s="1"/>
  <c r="S666"/>
  <c r="T666" s="1"/>
  <c r="S665"/>
  <c r="T665" s="1"/>
  <c r="S664"/>
  <c r="T664" s="1"/>
  <c r="S663"/>
  <c r="T663" s="1"/>
  <c r="S662"/>
  <c r="T662" s="1"/>
  <c r="S661"/>
  <c r="T661" s="1"/>
  <c r="S660"/>
  <c r="T660" s="1"/>
  <c r="S659"/>
  <c r="T659" s="1"/>
  <c r="S658"/>
  <c r="T658" s="1"/>
  <c r="S657"/>
  <c r="T657" s="1"/>
  <c r="S656"/>
  <c r="T656" s="1"/>
  <c r="S655"/>
  <c r="T655" s="1"/>
  <c r="S654"/>
  <c r="T654" s="1"/>
  <c r="S653"/>
  <c r="T653" s="1"/>
  <c r="S652"/>
  <c r="T652" s="1"/>
  <c r="S651"/>
  <c r="T651" s="1"/>
  <c r="S650"/>
  <c r="T650" s="1"/>
  <c r="S649"/>
  <c r="T649" s="1"/>
  <c r="S648"/>
  <c r="T648" s="1"/>
  <c r="S647"/>
  <c r="T647" s="1"/>
  <c r="S646"/>
  <c r="T646" s="1"/>
  <c r="S645"/>
  <c r="T645" s="1"/>
  <c r="S644"/>
  <c r="T644" s="1"/>
  <c r="S643"/>
  <c r="T643" s="1"/>
  <c r="S642"/>
  <c r="T642" s="1"/>
  <c r="S641"/>
  <c r="T641" s="1"/>
  <c r="S640"/>
  <c r="T640" s="1"/>
  <c r="S639"/>
  <c r="T639" s="1"/>
  <c r="S638"/>
  <c r="T638" s="1"/>
  <c r="S637"/>
  <c r="T637" s="1"/>
  <c r="S636"/>
  <c r="T636" s="1"/>
  <c r="S635"/>
  <c r="T635" s="1"/>
  <c r="S634"/>
  <c r="T634" s="1"/>
  <c r="S633"/>
  <c r="T633" s="1"/>
  <c r="S632"/>
  <c r="T632" s="1"/>
  <c r="S631"/>
  <c r="T631" s="1"/>
  <c r="S630"/>
  <c r="T630" s="1"/>
  <c r="S629"/>
  <c r="T629" s="1"/>
  <c r="S628"/>
  <c r="T628" s="1"/>
  <c r="S627"/>
  <c r="T627" s="1"/>
  <c r="S626"/>
  <c r="T626" s="1"/>
  <c r="S625"/>
  <c r="T625" s="1"/>
  <c r="S624"/>
  <c r="T624" s="1"/>
  <c r="S623"/>
  <c r="T623" s="1"/>
  <c r="S622"/>
  <c r="T622" s="1"/>
  <c r="S621"/>
  <c r="T621" s="1"/>
  <c r="S620"/>
  <c r="T620" s="1"/>
  <c r="S619"/>
  <c r="T619" s="1"/>
  <c r="S618"/>
  <c r="T618" s="1"/>
  <c r="S617"/>
  <c r="T617" s="1"/>
  <c r="S616"/>
  <c r="T616" s="1"/>
  <c r="S615"/>
  <c r="T615" s="1"/>
  <c r="S614"/>
  <c r="T614" s="1"/>
  <c r="S613"/>
  <c r="T613" s="1"/>
  <c r="S612"/>
  <c r="T612" s="1"/>
  <c r="S611"/>
  <c r="T611" s="1"/>
  <c r="S610"/>
  <c r="T610" s="1"/>
  <c r="S609"/>
  <c r="T609" s="1"/>
  <c r="S608"/>
  <c r="T608" s="1"/>
  <c r="S607"/>
  <c r="T607" s="1"/>
  <c r="S606"/>
  <c r="T606" s="1"/>
  <c r="S605"/>
  <c r="T605" s="1"/>
  <c r="S604"/>
  <c r="T604" s="1"/>
  <c r="S603"/>
  <c r="T603" s="1"/>
  <c r="S602"/>
  <c r="T602" s="1"/>
  <c r="S601"/>
  <c r="T601" s="1"/>
  <c r="S600"/>
  <c r="T600" s="1"/>
  <c r="S599"/>
  <c r="T599" s="1"/>
  <c r="S598"/>
  <c r="T598" s="1"/>
  <c r="S597"/>
  <c r="T597" s="1"/>
  <c r="S596"/>
  <c r="T596" s="1"/>
  <c r="S595"/>
  <c r="T595" s="1"/>
  <c r="S594"/>
  <c r="T594" s="1"/>
  <c r="S593"/>
  <c r="T593" s="1"/>
  <c r="S592"/>
  <c r="T592" s="1"/>
  <c r="S591"/>
  <c r="T591" s="1"/>
  <c r="S590"/>
  <c r="T590" s="1"/>
  <c r="S589"/>
  <c r="T589" s="1"/>
  <c r="S588"/>
  <c r="T588" s="1"/>
  <c r="S587"/>
  <c r="T587" s="1"/>
  <c r="S586"/>
  <c r="T586" s="1"/>
  <c r="S585"/>
  <c r="T585" s="1"/>
  <c r="S584"/>
  <c r="T584" s="1"/>
  <c r="S583"/>
  <c r="T583" s="1"/>
  <c r="S582"/>
  <c r="T582" s="1"/>
  <c r="S581"/>
  <c r="T581" s="1"/>
  <c r="S580"/>
  <c r="T580" s="1"/>
  <c r="S579"/>
  <c r="T579" s="1"/>
  <c r="S578"/>
  <c r="T578" s="1"/>
  <c r="S577"/>
  <c r="T577" s="1"/>
  <c r="S576"/>
  <c r="T576" s="1"/>
  <c r="S575"/>
  <c r="T575" s="1"/>
  <c r="S574"/>
  <c r="T574" s="1"/>
  <c r="S573"/>
  <c r="T573" s="1"/>
  <c r="S572"/>
  <c r="T572" s="1"/>
  <c r="S571"/>
  <c r="T571" s="1"/>
  <c r="S570"/>
  <c r="T570" s="1"/>
  <c r="S569"/>
  <c r="T569" s="1"/>
  <c r="S568"/>
  <c r="T568" s="1"/>
  <c r="S567"/>
  <c r="T567" s="1"/>
  <c r="S566"/>
  <c r="T566" s="1"/>
  <c r="S565"/>
  <c r="T565" s="1"/>
  <c r="S564"/>
  <c r="T564" s="1"/>
  <c r="S563"/>
  <c r="T563" s="1"/>
  <c r="S562"/>
  <c r="T562" s="1"/>
  <c r="S561"/>
  <c r="T561" s="1"/>
  <c r="S560"/>
  <c r="T560" s="1"/>
  <c r="S559"/>
  <c r="T559" s="1"/>
  <c r="S558"/>
  <c r="T558" s="1"/>
  <c r="S557"/>
  <c r="T557" s="1"/>
  <c r="S556"/>
  <c r="T556" s="1"/>
  <c r="S555"/>
  <c r="T555" s="1"/>
  <c r="S554"/>
  <c r="T554" s="1"/>
  <c r="S553"/>
  <c r="T553" s="1"/>
  <c r="S552"/>
  <c r="T552" s="1"/>
  <c r="S551"/>
  <c r="T551" s="1"/>
  <c r="S550"/>
  <c r="T550" s="1"/>
  <c r="S549"/>
  <c r="T549" s="1"/>
  <c r="S548"/>
  <c r="T548" s="1"/>
  <c r="S547"/>
  <c r="T547" s="1"/>
  <c r="S546"/>
  <c r="T546" s="1"/>
  <c r="S545"/>
  <c r="T545" s="1"/>
  <c r="S544"/>
  <c r="T544" s="1"/>
  <c r="S543"/>
  <c r="T543" s="1"/>
  <c r="S542"/>
  <c r="T542" s="1"/>
  <c r="S541"/>
  <c r="T541" s="1"/>
  <c r="S540"/>
  <c r="T540" s="1"/>
  <c r="S539"/>
  <c r="T539" s="1"/>
  <c r="S538"/>
  <c r="T538" s="1"/>
  <c r="S537"/>
  <c r="T537" s="1"/>
  <c r="S536"/>
  <c r="T536" s="1"/>
  <c r="S535"/>
  <c r="T535" s="1"/>
  <c r="S534"/>
  <c r="T534" s="1"/>
  <c r="S533"/>
  <c r="T533" s="1"/>
  <c r="S532"/>
  <c r="T532" s="1"/>
  <c r="S531"/>
  <c r="T531" s="1"/>
  <c r="S530"/>
  <c r="T530" s="1"/>
  <c r="S529"/>
  <c r="T529" s="1"/>
  <c r="S528"/>
  <c r="T528" s="1"/>
  <c r="S527"/>
  <c r="T527" s="1"/>
  <c r="S526"/>
  <c r="T526" s="1"/>
  <c r="S525"/>
  <c r="T525" s="1"/>
  <c r="S524"/>
  <c r="T524" s="1"/>
  <c r="S523"/>
  <c r="T523" s="1"/>
  <c r="S522"/>
  <c r="T522" s="1"/>
  <c r="S521"/>
  <c r="T521" s="1"/>
  <c r="S520"/>
  <c r="T520" s="1"/>
  <c r="S519"/>
  <c r="T519" s="1"/>
  <c r="S518"/>
  <c r="T518" s="1"/>
  <c r="S517"/>
  <c r="T517" s="1"/>
  <c r="S516"/>
  <c r="T516" s="1"/>
  <c r="S515"/>
  <c r="T515" s="1"/>
  <c r="S514"/>
  <c r="T514" s="1"/>
  <c r="S513"/>
  <c r="T513" s="1"/>
  <c r="S512"/>
  <c r="T512" s="1"/>
  <c r="S511"/>
  <c r="T511" s="1"/>
  <c r="S510"/>
  <c r="T510" s="1"/>
  <c r="S509"/>
  <c r="T509" s="1"/>
  <c r="S508"/>
  <c r="T508" s="1"/>
  <c r="S507"/>
  <c r="T507" s="1"/>
  <c r="S506"/>
  <c r="T506" s="1"/>
  <c r="S505"/>
  <c r="T505" s="1"/>
  <c r="S504"/>
  <c r="T504" s="1"/>
  <c r="S503"/>
  <c r="T503" s="1"/>
  <c r="S502"/>
  <c r="T502" s="1"/>
  <c r="S501"/>
  <c r="T501" s="1"/>
  <c r="S500"/>
  <c r="T500" s="1"/>
  <c r="S499"/>
  <c r="T499" s="1"/>
  <c r="S498"/>
  <c r="T498" s="1"/>
  <c r="S497"/>
  <c r="T497" s="1"/>
  <c r="S496"/>
  <c r="T496" s="1"/>
  <c r="S495"/>
  <c r="T495" s="1"/>
  <c r="S494"/>
  <c r="T494" s="1"/>
  <c r="S493"/>
  <c r="T493" s="1"/>
  <c r="S492"/>
  <c r="T492" s="1"/>
  <c r="S491"/>
  <c r="T491" s="1"/>
  <c r="S490"/>
  <c r="T490" s="1"/>
  <c r="S489"/>
  <c r="T489" s="1"/>
  <c r="S488"/>
  <c r="T488" s="1"/>
  <c r="S487"/>
  <c r="T487" s="1"/>
  <c r="S486"/>
  <c r="T486" s="1"/>
  <c r="S485"/>
  <c r="T485" s="1"/>
  <c r="S484"/>
  <c r="T484" s="1"/>
  <c r="S483"/>
  <c r="T483" s="1"/>
  <c r="S482"/>
  <c r="T482" s="1"/>
  <c r="S481"/>
  <c r="T481" s="1"/>
  <c r="S480"/>
  <c r="T480" s="1"/>
  <c r="S479"/>
  <c r="T479" s="1"/>
  <c r="S478"/>
  <c r="T478" s="1"/>
  <c r="S477"/>
  <c r="T477" s="1"/>
  <c r="S476"/>
  <c r="T476" s="1"/>
  <c r="S475"/>
  <c r="T475" s="1"/>
  <c r="S474"/>
  <c r="T474" s="1"/>
  <c r="S473"/>
  <c r="T473" s="1"/>
  <c r="S472"/>
  <c r="T472" s="1"/>
  <c r="S471"/>
  <c r="T471" s="1"/>
  <c r="S470"/>
  <c r="T470" s="1"/>
  <c r="S469"/>
  <c r="T469" s="1"/>
  <c r="S468"/>
  <c r="T468" s="1"/>
  <c r="S467"/>
  <c r="T467" s="1"/>
  <c r="S466"/>
  <c r="T466" s="1"/>
  <c r="S465"/>
  <c r="T465" s="1"/>
  <c r="S464"/>
  <c r="T464" s="1"/>
  <c r="S463"/>
  <c r="T463" s="1"/>
  <c r="S462"/>
  <c r="T462" s="1"/>
  <c r="S461"/>
  <c r="T461" s="1"/>
  <c r="S460"/>
  <c r="T460" s="1"/>
  <c r="S459"/>
  <c r="T459" s="1"/>
  <c r="S458"/>
  <c r="T458" s="1"/>
  <c r="S457"/>
  <c r="T457" s="1"/>
  <c r="S456"/>
  <c r="T456" s="1"/>
  <c r="S455"/>
  <c r="T455" s="1"/>
  <c r="S454"/>
  <c r="T454" s="1"/>
  <c r="S453"/>
  <c r="T453" s="1"/>
  <c r="S452"/>
  <c r="T452" s="1"/>
  <c r="S451"/>
  <c r="T451" s="1"/>
  <c r="S450"/>
  <c r="T450" s="1"/>
  <c r="S449"/>
  <c r="T449" s="1"/>
  <c r="S448"/>
  <c r="T448" s="1"/>
  <c r="S447"/>
  <c r="T447" s="1"/>
  <c r="S446"/>
  <c r="T446" s="1"/>
  <c r="S445"/>
  <c r="T445" s="1"/>
  <c r="S444"/>
  <c r="T444" s="1"/>
  <c r="S443"/>
  <c r="T443" s="1"/>
  <c r="S442"/>
  <c r="T442" s="1"/>
  <c r="S441"/>
  <c r="T441" s="1"/>
  <c r="S440"/>
  <c r="T440" s="1"/>
  <c r="S439"/>
  <c r="T439" s="1"/>
  <c r="S438"/>
  <c r="T438" s="1"/>
  <c r="S437"/>
  <c r="T437" s="1"/>
  <c r="S436"/>
  <c r="T436" s="1"/>
  <c r="S435"/>
  <c r="T435" s="1"/>
  <c r="S434"/>
  <c r="T434" s="1"/>
  <c r="S433"/>
  <c r="T433" s="1"/>
  <c r="S432"/>
  <c r="T432" s="1"/>
  <c r="S431"/>
  <c r="T431" s="1"/>
  <c r="S430"/>
  <c r="T430" s="1"/>
  <c r="S429"/>
  <c r="T429" s="1"/>
  <c r="S428"/>
  <c r="T428" s="1"/>
  <c r="S427"/>
  <c r="T427" s="1"/>
  <c r="S426"/>
  <c r="T426" s="1"/>
  <c r="S425"/>
  <c r="T425" s="1"/>
  <c r="S424"/>
  <c r="T424" s="1"/>
  <c r="S423"/>
  <c r="T423" s="1"/>
  <c r="S422"/>
  <c r="T422" s="1"/>
  <c r="S421"/>
  <c r="T421" s="1"/>
  <c r="S420"/>
  <c r="T420" s="1"/>
  <c r="S419"/>
  <c r="T419" s="1"/>
  <c r="S418"/>
  <c r="T418" s="1"/>
  <c r="S417"/>
  <c r="T417" s="1"/>
  <c r="S416"/>
  <c r="T416" s="1"/>
  <c r="S415"/>
  <c r="T415" s="1"/>
  <c r="S414"/>
  <c r="T414" s="1"/>
  <c r="S413"/>
  <c r="T413" s="1"/>
  <c r="S412"/>
  <c r="T412" s="1"/>
  <c r="S411"/>
  <c r="T411" s="1"/>
  <c r="S410"/>
  <c r="T410" s="1"/>
  <c r="S409"/>
  <c r="T409" s="1"/>
  <c r="S408"/>
  <c r="T408" s="1"/>
  <c r="S407"/>
  <c r="T407" s="1"/>
  <c r="S406"/>
  <c r="T406" s="1"/>
  <c r="S405"/>
  <c r="T405" s="1"/>
  <c r="S404"/>
  <c r="T404" s="1"/>
  <c r="S403"/>
  <c r="T403" s="1"/>
  <c r="S402"/>
  <c r="T402" s="1"/>
  <c r="S401"/>
  <c r="T401" s="1"/>
  <c r="S400"/>
  <c r="T400" s="1"/>
  <c r="S399"/>
  <c r="T399" s="1"/>
  <c r="S398"/>
  <c r="T398" s="1"/>
  <c r="S397"/>
  <c r="T397" s="1"/>
  <c r="S396"/>
  <c r="T396" s="1"/>
  <c r="S395"/>
  <c r="T395" s="1"/>
  <c r="S394"/>
  <c r="T394" s="1"/>
  <c r="S393"/>
  <c r="T393" s="1"/>
  <c r="S392"/>
  <c r="T392" s="1"/>
  <c r="S391"/>
  <c r="T391" s="1"/>
  <c r="S390"/>
  <c r="T390" s="1"/>
  <c r="S389"/>
  <c r="T389" s="1"/>
  <c r="S388"/>
  <c r="T388" s="1"/>
  <c r="S387"/>
  <c r="T387" s="1"/>
  <c r="S386"/>
  <c r="T386" s="1"/>
  <c r="S385"/>
  <c r="T385" s="1"/>
  <c r="S384"/>
  <c r="T384" s="1"/>
  <c r="S383"/>
  <c r="T383" s="1"/>
  <c r="S382"/>
  <c r="T382" s="1"/>
  <c r="S381"/>
  <c r="T381" s="1"/>
  <c r="S380"/>
  <c r="T380" s="1"/>
  <c r="S379"/>
  <c r="T379" s="1"/>
  <c r="S378"/>
  <c r="T378" s="1"/>
  <c r="S377"/>
  <c r="T377" s="1"/>
  <c r="S376"/>
  <c r="T376" s="1"/>
  <c r="S375"/>
  <c r="T375" s="1"/>
  <c r="S374"/>
  <c r="T374" s="1"/>
  <c r="S373"/>
  <c r="T373" s="1"/>
  <c r="S372"/>
  <c r="T372" s="1"/>
  <c r="S371"/>
  <c r="T371" s="1"/>
  <c r="S370"/>
  <c r="T370" s="1"/>
  <c r="S369"/>
  <c r="T369" s="1"/>
  <c r="S368"/>
  <c r="T368" s="1"/>
  <c r="S367"/>
  <c r="T367" s="1"/>
  <c r="S366"/>
  <c r="T366" s="1"/>
  <c r="S365"/>
  <c r="T365" s="1"/>
  <c r="S364"/>
  <c r="T364" s="1"/>
  <c r="S363"/>
  <c r="T363" s="1"/>
  <c r="S362"/>
  <c r="T362" s="1"/>
  <c r="S361"/>
  <c r="T361" s="1"/>
  <c r="S360"/>
  <c r="T360" s="1"/>
  <c r="S359"/>
  <c r="T359" s="1"/>
  <c r="S358"/>
  <c r="T358" s="1"/>
  <c r="S357"/>
  <c r="T357" s="1"/>
  <c r="S356"/>
  <c r="T356" s="1"/>
  <c r="S355"/>
  <c r="T355" s="1"/>
  <c r="S354"/>
  <c r="T354" s="1"/>
  <c r="S353"/>
  <c r="T353" s="1"/>
  <c r="S352"/>
  <c r="T352" s="1"/>
  <c r="S351"/>
  <c r="T351" s="1"/>
  <c r="S350"/>
  <c r="T350" s="1"/>
  <c r="S349"/>
  <c r="T349" s="1"/>
  <c r="S348"/>
  <c r="T348" s="1"/>
  <c r="S347"/>
  <c r="T347" s="1"/>
  <c r="S346"/>
  <c r="T346" s="1"/>
  <c r="S345"/>
  <c r="T345" s="1"/>
  <c r="S344"/>
  <c r="T344" s="1"/>
  <c r="S343"/>
  <c r="T343" s="1"/>
  <c r="S342"/>
  <c r="T342" s="1"/>
  <c r="S341"/>
  <c r="T341" s="1"/>
  <c r="S340"/>
  <c r="T340" s="1"/>
  <c r="S339"/>
  <c r="T339" s="1"/>
  <c r="S338"/>
  <c r="T338" s="1"/>
  <c r="S337"/>
  <c r="T337" s="1"/>
  <c r="S336"/>
  <c r="T336" s="1"/>
  <c r="S335"/>
  <c r="T335" s="1"/>
  <c r="S334"/>
  <c r="T334" s="1"/>
  <c r="S333"/>
  <c r="T333" s="1"/>
  <c r="S332"/>
  <c r="T332" s="1"/>
  <c r="S331"/>
  <c r="T331" s="1"/>
  <c r="S330"/>
  <c r="T330" s="1"/>
  <c r="S329"/>
  <c r="T329" s="1"/>
  <c r="S328"/>
  <c r="T328" s="1"/>
  <c r="S327"/>
  <c r="T327" s="1"/>
  <c r="S326"/>
  <c r="T326" s="1"/>
  <c r="S325"/>
  <c r="T325" s="1"/>
  <c r="S324"/>
  <c r="T324" s="1"/>
  <c r="S323"/>
  <c r="T323" s="1"/>
  <c r="S322"/>
  <c r="T322" s="1"/>
  <c r="S321"/>
  <c r="T321" s="1"/>
  <c r="S320"/>
  <c r="T320" s="1"/>
  <c r="S319"/>
  <c r="T319" s="1"/>
  <c r="S318"/>
  <c r="T318" s="1"/>
  <c r="S317"/>
  <c r="T317" s="1"/>
  <c r="S316"/>
  <c r="T316" s="1"/>
  <c r="S315"/>
  <c r="T315" s="1"/>
  <c r="S314"/>
  <c r="T314" s="1"/>
  <c r="S313"/>
  <c r="T313" s="1"/>
  <c r="S312"/>
  <c r="T312" s="1"/>
  <c r="S311"/>
  <c r="T311" s="1"/>
  <c r="S310"/>
  <c r="T310" s="1"/>
  <c r="S309"/>
  <c r="T309" s="1"/>
  <c r="S308"/>
  <c r="T308" s="1"/>
  <c r="S307"/>
  <c r="T307" s="1"/>
  <c r="S306"/>
  <c r="T306" s="1"/>
  <c r="S305"/>
  <c r="T305" s="1"/>
  <c r="S304"/>
  <c r="T304" s="1"/>
  <c r="S303"/>
  <c r="T303" s="1"/>
  <c r="S302"/>
  <c r="T302" s="1"/>
  <c r="S301"/>
  <c r="T301" s="1"/>
  <c r="S300"/>
  <c r="T300" s="1"/>
  <c r="S299"/>
  <c r="T299" s="1"/>
  <c r="S298"/>
  <c r="T298" s="1"/>
  <c r="S297"/>
  <c r="T297" s="1"/>
  <c r="S296"/>
  <c r="T296" s="1"/>
  <c r="S295"/>
  <c r="T295" s="1"/>
  <c r="S294"/>
  <c r="T294" s="1"/>
  <c r="S293"/>
  <c r="T293" s="1"/>
  <c r="S292"/>
  <c r="T292" s="1"/>
  <c r="S291"/>
  <c r="T291" s="1"/>
  <c r="S290"/>
  <c r="T290" s="1"/>
  <c r="S289"/>
  <c r="T289" s="1"/>
  <c r="S288"/>
  <c r="T288" s="1"/>
  <c r="S287"/>
  <c r="T287" s="1"/>
  <c r="S286"/>
  <c r="T286" s="1"/>
  <c r="S285"/>
  <c r="T285" s="1"/>
  <c r="S284"/>
  <c r="T284" s="1"/>
  <c r="S283"/>
  <c r="T283" s="1"/>
  <c r="S282"/>
  <c r="T282" s="1"/>
  <c r="S281"/>
  <c r="T281" s="1"/>
  <c r="S280"/>
  <c r="T280" s="1"/>
  <c r="S279"/>
  <c r="T279" s="1"/>
  <c r="S278"/>
  <c r="T278" s="1"/>
  <c r="S277"/>
  <c r="T277" s="1"/>
  <c r="S276"/>
  <c r="T276" s="1"/>
  <c r="S275"/>
  <c r="T275" s="1"/>
  <c r="S274"/>
  <c r="T274" s="1"/>
  <c r="S273"/>
  <c r="T273" s="1"/>
  <c r="S272"/>
  <c r="T272" s="1"/>
  <c r="S271"/>
  <c r="T271" s="1"/>
  <c r="S270"/>
  <c r="T270" s="1"/>
  <c r="S269"/>
  <c r="T269" s="1"/>
  <c r="S268"/>
  <c r="T268" s="1"/>
  <c r="S267"/>
  <c r="T267" s="1"/>
  <c r="S266"/>
  <c r="T266" s="1"/>
  <c r="S265"/>
  <c r="T265" s="1"/>
  <c r="S264"/>
  <c r="T264" s="1"/>
  <c r="S263"/>
  <c r="T263" s="1"/>
  <c r="S262"/>
  <c r="T262" s="1"/>
  <c r="S261"/>
  <c r="T261" s="1"/>
  <c r="S260"/>
  <c r="T260" s="1"/>
  <c r="S259"/>
  <c r="T259" s="1"/>
  <c r="S258"/>
  <c r="T258" s="1"/>
  <c r="S257"/>
  <c r="T257" s="1"/>
  <c r="S256"/>
  <c r="T256" s="1"/>
  <c r="S255"/>
  <c r="T255" s="1"/>
  <c r="S254"/>
  <c r="T254" s="1"/>
  <c r="S253"/>
  <c r="T253" s="1"/>
  <c r="S252"/>
  <c r="T252" s="1"/>
  <c r="S251"/>
  <c r="T251" s="1"/>
  <c r="S250"/>
  <c r="T250" s="1"/>
  <c r="S249"/>
  <c r="T249" s="1"/>
  <c r="S248"/>
  <c r="T248" s="1"/>
  <c r="S247"/>
  <c r="T247" s="1"/>
  <c r="S246"/>
  <c r="T246" s="1"/>
  <c r="S245"/>
  <c r="T245" s="1"/>
  <c r="S244"/>
  <c r="T244" s="1"/>
  <c r="S243"/>
  <c r="T243" s="1"/>
  <c r="S242"/>
  <c r="T242" s="1"/>
  <c r="S241"/>
  <c r="T241" s="1"/>
  <c r="S240"/>
  <c r="T240" s="1"/>
  <c r="S239"/>
  <c r="T239" s="1"/>
  <c r="S238"/>
  <c r="T238" s="1"/>
  <c r="S237"/>
  <c r="T237" s="1"/>
  <c r="S236"/>
  <c r="T236" s="1"/>
  <c r="S235"/>
  <c r="T235" s="1"/>
  <c r="S234"/>
  <c r="T234" s="1"/>
  <c r="S233"/>
  <c r="T233" s="1"/>
  <c r="S232"/>
  <c r="T232" s="1"/>
  <c r="S231"/>
  <c r="T231" s="1"/>
  <c r="S230"/>
  <c r="T230" s="1"/>
  <c r="S229"/>
  <c r="T229" s="1"/>
  <c r="S228"/>
  <c r="T228" s="1"/>
  <c r="S227"/>
  <c r="T227" s="1"/>
  <c r="S226"/>
  <c r="T226" s="1"/>
  <c r="S225"/>
  <c r="T225" s="1"/>
  <c r="S224"/>
  <c r="T224" s="1"/>
  <c r="S223"/>
  <c r="T223" s="1"/>
  <c r="S222"/>
  <c r="T222" s="1"/>
  <c r="S221"/>
  <c r="T221" s="1"/>
  <c r="S220"/>
  <c r="T220" s="1"/>
  <c r="S219"/>
  <c r="T219" s="1"/>
  <c r="S218"/>
  <c r="T218" s="1"/>
  <c r="S217"/>
  <c r="T217" s="1"/>
  <c r="S216"/>
  <c r="T216" s="1"/>
  <c r="S215"/>
  <c r="T215" s="1"/>
  <c r="S214"/>
  <c r="T214" s="1"/>
  <c r="S213"/>
  <c r="T213" s="1"/>
  <c r="S212"/>
  <c r="T212" s="1"/>
  <c r="S211"/>
  <c r="T211" s="1"/>
  <c r="S210"/>
  <c r="T210" s="1"/>
  <c r="S209"/>
  <c r="T209" s="1"/>
  <c r="S208"/>
  <c r="T208" s="1"/>
  <c r="S207"/>
  <c r="T207" s="1"/>
  <c r="S206"/>
  <c r="T206" s="1"/>
  <c r="S205"/>
  <c r="T205" s="1"/>
  <c r="S204"/>
  <c r="T204" s="1"/>
  <c r="S203"/>
  <c r="T203" s="1"/>
  <c r="S202"/>
  <c r="T202" s="1"/>
  <c r="S201"/>
  <c r="T201" s="1"/>
  <c r="S200"/>
  <c r="T200" s="1"/>
  <c r="S199"/>
  <c r="T199" s="1"/>
  <c r="S198"/>
  <c r="T198" s="1"/>
  <c r="S197"/>
  <c r="T197" s="1"/>
  <c r="S196"/>
  <c r="T196" s="1"/>
  <c r="S195"/>
  <c r="T195" s="1"/>
  <c r="S194"/>
  <c r="T194" s="1"/>
  <c r="S193"/>
  <c r="T193" s="1"/>
  <c r="S192"/>
  <c r="T192" s="1"/>
  <c r="S191"/>
  <c r="T191" s="1"/>
  <c r="S190"/>
  <c r="T190" s="1"/>
  <c r="S189"/>
  <c r="T189" s="1"/>
  <c r="S188"/>
  <c r="T188" s="1"/>
  <c r="S187"/>
  <c r="T187" s="1"/>
  <c r="S186"/>
  <c r="T186" s="1"/>
  <c r="S185"/>
  <c r="T185" s="1"/>
  <c r="S184"/>
  <c r="T184" s="1"/>
  <c r="S183"/>
  <c r="T183" s="1"/>
  <c r="S182"/>
  <c r="T182" s="1"/>
  <c r="S181"/>
  <c r="T181" s="1"/>
  <c r="S180"/>
  <c r="T180" s="1"/>
  <c r="S179"/>
  <c r="T179" s="1"/>
  <c r="S178"/>
  <c r="T178" s="1"/>
  <c r="S177"/>
  <c r="T177" s="1"/>
  <c r="S176"/>
  <c r="T176" s="1"/>
  <c r="S175"/>
  <c r="T175" s="1"/>
  <c r="S174"/>
  <c r="T174" s="1"/>
  <c r="S173"/>
  <c r="T173" s="1"/>
  <c r="S172"/>
  <c r="T172" s="1"/>
  <c r="S171"/>
  <c r="T171" s="1"/>
  <c r="S170"/>
  <c r="T170" s="1"/>
  <c r="S169"/>
  <c r="T169" s="1"/>
  <c r="S168"/>
  <c r="T168" s="1"/>
  <c r="S167"/>
  <c r="T167" s="1"/>
  <c r="S166"/>
  <c r="T166" s="1"/>
  <c r="S165"/>
  <c r="T165" s="1"/>
  <c r="S164"/>
  <c r="T164" s="1"/>
  <c r="S163"/>
  <c r="T163" s="1"/>
  <c r="S162"/>
  <c r="T162" s="1"/>
  <c r="S161"/>
  <c r="T161" s="1"/>
  <c r="S160"/>
  <c r="T160" s="1"/>
  <c r="S159"/>
  <c r="T159" s="1"/>
  <c r="S158"/>
  <c r="T158" s="1"/>
  <c r="S157"/>
  <c r="T157" s="1"/>
  <c r="S156"/>
  <c r="T156" s="1"/>
  <c r="S155"/>
  <c r="T155" s="1"/>
  <c r="S154"/>
  <c r="T154" s="1"/>
  <c r="S153"/>
  <c r="T153" s="1"/>
  <c r="S152"/>
  <c r="T152" s="1"/>
  <c r="S151"/>
  <c r="T151" s="1"/>
  <c r="S150"/>
  <c r="T150" s="1"/>
  <c r="S149"/>
  <c r="T149" s="1"/>
  <c r="S148"/>
  <c r="T148" s="1"/>
  <c r="S147"/>
  <c r="T147" s="1"/>
  <c r="S146"/>
  <c r="T146" s="1"/>
  <c r="S145"/>
  <c r="T145" s="1"/>
  <c r="S144"/>
  <c r="T144" s="1"/>
  <c r="S143"/>
  <c r="T143" s="1"/>
  <c r="S142"/>
  <c r="T142" s="1"/>
  <c r="S141"/>
  <c r="S140"/>
  <c r="T141" s="1"/>
  <c r="S139"/>
  <c r="T140" s="1"/>
  <c r="S138"/>
  <c r="T139" s="1"/>
  <c r="S137"/>
  <c r="T138" s="1"/>
  <c r="S136"/>
  <c r="T137" s="1"/>
  <c r="S135"/>
  <c r="T136" s="1"/>
  <c r="S134"/>
  <c r="T135" s="1"/>
  <c r="S133"/>
  <c r="T134" s="1"/>
  <c r="S132"/>
  <c r="T133" s="1"/>
  <c r="S131"/>
  <c r="T132" s="1"/>
  <c r="S130"/>
  <c r="T131" s="1"/>
  <c r="S129"/>
  <c r="T130" s="1"/>
  <c r="S128"/>
  <c r="S127"/>
  <c r="T127" s="1"/>
  <c r="S126"/>
  <c r="T126" s="1"/>
  <c r="S125"/>
  <c r="T125" s="1"/>
  <c r="S124"/>
  <c r="T124" s="1"/>
  <c r="S123"/>
  <c r="T123" s="1"/>
  <c r="S122"/>
  <c r="T122" s="1"/>
  <c r="S121"/>
  <c r="T121" s="1"/>
  <c r="S120"/>
  <c r="T120" s="1"/>
  <c r="S119"/>
  <c r="T119" s="1"/>
  <c r="S118"/>
  <c r="T118" s="1"/>
  <c r="S117"/>
  <c r="T117" s="1"/>
  <c r="S116"/>
  <c r="S115"/>
  <c r="T116"/>
  <c r="S114"/>
  <c r="T115"/>
  <c r="S113"/>
  <c r="T114"/>
  <c r="S112"/>
  <c r="T113"/>
  <c r="S111"/>
  <c r="T112"/>
  <c r="S110"/>
  <c r="T111"/>
  <c r="S109"/>
  <c r="T110"/>
  <c r="S108"/>
  <c r="T109"/>
  <c r="S107"/>
  <c r="T108"/>
  <c r="S106"/>
  <c r="T107"/>
  <c r="S105"/>
  <c r="T106"/>
  <c r="S104"/>
  <c r="T105"/>
  <c r="S103"/>
  <c r="S102"/>
  <c r="T102" s="1"/>
  <c r="S101"/>
  <c r="T101" s="1"/>
  <c r="S100"/>
  <c r="T100" s="1"/>
  <c r="S99"/>
  <c r="T99" s="1"/>
  <c r="S98"/>
  <c r="T98" s="1"/>
  <c r="S97"/>
  <c r="T97" s="1"/>
  <c r="S96"/>
  <c r="T96" s="1"/>
  <c r="S95"/>
  <c r="T95" s="1"/>
  <c r="S94"/>
  <c r="T94" s="1"/>
  <c r="S93"/>
  <c r="T93" s="1"/>
  <c r="S92"/>
  <c r="T92" s="1"/>
  <c r="S91"/>
  <c r="T91" s="1"/>
  <c r="S90"/>
  <c r="T90" s="1"/>
  <c r="S89"/>
  <c r="T89" s="1"/>
  <c r="S88"/>
  <c r="T88" s="1"/>
  <c r="S87"/>
  <c r="T87" s="1"/>
  <c r="S86"/>
  <c r="T86" s="1"/>
  <c r="S85"/>
  <c r="T85" s="1"/>
  <c r="S84"/>
  <c r="T84" s="1"/>
  <c r="S83"/>
  <c r="T83" s="1"/>
  <c r="S82"/>
  <c r="T82" s="1"/>
  <c r="S81"/>
  <c r="T81" s="1"/>
  <c r="S80"/>
  <c r="T80" s="1"/>
  <c r="S79"/>
  <c r="T79" s="1"/>
  <c r="S78"/>
  <c r="T78" s="1"/>
  <c r="S77"/>
  <c r="T77" s="1"/>
  <c r="S76"/>
  <c r="T76" s="1"/>
  <c r="S75"/>
  <c r="T75" s="1"/>
  <c r="S74"/>
  <c r="T74" s="1"/>
  <c r="S73"/>
  <c r="T73" s="1"/>
  <c r="S72"/>
  <c r="T72" s="1"/>
  <c r="S71"/>
  <c r="T71" s="1"/>
  <c r="S70"/>
  <c r="T70" s="1"/>
  <c r="S69"/>
  <c r="T69" s="1"/>
  <c r="S68"/>
  <c r="T68" s="1"/>
  <c r="S67"/>
  <c r="T67" s="1"/>
  <c r="S66"/>
  <c r="T66" s="1"/>
  <c r="S65"/>
  <c r="T65" s="1"/>
  <c r="S64"/>
  <c r="T64" s="1"/>
  <c r="S63"/>
  <c r="T63" s="1"/>
  <c r="S62"/>
  <c r="T62" s="1"/>
  <c r="S61"/>
  <c r="T61" s="1"/>
  <c r="S60"/>
  <c r="T60" s="1"/>
  <c r="S59"/>
  <c r="T59" s="1"/>
  <c r="S58"/>
  <c r="T58" s="1"/>
  <c r="S57"/>
  <c r="T57" s="1"/>
  <c r="S56"/>
  <c r="T56" s="1"/>
  <c r="S55"/>
  <c r="T55" s="1"/>
  <c r="S54"/>
  <c r="T54" s="1"/>
  <c r="S53"/>
  <c r="T53" s="1"/>
  <c r="S52"/>
  <c r="T52" s="1"/>
  <c r="S51"/>
  <c r="T51" s="1"/>
  <c r="S50"/>
  <c r="T50" s="1"/>
  <c r="S49"/>
  <c r="T49" s="1"/>
  <c r="S48"/>
  <c r="T48" s="1"/>
  <c r="S47"/>
  <c r="T47" s="1"/>
  <c r="S46"/>
  <c r="T46" s="1"/>
  <c r="S45"/>
  <c r="T45" s="1"/>
  <c r="S44"/>
  <c r="T44" s="1"/>
  <c r="S43"/>
  <c r="T43" s="1"/>
  <c r="S42"/>
  <c r="T42" s="1"/>
  <c r="S41"/>
  <c r="T41" s="1"/>
  <c r="S40"/>
  <c r="T40" s="1"/>
  <c r="S39"/>
  <c r="T39" s="1"/>
  <c r="S38"/>
  <c r="T38" s="1"/>
  <c r="S37"/>
  <c r="T37" s="1"/>
  <c r="S36"/>
  <c r="T36" s="1"/>
  <c r="S35"/>
  <c r="T35" s="1"/>
  <c r="S34"/>
  <c r="T34" s="1"/>
  <c r="S33"/>
  <c r="T33" s="1"/>
  <c r="S32"/>
  <c r="T32" s="1"/>
  <c r="S31"/>
  <c r="T31" s="1"/>
  <c r="S30"/>
  <c r="T30" s="1"/>
  <c r="S29"/>
  <c r="T29" s="1"/>
  <c r="S28"/>
  <c r="T28" s="1"/>
  <c r="S27"/>
  <c r="T27" s="1"/>
  <c r="S26"/>
  <c r="T26" s="1"/>
  <c r="S25"/>
  <c r="T25" s="1"/>
  <c r="S24"/>
  <c r="T24" s="1"/>
  <c r="S23"/>
  <c r="T23" s="1"/>
  <c r="S22"/>
  <c r="T22" s="1"/>
  <c r="S21"/>
  <c r="T21" s="1"/>
  <c r="S20"/>
  <c r="T20" s="1"/>
  <c r="S19"/>
  <c r="T19" s="1"/>
  <c r="S18"/>
  <c r="T18" s="1"/>
  <c r="S17"/>
  <c r="T17" s="1"/>
  <c r="S16"/>
  <c r="T16" s="1"/>
  <c r="S15"/>
  <c r="T15" s="1"/>
  <c r="S14"/>
  <c r="T14" s="1"/>
  <c r="S13"/>
  <c r="T13" s="1"/>
  <c r="S12"/>
  <c r="T12" s="1"/>
  <c r="S11"/>
  <c r="T11" s="1"/>
  <c r="S10"/>
  <c r="T10" s="1"/>
  <c r="S9"/>
  <c r="T9" s="1"/>
  <c r="S8"/>
  <c r="T8" s="1"/>
  <c r="S7"/>
  <c r="T7" s="1"/>
  <c r="S6"/>
  <c r="T6" s="1"/>
  <c r="S5"/>
  <c r="T5" s="1"/>
  <c r="S4"/>
  <c r="T4" s="1"/>
  <c r="S3"/>
  <c r="T3" s="1"/>
  <c r="S2"/>
  <c r="T2" s="1"/>
  <c r="T129"/>
  <c r="T128"/>
  <c r="T104"/>
  <c r="T103"/>
</calcChain>
</file>

<file path=xl/sharedStrings.xml><?xml version="1.0" encoding="utf-8"?>
<sst xmlns="http://schemas.openxmlformats.org/spreadsheetml/2006/main" count="14388" uniqueCount="2778">
  <si>
    <t>Tx Center</t>
  </si>
  <si>
    <t>Date of Tx</t>
  </si>
  <si>
    <t>Tx Class</t>
  </si>
  <si>
    <t>TB Type</t>
  </si>
  <si>
    <t>Site of EP</t>
  </si>
  <si>
    <t>Type of pat.</t>
  </si>
  <si>
    <t>Sput 0</t>
  </si>
  <si>
    <t>Now</t>
  </si>
  <si>
    <t>Months</t>
  </si>
  <si>
    <t>Sput _2m</t>
  </si>
  <si>
    <t>Sput_3</t>
  </si>
  <si>
    <t>Sput  5m</t>
  </si>
  <si>
    <t>Sput  7m</t>
  </si>
  <si>
    <t>I_C</t>
  </si>
  <si>
    <t>Longitude</t>
  </si>
  <si>
    <t>Latitude</t>
  </si>
  <si>
    <t>HH Form</t>
  </si>
  <si>
    <t>Status</t>
  </si>
  <si>
    <t>Status 2</t>
  </si>
  <si>
    <t>001/07</t>
  </si>
  <si>
    <t>Male</t>
  </si>
  <si>
    <t>H. No. 1155,Gali No.18, Azam Basti</t>
  </si>
  <si>
    <t>0345-205-6685</t>
  </si>
  <si>
    <t>Other</t>
  </si>
  <si>
    <t>Indus Hosp</t>
  </si>
  <si>
    <t>P</t>
  </si>
  <si>
    <t>NA</t>
  </si>
  <si>
    <t>New</t>
  </si>
  <si>
    <t>1+</t>
  </si>
  <si>
    <t>No sputum</t>
  </si>
  <si>
    <t>Continuation</t>
  </si>
  <si>
    <t>24.49.07</t>
  </si>
  <si>
    <t>67.02.43</t>
  </si>
  <si>
    <t>yes</t>
  </si>
  <si>
    <t>Transferred out</t>
  </si>
  <si>
    <t>Transfer Out</t>
  </si>
  <si>
    <t>002/07</t>
  </si>
  <si>
    <t>Female</t>
  </si>
  <si>
    <t>Fl.No. 4, Jina Bath, No.1 Ranchor Line, Karachi</t>
  </si>
  <si>
    <t>Mother</t>
  </si>
  <si>
    <t>EP</t>
  </si>
  <si>
    <t>Spine</t>
  </si>
  <si>
    <t>N/A</t>
  </si>
  <si>
    <t>Treatment completed</t>
  </si>
  <si>
    <t>Treatment Completed</t>
  </si>
  <si>
    <t>003/07</t>
  </si>
  <si>
    <t>Al Asif square, Sohrab Goth, Karachi</t>
  </si>
  <si>
    <t>03213314379</t>
  </si>
  <si>
    <t>Brother</t>
  </si>
  <si>
    <t>Relapse</t>
  </si>
  <si>
    <t xml:space="preserve">3+ </t>
  </si>
  <si>
    <t>neg</t>
  </si>
  <si>
    <t>004/07</t>
  </si>
  <si>
    <t>Al Moli State, Gali 12, Syed Colony, Gulshan-e-Iqbal</t>
  </si>
  <si>
    <t>0306-766-0136</t>
  </si>
  <si>
    <t xml:space="preserve">1+ </t>
  </si>
  <si>
    <t>Neg</t>
  </si>
  <si>
    <t>005/07</t>
  </si>
  <si>
    <t>H. No. C-332, Area 1, Korangi, Karachi</t>
  </si>
  <si>
    <t>Daughter</t>
  </si>
  <si>
    <t>3+</t>
  </si>
  <si>
    <t>Cured</t>
  </si>
  <si>
    <t>006/07</t>
  </si>
  <si>
    <t>H.No.461, Coast Guard, Korangi</t>
  </si>
  <si>
    <t>0346-223-6139</t>
  </si>
  <si>
    <t>2+</t>
  </si>
  <si>
    <t>Poly drug resistant</t>
  </si>
  <si>
    <t>PDR</t>
  </si>
  <si>
    <t>007/07</t>
  </si>
  <si>
    <t>E-618, Korangi 5 1/2, Karachi</t>
  </si>
  <si>
    <t>0345-810-4084</t>
  </si>
  <si>
    <t>Son</t>
  </si>
  <si>
    <t>L. Node</t>
  </si>
  <si>
    <t>001/08</t>
  </si>
  <si>
    <t>H.No. 4, Block 38, Area 4-D, Landhi, Karachi</t>
  </si>
  <si>
    <t>0333-231-2193</t>
  </si>
  <si>
    <t xml:space="preserve">2+ </t>
  </si>
  <si>
    <t>002/08</t>
  </si>
  <si>
    <t>H.No. 204, B-Sector, Bhittai Colony</t>
  </si>
  <si>
    <t>0333-207-7064</t>
  </si>
  <si>
    <t>003/08</t>
  </si>
  <si>
    <t>H.No. 736, 32/C Area, Korangi#1, Karachi</t>
  </si>
  <si>
    <t>0301-258-4138</t>
  </si>
  <si>
    <t>Vocal Cord</t>
  </si>
  <si>
    <t>004/08</t>
  </si>
  <si>
    <t>H.No. L-252, Sect. 41-B, Korangi 2 1/2, Karachi</t>
  </si>
  <si>
    <t>0333-233-7257</t>
  </si>
  <si>
    <t>1AFB</t>
  </si>
  <si>
    <t>005/08</t>
  </si>
  <si>
    <t>H # N-14, Sec 50-A, Korangi 3, Karachi</t>
  </si>
  <si>
    <t>0343-441-0287</t>
  </si>
  <si>
    <t>043/08</t>
  </si>
  <si>
    <t>H # F 15/12, Phase 04, Defense, Karachi</t>
  </si>
  <si>
    <t>0308-244-2062</t>
  </si>
  <si>
    <t>24.50.29</t>
  </si>
  <si>
    <t>67.04.22</t>
  </si>
  <si>
    <t>Transferred to Sarghoda</t>
  </si>
  <si>
    <t>045/08</t>
  </si>
  <si>
    <t>H. No. J 253, Numaish, New Area,Karachi</t>
  </si>
  <si>
    <t>021-225-6787</t>
  </si>
  <si>
    <t>Friend</t>
  </si>
  <si>
    <t xml:space="preserve">neg </t>
  </si>
  <si>
    <t>no</t>
  </si>
  <si>
    <t>006/08</t>
  </si>
  <si>
    <t>H# 7,4th Floor,Area B,Qayyumabad,Karachi</t>
  </si>
  <si>
    <t>0334-686-4831</t>
  </si>
  <si>
    <t>Father</t>
  </si>
  <si>
    <t>007/08</t>
  </si>
  <si>
    <t>H#B-566, St.10,Zia Colony,Sec 32A,Nasir Colony,Korangi, Karachi</t>
  </si>
  <si>
    <t>P. Effusion</t>
  </si>
  <si>
    <t>Transfer in</t>
  </si>
  <si>
    <t>008/08</t>
  </si>
  <si>
    <t>Flat G-08,Sec 32A, Korangi 1 1/2, Karachi</t>
  </si>
  <si>
    <t>0301-218-6021</t>
  </si>
  <si>
    <t>009/08</t>
  </si>
  <si>
    <t>H# 7,Gali 3,4th Floor, Area B, Qayyumabad,Karachi</t>
  </si>
  <si>
    <t>0334-688-4831</t>
  </si>
  <si>
    <t>010/08</t>
  </si>
  <si>
    <t>H# A-111,Sect.50-A, Korangi, Karachi</t>
  </si>
  <si>
    <t>011/08</t>
  </si>
  <si>
    <t>H# 7,Gali 4,Area 4-B,Landhi,5 1/2</t>
  </si>
  <si>
    <t>0321-288-7526</t>
  </si>
  <si>
    <t>Default</t>
  </si>
  <si>
    <t>012/08</t>
  </si>
  <si>
    <t>H#111/1, Sec 32-A, Al Noor Society,Zia Colony,Korangi</t>
  </si>
  <si>
    <t>0333-317-7829</t>
  </si>
  <si>
    <t>013/08</t>
  </si>
  <si>
    <t>H# 756, Sect 48-C, Korangi 2C 1/2, Karachi</t>
  </si>
  <si>
    <t>0322-268-5188</t>
  </si>
  <si>
    <t>014/08</t>
  </si>
  <si>
    <t>Naik Mohd. Village B, Sharafi Goth,Korangi</t>
  </si>
  <si>
    <t>0345-212-1303</t>
  </si>
  <si>
    <t>MDR</t>
  </si>
  <si>
    <t>015/08</t>
  </si>
  <si>
    <t>H#1531,Sect 32/E,Nasir Colony,Korangi,Karachi</t>
  </si>
  <si>
    <t>0306-249-3952</t>
  </si>
  <si>
    <t>Single visit only.</t>
  </si>
  <si>
    <t>016/08</t>
  </si>
  <si>
    <t>H#19,PECHS B 1/6, Manzoor Colony, Karachi</t>
  </si>
  <si>
    <t>017/08</t>
  </si>
  <si>
    <t>H# C-121,St.4, Hasan Colony,Nazimabad</t>
  </si>
  <si>
    <t>0333-229-6115</t>
  </si>
  <si>
    <t>Renal</t>
  </si>
  <si>
    <t>018/08</t>
  </si>
  <si>
    <t>Flat G-08, 32-A, Korangi 1 1/2,Karachi</t>
  </si>
  <si>
    <t>019/08</t>
  </si>
  <si>
    <t>Sec B-4, H#329, Akhtar Colony,Karachi</t>
  </si>
  <si>
    <t>0346-243-3567</t>
  </si>
  <si>
    <t>020/08</t>
  </si>
  <si>
    <t>H# 173, Sect LS 33D, Korangi 2 1/2</t>
  </si>
  <si>
    <t>0344-270-3095</t>
  </si>
  <si>
    <t>022/08</t>
  </si>
  <si>
    <t>H# L 37, Sec 48/C, Korangi 2 1/2, Karachi</t>
  </si>
  <si>
    <t>0345-328-0347</t>
  </si>
  <si>
    <t>021/08</t>
  </si>
  <si>
    <t>H#32, Area36/B,St 25,Landhi 5,Karachi</t>
  </si>
  <si>
    <t>0345-322-1246</t>
  </si>
  <si>
    <t>Death</t>
  </si>
  <si>
    <t>Died</t>
  </si>
  <si>
    <t>023/08</t>
  </si>
  <si>
    <t>H#111, Sec 32 A,Korangi 1</t>
  </si>
  <si>
    <t>024/08</t>
  </si>
  <si>
    <t>Sec 36-C,Sherabad, Landhi</t>
  </si>
  <si>
    <t>0300-237-7563</t>
  </si>
  <si>
    <t>Yes</t>
  </si>
  <si>
    <t>Sno</t>
  </si>
  <si>
    <t>Date</t>
  </si>
  <si>
    <t>Date of Reg</t>
  </si>
  <si>
    <t>Date of Re-Reg</t>
  </si>
  <si>
    <t>Dist. TB #</t>
  </si>
  <si>
    <t>Gender</t>
  </si>
  <si>
    <t>Age</t>
  </si>
  <si>
    <t>Address</t>
  </si>
  <si>
    <t>Tel. #</t>
  </si>
  <si>
    <t>Tx Supporter</t>
  </si>
  <si>
    <t>0346-248-4773</t>
  </si>
  <si>
    <t>Bone</t>
  </si>
  <si>
    <t>24.48.60</t>
  </si>
  <si>
    <t>67.08.33</t>
  </si>
  <si>
    <t>057/08</t>
  </si>
  <si>
    <t>H # 302, Korangi 3, Karachi</t>
  </si>
  <si>
    <t>0322-286-4069</t>
  </si>
  <si>
    <t>058/08</t>
  </si>
  <si>
    <t>H # 239, Gali 6, Nasir Colony</t>
  </si>
  <si>
    <t>0345-620-5348</t>
  </si>
  <si>
    <t>059/08</t>
  </si>
  <si>
    <t>H # 437, Kashmir Colony, Korangi</t>
  </si>
  <si>
    <t>0346-262-2435</t>
  </si>
  <si>
    <t>060/08</t>
  </si>
  <si>
    <t>H # 114, Sec 35-C, Zaman Town, Korangi 3 1/2</t>
  </si>
  <si>
    <t>0308-232-3781</t>
  </si>
  <si>
    <t>24.50.05</t>
  </si>
  <si>
    <t>67.09.04</t>
  </si>
  <si>
    <t>061/08</t>
  </si>
  <si>
    <t>H # 756-B, Sec B, Gali 5, Bilal Masjid, Akhtar Colony</t>
  </si>
  <si>
    <t>0302-266-6321</t>
  </si>
  <si>
    <t>24.50.17</t>
  </si>
  <si>
    <t>67.04.37</t>
  </si>
  <si>
    <t>062/08</t>
  </si>
  <si>
    <t>H # 3, Sec 36/E, Korangi 6</t>
  </si>
  <si>
    <t>0300-278-2218</t>
  </si>
  <si>
    <t>063/08</t>
  </si>
  <si>
    <t>025/08</t>
  </si>
  <si>
    <t>H# 34, Gali 6, Qayyumabad,Karachi</t>
  </si>
  <si>
    <t>026/08</t>
  </si>
  <si>
    <t>H# 133, St. M.A, Qaidabad,Karachi</t>
  </si>
  <si>
    <t>Husband</t>
  </si>
  <si>
    <t>027/08</t>
  </si>
  <si>
    <t>H 107, Sec 37-D, Landhi</t>
  </si>
  <si>
    <t>0332-250-9069</t>
  </si>
  <si>
    <t>028/08</t>
  </si>
  <si>
    <t>H#13, Sec F,Gali 2, Manzoor Colony</t>
  </si>
  <si>
    <t>0321-254-3990</t>
  </si>
  <si>
    <t>Abdominal</t>
  </si>
  <si>
    <t>029/08</t>
  </si>
  <si>
    <t>H#160, Korangi 2 1/2, Karachi</t>
  </si>
  <si>
    <t>Transferred to Punjab on 15 April 2008</t>
  </si>
  <si>
    <t>030/08</t>
  </si>
  <si>
    <t>H# N-138, Sec 48F,Korangi 2 1/2,Karachi</t>
  </si>
  <si>
    <t>Treatment Complete</t>
  </si>
  <si>
    <t>031/08</t>
  </si>
  <si>
    <t>H# N-267,Korangi 3 1/2,Karachi</t>
  </si>
  <si>
    <t>021-507-7341</t>
  </si>
  <si>
    <t>Sister</t>
  </si>
  <si>
    <t>Not due</t>
  </si>
  <si>
    <t>032/08</t>
  </si>
  <si>
    <t>H # T 287,Korangi 2, Karachi</t>
  </si>
  <si>
    <t>0333-233-8707</t>
  </si>
  <si>
    <t>033/08</t>
  </si>
  <si>
    <t>H# 440, Sec F, Korangi 4.</t>
  </si>
  <si>
    <t>021-826-8532</t>
  </si>
  <si>
    <t>034/08</t>
  </si>
  <si>
    <t>H# 250, Sec 50/A, Korangi 3.</t>
  </si>
  <si>
    <t>0343-254-0357</t>
  </si>
  <si>
    <t>035/08</t>
  </si>
  <si>
    <t>H# 224, Bhittai Colony, Karachi</t>
  </si>
  <si>
    <t>0345-310-7271</t>
  </si>
  <si>
    <t>036/08</t>
  </si>
  <si>
    <t>H # 175, Sec S, Korangi 1, Karachi</t>
  </si>
  <si>
    <t>0344-271-9303</t>
  </si>
  <si>
    <t>037/08</t>
  </si>
  <si>
    <t>H 91/7, near Lal Masjid, Karachi</t>
  </si>
  <si>
    <t>0344-221-1878</t>
  </si>
  <si>
    <t>25.00.03</t>
  </si>
  <si>
    <t>67.04.11</t>
  </si>
  <si>
    <t>038/08</t>
  </si>
  <si>
    <t>H 365, Sec C, Bhittai Colony, Karachi</t>
  </si>
  <si>
    <t>0300-374-3624</t>
  </si>
  <si>
    <t>039/08</t>
  </si>
  <si>
    <t>Sec 32-A, R-56, Korangi 1 1/2</t>
  </si>
  <si>
    <t>0345-343-8415</t>
  </si>
  <si>
    <t>040/08</t>
  </si>
  <si>
    <t>H # E 341, Area E, Korangi 5</t>
  </si>
  <si>
    <t>Wife</t>
  </si>
  <si>
    <t>Transferred out to Civil Hospital for hemodialysis.</t>
  </si>
  <si>
    <t>041/08</t>
  </si>
  <si>
    <t>H # 261, St. 3, Sec 32/A, Zia Colony</t>
  </si>
  <si>
    <t>0322-390-2068</t>
  </si>
  <si>
    <t>042/08</t>
  </si>
  <si>
    <t>H # 85, Area 33 D, Korangi 2 1/2, Karachi</t>
  </si>
  <si>
    <t>044/08</t>
  </si>
  <si>
    <t>0346-326-4149</t>
  </si>
  <si>
    <t>071/08</t>
  </si>
  <si>
    <t>H # 150, Sec 360-A, Korangi 5, Karachi</t>
  </si>
  <si>
    <t>0321-379-1512</t>
  </si>
  <si>
    <t>Meningitis</t>
  </si>
  <si>
    <t>073/08</t>
  </si>
  <si>
    <t>H #, AK 7V, 27-S, 7/5, St. 13-B, Agra Taj</t>
  </si>
  <si>
    <t>0322-362-4851</t>
  </si>
  <si>
    <t>5/27/2008</t>
  </si>
  <si>
    <t>074/08</t>
  </si>
  <si>
    <t>H # L 177, Korangi 4 1/2</t>
  </si>
  <si>
    <t>021-827-5589</t>
  </si>
  <si>
    <t>Wrong</t>
  </si>
  <si>
    <t>Single visit only: 27 May 2008</t>
  </si>
  <si>
    <t>075/08</t>
  </si>
  <si>
    <t>H # 74/1, Firdaus Colony, Gul Bahar 2,Karachi</t>
  </si>
  <si>
    <t>0345-207-3664</t>
  </si>
  <si>
    <t>076/08</t>
  </si>
  <si>
    <t>H # 101, Sec 39-D, St. D, Korangi 3</t>
  </si>
  <si>
    <t>0300-249-3765</t>
  </si>
  <si>
    <t>077/08</t>
  </si>
  <si>
    <t>H # 29, Sec 32-A, Korangi 1</t>
  </si>
  <si>
    <t>0333-326-2928</t>
  </si>
  <si>
    <t xml:space="preserve">Transferred out to Kashmir </t>
  </si>
  <si>
    <t>078/08</t>
  </si>
  <si>
    <t>H # 784, Sec 39/C, Christian Town</t>
  </si>
  <si>
    <t>0346-217-2806</t>
  </si>
  <si>
    <t>079/08</t>
  </si>
  <si>
    <t>H # F 103, Sec 50-C, Quarter 100, Korangi 2 1/2</t>
  </si>
  <si>
    <t>0322-826-2621</t>
  </si>
  <si>
    <t>Self</t>
  </si>
  <si>
    <t>080/08</t>
  </si>
  <si>
    <t>H # 37, Area 36, Landhi</t>
  </si>
  <si>
    <t>081/08</t>
  </si>
  <si>
    <t>H # 228, Sec 30-A, Altaf Town, Bhitai Colony, Karachi</t>
  </si>
  <si>
    <t>082/08</t>
  </si>
  <si>
    <t>H # 1320, St 1, Korangi</t>
  </si>
  <si>
    <t>0300-279-0112</t>
  </si>
  <si>
    <t>083/08</t>
  </si>
  <si>
    <t>H # 655, Sec E, Bhittai Colony, Korangi Crossing</t>
  </si>
  <si>
    <t>0345-327-8269</t>
  </si>
  <si>
    <t>046/08</t>
  </si>
  <si>
    <t>H # LS 173, Sec 33-D, Korangi 2 1/2</t>
  </si>
  <si>
    <t>021-545-2613</t>
  </si>
  <si>
    <t>047/08</t>
  </si>
  <si>
    <t>H # 176, Sec 48/A, Korangi 1 1/2</t>
  </si>
  <si>
    <t>0300-215-1331</t>
  </si>
  <si>
    <t>not due</t>
  </si>
  <si>
    <t>24.49.00</t>
  </si>
  <si>
    <t>67.08.22</t>
  </si>
  <si>
    <t>Transferred out to Gilgit</t>
  </si>
  <si>
    <t>048/08</t>
  </si>
  <si>
    <t>H # B-8, Gali 31-N, Sec 32-A</t>
  </si>
  <si>
    <t>0345-810-5350</t>
  </si>
  <si>
    <t>Abcess</t>
  </si>
  <si>
    <t>24.50.06</t>
  </si>
  <si>
    <t>049/08</t>
  </si>
  <si>
    <t>H # 646, Sec 32-C, Korangi, Nasir Colony</t>
  </si>
  <si>
    <t>0345-618-5479</t>
  </si>
  <si>
    <t>050/08</t>
  </si>
  <si>
    <t>H # 75, Sec D, St. 2, Akhtar Colony, Karachi</t>
  </si>
  <si>
    <t>0334-347-2705</t>
  </si>
  <si>
    <t>051/08</t>
  </si>
  <si>
    <t>H # 165, Sec S, Korangi 2, Karachi</t>
  </si>
  <si>
    <t>052/08</t>
  </si>
  <si>
    <t>H # R 321, Sec 32-B, Korangi 1 1/2</t>
  </si>
  <si>
    <t>0334-308-8334</t>
  </si>
  <si>
    <t>053/08</t>
  </si>
  <si>
    <t>H # BC 0236, Hazarat Bilal Colony, Korangi</t>
  </si>
  <si>
    <t>0308-823-1240</t>
  </si>
  <si>
    <t>24.51.16</t>
  </si>
  <si>
    <t>67.08.03</t>
  </si>
  <si>
    <t>No</t>
  </si>
  <si>
    <t>Defaulter.  Single visit only.</t>
  </si>
  <si>
    <t>054/08</t>
  </si>
  <si>
    <t>Area 2-B, H # A-72, Ahmer Masjid, Landhi 3</t>
  </si>
  <si>
    <t>0307-245-0036</t>
  </si>
  <si>
    <t>055/08</t>
  </si>
  <si>
    <t>H # 142, Sec 48-B, Korangi 2, Karachi</t>
  </si>
  <si>
    <t>0346-215-4721</t>
  </si>
  <si>
    <t>24.50.42</t>
  </si>
  <si>
    <t>67.11.23</t>
  </si>
  <si>
    <t>056/08</t>
  </si>
  <si>
    <t>H # 195, Sec 48-B Korangi 2 1/2</t>
  </si>
  <si>
    <t>H # 406, Hazrat Bilal Colony, Korangi</t>
  </si>
  <si>
    <t>087/08</t>
  </si>
  <si>
    <t>H # 437/8, PAF Base, Korangi</t>
  </si>
  <si>
    <t>0300-207-2095</t>
  </si>
  <si>
    <t>088/08</t>
  </si>
  <si>
    <t>H # 54, Sec 32/D, Nasir Colony, Korangi</t>
  </si>
  <si>
    <t>0345-880-5385</t>
  </si>
  <si>
    <t>089/08</t>
  </si>
  <si>
    <t>H # 94, Nusrat Colony, Korangi</t>
  </si>
  <si>
    <t>0301-225-7108</t>
  </si>
  <si>
    <t>090/08</t>
  </si>
  <si>
    <t>H # 42, Sec 35/B, Korangi 4</t>
  </si>
  <si>
    <t>0345-263-7523</t>
  </si>
  <si>
    <t>091/08</t>
  </si>
  <si>
    <t>H # 102, Sec 7/D, Sarkari Town, Karachi</t>
  </si>
  <si>
    <t>0301-351-0913</t>
  </si>
  <si>
    <t>Hyderabad</t>
  </si>
  <si>
    <t>092/08</t>
  </si>
  <si>
    <t>H # 671, Sec 33/B, Korangi 2 1/2</t>
  </si>
  <si>
    <t>0345-365-8241</t>
  </si>
  <si>
    <t>093/08</t>
  </si>
  <si>
    <t>H # 313, Area 1, Korangi 2 1/2</t>
  </si>
  <si>
    <t>MOTT</t>
  </si>
  <si>
    <t>094/08</t>
  </si>
  <si>
    <t>H # 705, Sec 32/E, Nasir Colony, Korangi</t>
  </si>
  <si>
    <t>0334-897-1796</t>
  </si>
  <si>
    <t>095/08</t>
  </si>
  <si>
    <t>H # 18, St. 4, Area C, Qayyumabad, Korangi</t>
  </si>
  <si>
    <t>0308-2972852 / 0331-225-2490</t>
  </si>
  <si>
    <t>4+</t>
  </si>
  <si>
    <t>096/08</t>
  </si>
  <si>
    <t>H # 248, Sec L, St 6, Korangi 2 1/2</t>
  </si>
  <si>
    <t>0345-274-6358</t>
  </si>
  <si>
    <t>098/08</t>
  </si>
  <si>
    <t>H # 116, Sec 35/B, Korangi 4</t>
  </si>
  <si>
    <t>021-505-9028</t>
  </si>
  <si>
    <t>TAD</t>
  </si>
  <si>
    <t>099/08</t>
  </si>
  <si>
    <t>H # 203, Sec 33-c, Korangi 1 1/2</t>
  </si>
  <si>
    <t>0334-329-4120</t>
  </si>
  <si>
    <t>100/08</t>
  </si>
  <si>
    <t>H # 42, Sec Y, Korangi 1 1/2</t>
  </si>
  <si>
    <t>021-421-2443</t>
  </si>
  <si>
    <t>101/08</t>
  </si>
  <si>
    <t>H # 36, Area 6/D, Korangi, Karachi</t>
  </si>
  <si>
    <t>0300-289-9616</t>
  </si>
  <si>
    <t>102/08</t>
  </si>
  <si>
    <t>H # 264, Sec B, Bhitai Colony, Korangi</t>
  </si>
  <si>
    <t>0308-272-4976</t>
  </si>
  <si>
    <t>103/08</t>
  </si>
  <si>
    <t>H # 68/11, Sec 5-C, Landhi 6</t>
  </si>
  <si>
    <t>105/08</t>
  </si>
  <si>
    <t>H # 384/B, Korangi 6</t>
  </si>
  <si>
    <t>0345-283-8578</t>
  </si>
  <si>
    <t>104/08</t>
  </si>
  <si>
    <t>H # 8, Sec 33-B, Korangi 2</t>
  </si>
  <si>
    <t>106/08</t>
  </si>
  <si>
    <t>H # C-14, Fl.6, Own Heights, Isa Nagri, Karachi</t>
  </si>
  <si>
    <t>0333-230-9061</t>
  </si>
  <si>
    <t>064/08</t>
  </si>
  <si>
    <t>H # 7, Sec 48/A, Gilgit Colony, Korangi 1 1/2</t>
  </si>
  <si>
    <t>0344-290-9239</t>
  </si>
  <si>
    <t>TAF</t>
  </si>
  <si>
    <t>24.48.52</t>
  </si>
  <si>
    <t>67.08.16</t>
  </si>
  <si>
    <t>065/08</t>
  </si>
  <si>
    <t>H # L-461, Sec 48-E, Korangi 2 1/2, Karachi</t>
  </si>
  <si>
    <t>066/08</t>
  </si>
  <si>
    <t>H # 418, Sector 36-G, Landhi 6, Karachi</t>
  </si>
  <si>
    <t>0321-792-4697</t>
  </si>
  <si>
    <t>067/08</t>
  </si>
  <si>
    <t>H # 125/3, Landhi 1, Karachi</t>
  </si>
  <si>
    <t>021-457-4273</t>
  </si>
  <si>
    <t>Defaulted in July 2008</t>
  </si>
  <si>
    <t>068/08</t>
  </si>
  <si>
    <t>H # 799, Sec 32/B, Korangi 1, Karachi</t>
  </si>
  <si>
    <t>0322-235-9979</t>
  </si>
  <si>
    <t>069/08</t>
  </si>
  <si>
    <t>H # 6, Bl. 2, Landhi 6, Karachi</t>
  </si>
  <si>
    <t>070/08</t>
  </si>
  <si>
    <t xml:space="preserve">H # L-741, Sec 30 A, Bhittai Colony, Altaf Town, </t>
  </si>
  <si>
    <t>0346-245-6215</t>
  </si>
  <si>
    <t>072/08</t>
  </si>
  <si>
    <t>148/08</t>
  </si>
  <si>
    <t>H # 320 Sec E, Korangi 5 1/2</t>
  </si>
  <si>
    <t>0306-245-1253</t>
  </si>
  <si>
    <t>Miliary</t>
  </si>
  <si>
    <t>149/08</t>
  </si>
  <si>
    <t>H # 25/4,Area 4-D,Landhi 6</t>
  </si>
  <si>
    <t>0302-292-1285</t>
  </si>
  <si>
    <t>H # Y 305, Korangi 1 1/2</t>
  </si>
  <si>
    <t>0322- 2544045/0301-260-1799</t>
  </si>
  <si>
    <t>107/08</t>
  </si>
  <si>
    <t>H # 71, Sec G, Bhittai Colony</t>
  </si>
  <si>
    <t>0345-239-2695</t>
  </si>
  <si>
    <t>108/08</t>
  </si>
  <si>
    <t>H # 52/3, Sec 3-B, Landhi 4</t>
  </si>
  <si>
    <t>03212774893/0300-235-4214</t>
  </si>
  <si>
    <t>110/08</t>
  </si>
  <si>
    <t>H # 807, St. 5, Sec 43/A, Mustafa Taj Colony, Korangi 3 1/2</t>
  </si>
  <si>
    <t>0308-299-3297</t>
  </si>
  <si>
    <t>111/08</t>
  </si>
  <si>
    <t>H # 1052, Sec 41B, Korangi 2 1/2</t>
  </si>
  <si>
    <t>0345-345-4772</t>
  </si>
  <si>
    <t>112/08</t>
  </si>
  <si>
    <t>H # 7, KESC # 2284/11, Sec 51/D, Jumna Goth</t>
  </si>
  <si>
    <t>0301-279-9579</t>
  </si>
  <si>
    <t>No AFB</t>
  </si>
  <si>
    <t>113/08</t>
  </si>
  <si>
    <t>H # 211, T Area, Korangi 2</t>
  </si>
  <si>
    <t>0345-214-3249</t>
  </si>
  <si>
    <t>114/08</t>
  </si>
  <si>
    <t>H # 9/68, Sec 50/A, Korangi 3 1/2, Karachi</t>
  </si>
  <si>
    <t>0333-229-2262</t>
  </si>
  <si>
    <t>115/08</t>
  </si>
  <si>
    <t>H # H-91, Area 1, Landhi</t>
  </si>
  <si>
    <t>0322-884-0837</t>
  </si>
  <si>
    <t>116/08</t>
  </si>
  <si>
    <t>H # 142, Sec 32/E, Nasir Colony, Korangi</t>
  </si>
  <si>
    <t>021-428-1107</t>
  </si>
  <si>
    <t>117/08</t>
  </si>
  <si>
    <t>H # 254, Shah Noorani Basti, Sec 48-A, Korangi 1 1/2</t>
  </si>
  <si>
    <t>0300-353-3854</t>
  </si>
  <si>
    <t>118/08</t>
  </si>
  <si>
    <t>H # L-22, St., 9 Sec 48-C, Korangi 2 1/2 5/3/9</t>
  </si>
  <si>
    <t>0344-206-0714</t>
  </si>
  <si>
    <t>119/08</t>
  </si>
  <si>
    <t>H # A-80, Sandari Landhi.</t>
  </si>
  <si>
    <t>0301-216-7944</t>
  </si>
  <si>
    <t>120/08</t>
  </si>
  <si>
    <t>H # 291,Sec 36-B, Area 36-C, Mansehra Colony, Landhi</t>
  </si>
  <si>
    <t>0300-896-3965</t>
  </si>
  <si>
    <t>Others</t>
  </si>
  <si>
    <t>121/08</t>
  </si>
  <si>
    <t>H # B-671, Sec 36-G, Landhi 1</t>
  </si>
  <si>
    <t>021-503-3053</t>
  </si>
  <si>
    <t>122/08</t>
  </si>
  <si>
    <t>St 29, Zia Colony, Korangi 1</t>
  </si>
  <si>
    <t>0345-301-2754</t>
  </si>
  <si>
    <t>123/08</t>
  </si>
  <si>
    <t>H # 172, Sec 51-B, Korangi 6</t>
  </si>
  <si>
    <t>0343-262-2527</t>
  </si>
  <si>
    <t>124/08</t>
  </si>
  <si>
    <t>H # 172, Sec 32-B, Korangi 1</t>
  </si>
  <si>
    <t>0333-308-3383</t>
  </si>
  <si>
    <t>125/08</t>
  </si>
  <si>
    <t>H # 20/10, Area 3-B, Landhi 3 1/2</t>
  </si>
  <si>
    <t>0332-329-1797</t>
  </si>
  <si>
    <t>126/08</t>
  </si>
  <si>
    <t>H # R 40, Sec 34/2, Korangi</t>
  </si>
  <si>
    <t>0323-256-4544</t>
  </si>
  <si>
    <t>127/08</t>
  </si>
  <si>
    <t>H # 49, Street 21, Zia Colony, Karachi</t>
  </si>
  <si>
    <t>0321-213-1839</t>
  </si>
  <si>
    <t>128/08</t>
  </si>
  <si>
    <t>H # 676, St 8, Sec 32/A, Zia Colony, Korangi</t>
  </si>
  <si>
    <t>0345-238-7194</t>
  </si>
  <si>
    <t>084/08</t>
  </si>
  <si>
    <t>H # 118, Area 100, Korangi 5 1/2</t>
  </si>
  <si>
    <t>0322-277-1626</t>
  </si>
  <si>
    <t>085/08</t>
  </si>
  <si>
    <t>H # 487, Sec 32/A, Korangi 1 1/2</t>
  </si>
  <si>
    <t>0333-367-0390</t>
  </si>
  <si>
    <t>086/08</t>
  </si>
  <si>
    <t>H # 244, Sec H, Korangi 100, Karachi</t>
  </si>
  <si>
    <t>0343-344-4982</t>
  </si>
  <si>
    <t>164/08</t>
  </si>
  <si>
    <t>H # N131, Sec 35A, Korangi 3 1/2</t>
  </si>
  <si>
    <t>0345-306-5124</t>
  </si>
  <si>
    <t>165/08</t>
  </si>
  <si>
    <t>H # 362, St. 1, Sec 50A, Madina Colony, Korangi 3</t>
  </si>
  <si>
    <t>0345-260-4791</t>
  </si>
  <si>
    <t>166/08</t>
  </si>
  <si>
    <t>H # 301, Sec 39C, St. 5, Christian Town, Korangi</t>
  </si>
  <si>
    <t>0343-234-2079</t>
  </si>
  <si>
    <t>167/08</t>
  </si>
  <si>
    <t>St. 35, Sec 32 E, Nasir Colony, Karachi</t>
  </si>
  <si>
    <t>0322-246-4926</t>
  </si>
  <si>
    <t>168/08</t>
  </si>
  <si>
    <t>H # 256, Sec 43 A, Rahimabad, Korangi 3 1/2</t>
  </si>
  <si>
    <t>0333-205-1676</t>
  </si>
  <si>
    <t>169/08</t>
  </si>
  <si>
    <t>H # 869, Sec 32/E, Korangi 1</t>
  </si>
  <si>
    <t>0321-265-7042</t>
  </si>
  <si>
    <t>H # 249, Sec O, Korangi 3</t>
  </si>
  <si>
    <t>0308-242-2057</t>
  </si>
  <si>
    <t>129/08</t>
  </si>
  <si>
    <t>H # 74,Sec 192/A, Joseph Gul Town, 48/F Sec, Korangi 2 1/2</t>
  </si>
  <si>
    <t>0346-264-0735</t>
  </si>
  <si>
    <t>130/08</t>
  </si>
  <si>
    <t>H # B/221, Mohalla 2, Landhi, Karachi</t>
  </si>
  <si>
    <t>0345-612-2551</t>
  </si>
  <si>
    <t>131/08</t>
  </si>
  <si>
    <t>H # 108, Sec 36/C, Korangi 6</t>
  </si>
  <si>
    <t>0321-299-4067</t>
  </si>
  <si>
    <t>132/08</t>
  </si>
  <si>
    <t>H # 62-A, Street 4, Korangi 1</t>
  </si>
  <si>
    <t>0300-353-5807</t>
  </si>
  <si>
    <t>133/08</t>
  </si>
  <si>
    <t>H # 176, Sec L, Altaf Town Crossing</t>
  </si>
  <si>
    <t>0333-248-9170</t>
  </si>
  <si>
    <t>134/08</t>
  </si>
  <si>
    <t>H # 19, Gali 17, Area A, 4th floor, Qayyumabad, Karachi</t>
  </si>
  <si>
    <t>135/08</t>
  </si>
  <si>
    <t>H # 03, Sec 33/B, Landhi 1</t>
  </si>
  <si>
    <t>0346-280-8545</t>
  </si>
  <si>
    <t>136/08</t>
  </si>
  <si>
    <t>H # 421, Sec 32/B, Korangi 1 1/2</t>
  </si>
  <si>
    <t>0321-308-4244</t>
  </si>
  <si>
    <t>137/08</t>
  </si>
  <si>
    <t xml:space="preserve">Allama Rasheed Taurabi Rd., Block B, North Nazimabad </t>
  </si>
  <si>
    <t>0333-349-2298</t>
  </si>
  <si>
    <t>138/08</t>
  </si>
  <si>
    <t>H # 878, Sec 33E, Korangi 2 1/2</t>
  </si>
  <si>
    <t>139/08</t>
  </si>
  <si>
    <t>H # 12, Area Y, Korangi 2</t>
  </si>
  <si>
    <t>0345-868-2990</t>
  </si>
  <si>
    <t>140/08</t>
  </si>
  <si>
    <t>H # B323, Sec 50-A, Korangi</t>
  </si>
  <si>
    <t>0321-870-3497</t>
  </si>
  <si>
    <t>141/08</t>
  </si>
  <si>
    <t>Modern Complex, 11/1001, Block F, North Karachi</t>
  </si>
  <si>
    <t>0345-221-2890</t>
  </si>
  <si>
    <t>142/08</t>
  </si>
  <si>
    <t>H # 127, St. 27, Korangi 10</t>
  </si>
  <si>
    <t>0323-297-4797</t>
  </si>
  <si>
    <t>143/08</t>
  </si>
  <si>
    <t>H # 269, Sec F, Gulzar Colony, Korangi</t>
  </si>
  <si>
    <t>0343-527-0507</t>
  </si>
  <si>
    <t>144/08</t>
  </si>
  <si>
    <t>H # 1636 KESC, Sec 48/D, New Noorani Colony, Korangi 2 1/2</t>
  </si>
  <si>
    <t>0345-337-1159</t>
  </si>
  <si>
    <t>145/08</t>
  </si>
  <si>
    <t>H # 144, Sector 35/C, Korangi 4</t>
  </si>
  <si>
    <t>0344-8373257</t>
  </si>
  <si>
    <t>146/08</t>
  </si>
  <si>
    <t>H # 2 78/A, Wahid Colony, North  Nazimabad</t>
  </si>
  <si>
    <t>0332-330-8592</t>
  </si>
  <si>
    <t>147/08</t>
  </si>
  <si>
    <t>H # 4 Gulshan Market, Korangi 6</t>
  </si>
  <si>
    <t>0343-214-0065</t>
  </si>
  <si>
    <t>H # 215, Sec 32/A, Gali 8, Abbass Nagar, near Zia Colony</t>
  </si>
  <si>
    <t>0344-367-9801</t>
  </si>
  <si>
    <t>5/09</t>
  </si>
  <si>
    <t>H # 172, Sector 32-B, Korangi 1</t>
  </si>
  <si>
    <t>0332-239-2488</t>
  </si>
  <si>
    <t>6/09</t>
  </si>
  <si>
    <t>H # 176, 13/E, Sector 35/C, Korangi 5 1/2</t>
  </si>
  <si>
    <t>0322-256-9860</t>
  </si>
  <si>
    <t>7/09</t>
  </si>
  <si>
    <t>H # B 554, St. 2, Bhittai Colony</t>
  </si>
  <si>
    <t>0308-338-6551</t>
  </si>
  <si>
    <t>9/09</t>
  </si>
  <si>
    <t>H # 572, St. 1, Mehran Town, New Area, Karachi</t>
  </si>
  <si>
    <t>0334-337-7638</t>
  </si>
  <si>
    <t>MDR TB</t>
  </si>
  <si>
    <t>10/09</t>
  </si>
  <si>
    <t>H # 535/C, Bhitai Colony</t>
  </si>
  <si>
    <t>0321-235-6607</t>
  </si>
  <si>
    <t>11/09</t>
  </si>
  <si>
    <t>H # 410, Sector C, Korangi 2 1/2</t>
  </si>
  <si>
    <t>0346-299-7595</t>
  </si>
  <si>
    <t>12/09</t>
  </si>
  <si>
    <t>H # 1092,Shah Faisal Colony 5</t>
  </si>
  <si>
    <t>0343-206-3430</t>
  </si>
  <si>
    <t>13/09</t>
  </si>
  <si>
    <t>H # 138, Area E, Dhobi Ghatt, Korangi 5</t>
  </si>
  <si>
    <t>14/09</t>
  </si>
  <si>
    <t>H # 257, Sector 32/E, Nasir Colony, Korangi</t>
  </si>
  <si>
    <t>0302-242-4902</t>
  </si>
  <si>
    <t>15/09</t>
  </si>
  <si>
    <t>H # C 53, Korangi 1 1/2</t>
  </si>
  <si>
    <t>0346-222-7001</t>
  </si>
  <si>
    <t>16/09</t>
  </si>
  <si>
    <t>H # 618, Sector 33 F, Korangi 2</t>
  </si>
  <si>
    <t>0346-220-3545</t>
  </si>
  <si>
    <t>17/09</t>
  </si>
  <si>
    <t>H # AK 61A, Sector 45/14, Lyari</t>
  </si>
  <si>
    <t>0343-288-1748</t>
  </si>
  <si>
    <t>18/09</t>
  </si>
  <si>
    <t>150/08</t>
  </si>
  <si>
    <t>H # B/794, Sec 50/A, Korangi 4 1/2</t>
  </si>
  <si>
    <t>0321-232-6634</t>
  </si>
  <si>
    <t>151/08</t>
  </si>
  <si>
    <t>H # 1577, St 29, Mehtab Colony</t>
  </si>
  <si>
    <t>0306-224-8799</t>
  </si>
  <si>
    <t>152/08</t>
  </si>
  <si>
    <t>H # 123, Sec L, Auberschor, Korangi 3</t>
  </si>
  <si>
    <t>0303-201-4471</t>
  </si>
  <si>
    <t>153/08</t>
  </si>
  <si>
    <t>H # 11-B, Café Zahid, Jaan Arif, Nazimabad</t>
  </si>
  <si>
    <t>0321-229-7322</t>
  </si>
  <si>
    <t>154/08</t>
  </si>
  <si>
    <t>H # 180, Sec 51 B, Korangi 6</t>
  </si>
  <si>
    <t>0300-292-8958</t>
  </si>
  <si>
    <t>155/08</t>
  </si>
  <si>
    <t>H # 248, Area S, Korangi 1</t>
  </si>
  <si>
    <t>0321-245-3510</t>
  </si>
  <si>
    <t>156/08</t>
  </si>
  <si>
    <t>H # 150, Sec 2 C, Landhi 3 1/2</t>
  </si>
  <si>
    <t>0322-279-2143</t>
  </si>
  <si>
    <t>157/08</t>
  </si>
  <si>
    <t>H # 272, St. 4, Mustafa Taj Colony, Korangi 3 1/2</t>
  </si>
  <si>
    <t>0345-293-7094</t>
  </si>
  <si>
    <t xml:space="preserve">Relapse </t>
  </si>
  <si>
    <t>158/08</t>
  </si>
  <si>
    <t>H # 54, Juma Goth, Korangi 5</t>
  </si>
  <si>
    <t>0307-328-5792</t>
  </si>
  <si>
    <t>097/08</t>
  </si>
  <si>
    <t>H # 1093, Korangi 2 1/2</t>
  </si>
  <si>
    <t>0308-208-8345</t>
  </si>
  <si>
    <t>159/08</t>
  </si>
  <si>
    <t>H # 229, Sec 51/B, Mohd. Ali Colony, Korangi 6</t>
  </si>
  <si>
    <t>0346-204-3057</t>
  </si>
  <si>
    <t>160/08</t>
  </si>
  <si>
    <t>H # 627,Sec D 32, Korangi 1</t>
  </si>
  <si>
    <t>0300-705-3273</t>
  </si>
  <si>
    <t>161/08</t>
  </si>
  <si>
    <t>H # 66, Sec E, St. 4, Akhtar Colony</t>
  </si>
  <si>
    <t>0302-207-3683</t>
  </si>
  <si>
    <t>162/08</t>
  </si>
  <si>
    <t>H # C-519, St. 24, Old Muzaffarabad, Landhi</t>
  </si>
  <si>
    <t>0321-292-6788</t>
  </si>
  <si>
    <t>163/08</t>
  </si>
  <si>
    <t>H # 35, Sec 40/C, Area Y, Korangi 1 1/2</t>
  </si>
  <si>
    <t>0345-290-4440</t>
  </si>
  <si>
    <t>23/09</t>
  </si>
  <si>
    <t>H # 645, Sec 36/C, Sherabad, Landhi 6</t>
  </si>
  <si>
    <t>0300-293-6718</t>
  </si>
  <si>
    <t>24/09</t>
  </si>
  <si>
    <t>H # 847, Sec 41/B, Korangi 2 1/2</t>
  </si>
  <si>
    <t>0323-320-4675</t>
  </si>
  <si>
    <t>25/09</t>
  </si>
  <si>
    <t>H # L 53, St 5, Mehmoodabad</t>
  </si>
  <si>
    <t>0345-229-3932</t>
  </si>
  <si>
    <t>26/09</t>
  </si>
  <si>
    <t>H # 20/G, Block 5, PAF, Korangi Creek</t>
  </si>
  <si>
    <t>0323-206-1524</t>
  </si>
  <si>
    <t>27/09</t>
  </si>
  <si>
    <t>H # 930, Sec 33/C, Korangi 2</t>
  </si>
  <si>
    <t>0346-245-6350</t>
  </si>
  <si>
    <t>28/09</t>
  </si>
  <si>
    <t>H # 1117/1118, Sec F-1, Labour Colony, Landhi</t>
  </si>
  <si>
    <t>0334-330-6447</t>
  </si>
  <si>
    <t>29/09</t>
  </si>
  <si>
    <t>H # C-119, St. 7, Old Muzzafarabad,Landhi 22</t>
  </si>
  <si>
    <t>0321-207-5371</t>
  </si>
  <si>
    <t>30/09</t>
  </si>
  <si>
    <t>H # C-90, 1a/4, North Karachi</t>
  </si>
  <si>
    <t>0321-219-9996</t>
  </si>
  <si>
    <t>31/09</t>
  </si>
  <si>
    <t>H # 2324, St. 2, Azam Town</t>
  </si>
  <si>
    <t>0344-253-0700</t>
  </si>
  <si>
    <t>32/09</t>
  </si>
  <si>
    <t>H # 981, Sec 33/C, Korangi 1 1/2</t>
  </si>
  <si>
    <t>0307-344-1061</t>
  </si>
  <si>
    <t>33/09</t>
  </si>
  <si>
    <t>H # 156, St. 3, Sec. C, Near Noorani Basti, Korangi 1 1/2</t>
  </si>
  <si>
    <t>0300-263-6335</t>
  </si>
  <si>
    <t>34/09</t>
  </si>
  <si>
    <t>H # E-53, Bhittai Colony</t>
  </si>
  <si>
    <t>0307-271-4688</t>
  </si>
  <si>
    <t>2//26/2009</t>
  </si>
  <si>
    <t>35/09</t>
  </si>
  <si>
    <t>H # 52, St. 11, Sec 35-B, Korangi 4</t>
  </si>
  <si>
    <t>0321-899-7086</t>
  </si>
  <si>
    <t>36/09</t>
  </si>
  <si>
    <t>H # 292, Sec 40/C, Noorani Basti, Korangi 1</t>
  </si>
  <si>
    <t>0306-256-6529</t>
  </si>
  <si>
    <t>Transfer out</t>
  </si>
  <si>
    <t>37/09</t>
  </si>
  <si>
    <t>H # 304, Sec 36/B, Zamanabad, Landhi 4</t>
  </si>
  <si>
    <t>0301-230-7857</t>
  </si>
  <si>
    <t>38/09</t>
  </si>
  <si>
    <t>H # 319-L, Sec 32/A, Labour Colony, Korangi 1 1/2</t>
  </si>
  <si>
    <t>0333-750-1843</t>
  </si>
  <si>
    <t>39/09</t>
  </si>
  <si>
    <t>H # F-324, Korangi 4</t>
  </si>
  <si>
    <t>Transferred to another center</t>
  </si>
  <si>
    <t>170/08</t>
  </si>
  <si>
    <t>Koai Goth, Goth Jam Kandro, Quaidabad, Karachi</t>
  </si>
  <si>
    <t>0308-261-1401</t>
  </si>
  <si>
    <t>Transferred out to Hyderabad Civil Hospital</t>
  </si>
  <si>
    <t>171/08</t>
  </si>
  <si>
    <t>H # 670. Sec 32/A, Korangi 1 1/2</t>
  </si>
  <si>
    <t>0307-296-0207</t>
  </si>
  <si>
    <t>172/08</t>
  </si>
  <si>
    <t>H # 22, St 13, Sec E, Manzoor Colony</t>
  </si>
  <si>
    <t>0344-204-0364</t>
  </si>
  <si>
    <t>1/09</t>
  </si>
  <si>
    <t>H # 9, Double Store No. 9, Korangi 5 1/2</t>
  </si>
  <si>
    <t>0345-224-6332</t>
  </si>
  <si>
    <t>H. # L-351, Sector 41-B, Korangi 2 1/2</t>
  </si>
  <si>
    <t>Other disesease - lymphoma</t>
  </si>
  <si>
    <t>2/09</t>
  </si>
  <si>
    <t>H #    , Sector 30-A, Altaf Town, Bhittai Colony, Korangi 2</t>
  </si>
  <si>
    <t>0344-252-2287</t>
  </si>
  <si>
    <t>3/09</t>
  </si>
  <si>
    <t>H # 33, Street 27, Sector 36-B, Landhi</t>
  </si>
  <si>
    <t>0331-273-9239</t>
  </si>
  <si>
    <t>4/09</t>
  </si>
  <si>
    <t>0300-234-8295</t>
  </si>
  <si>
    <t>82/09</t>
  </si>
  <si>
    <t>H # 31, St. 9, Korangi 4</t>
  </si>
  <si>
    <t>0333-247-7504</t>
  </si>
  <si>
    <t>83/09</t>
  </si>
  <si>
    <t>H # 121, St. 9, Gizri, Karachi</t>
  </si>
  <si>
    <t>0322-289-6132</t>
  </si>
  <si>
    <t>84/09</t>
  </si>
  <si>
    <t>0323-279-1408</t>
  </si>
  <si>
    <t>40/09</t>
  </si>
  <si>
    <t>H # 623, St. 15, New Mianwali Colony, Azam Basti</t>
  </si>
  <si>
    <t>0344-383-5262</t>
  </si>
  <si>
    <t>41/09</t>
  </si>
  <si>
    <t>H # 286, Mill Area, Korangi 3 1/2</t>
  </si>
  <si>
    <t>0322-286-0588</t>
  </si>
  <si>
    <t>42/09</t>
  </si>
  <si>
    <t>H # 1381, Area F, Mansehra Colony, Landhi</t>
  </si>
  <si>
    <t>0344-209-4118</t>
  </si>
  <si>
    <t>43/09</t>
  </si>
  <si>
    <t>H #. 86, KESC 2441, Sec 48/D, St. 1, New Noorani Colony, Korangi 2 1/2</t>
  </si>
  <si>
    <t>0346-204-1793</t>
  </si>
  <si>
    <t>44/09</t>
  </si>
  <si>
    <t>H # N-225, Korangi 3 1/2</t>
  </si>
  <si>
    <t>0301-211-6351</t>
  </si>
  <si>
    <t>45/09</t>
  </si>
  <si>
    <t>H # 786, Area E, Korangi 2 1/2</t>
  </si>
  <si>
    <t>0300-894-3323</t>
  </si>
  <si>
    <t>46/09</t>
  </si>
  <si>
    <t>H # 1064, Sec 32-D, Korangi</t>
  </si>
  <si>
    <t>0334-340-5925</t>
  </si>
  <si>
    <t>47/09</t>
  </si>
  <si>
    <t>H # 61, Sec 33F, Korangi 2</t>
  </si>
  <si>
    <t>021-505-5170</t>
  </si>
  <si>
    <t>48/09</t>
  </si>
  <si>
    <t>H # 370, Sec 48 H, Korangi 2 1/2</t>
  </si>
  <si>
    <t>0345-880-2189</t>
  </si>
  <si>
    <t>49/09</t>
  </si>
  <si>
    <t>H # 419, St. 2, Block 4, Gulshan e Iqbal</t>
  </si>
  <si>
    <t>0303-212-6988</t>
  </si>
  <si>
    <t>Defaulted</t>
  </si>
  <si>
    <t>50/09</t>
  </si>
  <si>
    <t>H # 432, Sec 51-B, Korangi 6</t>
  </si>
  <si>
    <t>0333-375-2285</t>
  </si>
  <si>
    <t>51/09</t>
  </si>
  <si>
    <t>H # L 179, St. 5, Sec 30-A, Altaf Town, Korangi Crossing</t>
  </si>
  <si>
    <t>0321-205-9022</t>
  </si>
  <si>
    <t>52/09</t>
  </si>
  <si>
    <t>H # L 426, Sec 41-B, Korangi 2 1/2</t>
  </si>
  <si>
    <t>0346-273-5525</t>
  </si>
  <si>
    <t>53/09</t>
  </si>
  <si>
    <t>H # 286, Area 36-B, Landhi 4</t>
  </si>
  <si>
    <t>54/09</t>
  </si>
  <si>
    <t>H # L-23, St. 2, Bhatti Colony, Korangi Crossing</t>
  </si>
  <si>
    <t>0333-379-2850</t>
  </si>
  <si>
    <t>55/09</t>
  </si>
  <si>
    <t>H # 43, Block 36-A, Korangi 5</t>
  </si>
  <si>
    <t>021-5057306</t>
  </si>
  <si>
    <t>56/09</t>
  </si>
  <si>
    <t>H # L 97/4, Malir Colony</t>
  </si>
  <si>
    <t>0345-613-5932</t>
  </si>
  <si>
    <t>57/09</t>
  </si>
  <si>
    <t>H # 165, Sec N-38/B, Korangi 2 1/2</t>
  </si>
  <si>
    <t>0344-266-3735</t>
  </si>
  <si>
    <t>58/09</t>
  </si>
  <si>
    <t>H # 101,Area 36-C, Korangi 6</t>
  </si>
  <si>
    <t>0300257-7595</t>
  </si>
  <si>
    <t>Cousin</t>
  </si>
  <si>
    <t>59/09</t>
  </si>
  <si>
    <t>Chakra Goth, Korangi 1</t>
  </si>
  <si>
    <t>0343-225-6263</t>
  </si>
  <si>
    <t>60/09</t>
  </si>
  <si>
    <t>H # S-2-641, Area 48-D,Korangi 1</t>
  </si>
  <si>
    <t>0342-220-6440</t>
  </si>
  <si>
    <t>61/09</t>
  </si>
  <si>
    <t>H # 244, Sector 39/C, Street 3, Korangi</t>
  </si>
  <si>
    <t>0308-243-7667</t>
  </si>
  <si>
    <t>19/09</t>
  </si>
  <si>
    <t xml:space="preserve">H # 3 Eid Gah Chowk, Manzoor Colony </t>
  </si>
  <si>
    <t>20/09</t>
  </si>
  <si>
    <t>H # 543, Sec 32/B, Korangi 1 1/2</t>
  </si>
  <si>
    <t>021-5073481</t>
  </si>
  <si>
    <t>21/09</t>
  </si>
  <si>
    <t>Umer Colony,N-2, St. 4, Railway Lines</t>
  </si>
  <si>
    <t>021-4542260</t>
  </si>
  <si>
    <t>22/09</t>
  </si>
  <si>
    <t>0323-281-3449</t>
  </si>
  <si>
    <t>98/09</t>
  </si>
  <si>
    <t>H # 119, Sec 8/C, Gulzar Colony, Korangi</t>
  </si>
  <si>
    <t>0306-272-5378</t>
  </si>
  <si>
    <t>H # 71/B, Landhi</t>
  </si>
  <si>
    <t>99/09</t>
  </si>
  <si>
    <t>H # 395, Sec 41/B, Korangi 2 1/2</t>
  </si>
  <si>
    <t>0300-263-6331</t>
  </si>
  <si>
    <t>100/09</t>
  </si>
  <si>
    <t>H # 1199, St. 13, Area 36-G, Sharif Colony, Landhi 6</t>
  </si>
  <si>
    <t>0308-396-2346</t>
  </si>
  <si>
    <t>101/09</t>
  </si>
  <si>
    <t>H # 204, Sec L 34/2, Korangi 3</t>
  </si>
  <si>
    <t>0301-297-9252</t>
  </si>
  <si>
    <t>102/09</t>
  </si>
  <si>
    <t>H # 154, Sec 9, Nusrat Colony, Korangi</t>
  </si>
  <si>
    <t>0321-891-6048</t>
  </si>
  <si>
    <t>103/09</t>
  </si>
  <si>
    <t>0342-203-8513</t>
  </si>
  <si>
    <t>104/09</t>
  </si>
  <si>
    <t>H # 91, Sec 51-B, Korangi 6</t>
  </si>
  <si>
    <t>0333-209-2925</t>
  </si>
  <si>
    <t>105/09</t>
  </si>
  <si>
    <t>H # 32, St.4, Sec D, Korangi</t>
  </si>
  <si>
    <t>106/09</t>
  </si>
  <si>
    <t>H # H-196, Area 1-D, Landhi 2</t>
  </si>
  <si>
    <t>0332-313-5028</t>
  </si>
  <si>
    <t>Treatment Failure</t>
  </si>
  <si>
    <t>62/09</t>
  </si>
  <si>
    <t>021-506-4141</t>
  </si>
  <si>
    <t>63/09</t>
  </si>
  <si>
    <t>H # E-90, Sec 50/C, Korangi 100</t>
  </si>
  <si>
    <t>0313-325-1758</t>
  </si>
  <si>
    <t>64/09</t>
  </si>
  <si>
    <t>Indus Mill, Korangi 2</t>
  </si>
  <si>
    <t>0302-275-2646</t>
  </si>
  <si>
    <t>65/09</t>
  </si>
  <si>
    <t>H # H118, Area 100 Quarter</t>
  </si>
  <si>
    <t>0323-275-1922</t>
  </si>
  <si>
    <t>CAT II Failure</t>
  </si>
  <si>
    <t>On treatment for CAT II</t>
  </si>
  <si>
    <t>66/09</t>
  </si>
  <si>
    <t>H # 37, Near Indus Dying Company</t>
  </si>
  <si>
    <t>0345-320-8863</t>
  </si>
  <si>
    <t>67/09</t>
  </si>
  <si>
    <t>H # 554, Sec B, St. 2, Korangi Crossing</t>
  </si>
  <si>
    <t>68/09</t>
  </si>
  <si>
    <t>H # 336, Korangi 2 1/2</t>
  </si>
  <si>
    <t>0345-262-4459</t>
  </si>
  <si>
    <t>69/09</t>
  </si>
  <si>
    <t>H # 29/G, Area UC 8, Line 2 Area</t>
  </si>
  <si>
    <t>0301-292-6925</t>
  </si>
  <si>
    <t>70/09</t>
  </si>
  <si>
    <t>H # N206, Sec 48/A, Korangi</t>
  </si>
  <si>
    <t>0345-233-6636</t>
  </si>
  <si>
    <t>71/09</t>
  </si>
  <si>
    <t>H # 203, Sec 6-H/B, Mehran Town</t>
  </si>
  <si>
    <t>0322-236-8076</t>
  </si>
  <si>
    <t>72/09</t>
  </si>
  <si>
    <t>H # 531, Sec 51/C, Korangi 6</t>
  </si>
  <si>
    <t>0332-373-2948</t>
  </si>
  <si>
    <t>73/09</t>
  </si>
  <si>
    <t>H # H715, St. 15/3, Sec 35/C,  Korangi 3 1/2</t>
  </si>
  <si>
    <t>0346-311-3422</t>
  </si>
  <si>
    <t>74/09</t>
  </si>
  <si>
    <t>0323-322-8610</t>
  </si>
  <si>
    <t>75/09</t>
  </si>
  <si>
    <t>H # 283, Area 6, New Abadi</t>
  </si>
  <si>
    <t>0343-261-4429</t>
  </si>
  <si>
    <t>76/09</t>
  </si>
  <si>
    <t>H # 80, Gali 2, Sec C, Akhtar Colony</t>
  </si>
  <si>
    <t>0334-349-3253</t>
  </si>
  <si>
    <t>77/09</t>
  </si>
  <si>
    <t>H # L-304, Sec 48/E, Korangi 2 1/2</t>
  </si>
  <si>
    <t>0307-295-5639</t>
  </si>
  <si>
    <t>78/09</t>
  </si>
  <si>
    <t>Mohalla Kachi Abadi, Sec 33/3, Korangi 3</t>
  </si>
  <si>
    <t>0303-260-8007</t>
  </si>
  <si>
    <t>79/09</t>
  </si>
  <si>
    <t>St. 1, Area 36/B, Zamanabad, Landhi 4</t>
  </si>
  <si>
    <t>0334-325-3724</t>
  </si>
  <si>
    <t>80/09</t>
  </si>
  <si>
    <t>H # 529, Sec. E, Mehmoodabad</t>
  </si>
  <si>
    <t>0334-288-4637</t>
  </si>
  <si>
    <t xml:space="preserve">Cured </t>
  </si>
  <si>
    <t>81/09</t>
  </si>
  <si>
    <t>H # 724, St. 11, Korangi 1 1/2</t>
  </si>
  <si>
    <t>0334-372-9755</t>
  </si>
  <si>
    <t>115/09</t>
  </si>
  <si>
    <t>H 2, Sec G, Manzoor Colony</t>
  </si>
  <si>
    <t>0334-322-7879</t>
  </si>
  <si>
    <t>116/09</t>
  </si>
  <si>
    <t>H # 3H 514, Sec 34/1, Dakkhana, Korangi</t>
  </si>
  <si>
    <t>0322-228-4784</t>
  </si>
  <si>
    <t>117/09</t>
  </si>
  <si>
    <t>H # 106, St. 2, Sec T, Korangi 2</t>
  </si>
  <si>
    <t>0343-346-5486</t>
  </si>
  <si>
    <t>118/09</t>
  </si>
  <si>
    <t>H # B-137, Shahnawaz Bhutto Colony, Lines Area</t>
  </si>
  <si>
    <t>0333-223-8838</t>
  </si>
  <si>
    <t>119/09</t>
  </si>
  <si>
    <t>H # A-7, DHA Villa</t>
  </si>
  <si>
    <t>0305-206-0904</t>
  </si>
  <si>
    <t>120/09</t>
  </si>
  <si>
    <t>H # 250, Sec 48F, Korangi 2 1/2</t>
  </si>
  <si>
    <t>0321-384-5416</t>
  </si>
  <si>
    <t>121/09</t>
  </si>
  <si>
    <t>H # M-35, Landhi 1</t>
  </si>
  <si>
    <t>0346-305-9972</t>
  </si>
  <si>
    <t>122/09</t>
  </si>
  <si>
    <t>H # 142, St.1, Sec 48/A, Korangi</t>
  </si>
  <si>
    <t>0307-224-2719</t>
  </si>
  <si>
    <t>123/09</t>
  </si>
  <si>
    <t>H # 271, Sec 48-D, St. 6, Korangi 2 1/2</t>
  </si>
  <si>
    <t>0323-294-2665</t>
  </si>
  <si>
    <t>124/09</t>
  </si>
  <si>
    <t>H # L-296, Sec 48-A, Korangi 2 1/2</t>
  </si>
  <si>
    <t>0300-223-6669</t>
  </si>
  <si>
    <t>125/09</t>
  </si>
  <si>
    <t>H # K-404, Area K, Korangi 4</t>
  </si>
  <si>
    <t>0300-232-3270</t>
  </si>
  <si>
    <t>126/09</t>
  </si>
  <si>
    <t>H # 1 H-711, St. 9, Zia Colony, Korangi</t>
  </si>
  <si>
    <t>0332-252-8937</t>
  </si>
  <si>
    <t>127/09</t>
  </si>
  <si>
    <t>H # L-256, Sec. 34/1, Korangi</t>
  </si>
  <si>
    <t>0302-302-4636</t>
  </si>
  <si>
    <t>128/09</t>
  </si>
  <si>
    <t>H # 695, Sec, E, Bhittai Colony, Karachi</t>
  </si>
  <si>
    <t>0307-216-0503</t>
  </si>
  <si>
    <t>H # 92, Sec A, Bhittai Colony</t>
  </si>
  <si>
    <t>0346-292-3303</t>
  </si>
  <si>
    <t>85/09</t>
  </si>
  <si>
    <t>H # 15/3, Cant. Bazaar, Drigh Road</t>
  </si>
  <si>
    <t>0323-215-5034</t>
  </si>
  <si>
    <t xml:space="preserve">Transfer out to Quetta </t>
  </si>
  <si>
    <t>86/09</t>
  </si>
  <si>
    <t>H # 47, Gali 2, Sec 8/F, Korangi</t>
  </si>
  <si>
    <t>0321-223-0791</t>
  </si>
  <si>
    <t>87/09</t>
  </si>
  <si>
    <t>H # 98-1, Lines Area, Karachi</t>
  </si>
  <si>
    <t>0333-389-1602</t>
  </si>
  <si>
    <t>88/09</t>
  </si>
  <si>
    <t>H # 25, Area 5-C, Landhi 6</t>
  </si>
  <si>
    <t>0333-305-6517</t>
  </si>
  <si>
    <t>89/09</t>
  </si>
  <si>
    <t>H # 806, Area S, Korangi 1</t>
  </si>
  <si>
    <t>0308-268-2595</t>
  </si>
  <si>
    <t>90/09</t>
  </si>
  <si>
    <t>H # 1193, Shop, Ghani Zaman vegetable shop, Mueenabad 2, Landhi</t>
  </si>
  <si>
    <t>0343-302-6937</t>
  </si>
  <si>
    <t xml:space="preserve">Defaulted </t>
  </si>
  <si>
    <t>91/09</t>
  </si>
  <si>
    <t>92/09</t>
  </si>
  <si>
    <t>H # 661, Sec 32/D, Nasir Colony, Korangi 1</t>
  </si>
  <si>
    <t>0345-263-1564</t>
  </si>
  <si>
    <t>93/09</t>
  </si>
  <si>
    <t>L-29, Sec 34/1, Korangi 3</t>
  </si>
  <si>
    <t>94/09</t>
  </si>
  <si>
    <t>H # 163, Sec 24/D, Zia Colony 1, Karachi</t>
  </si>
  <si>
    <t>0331-245-7685</t>
  </si>
  <si>
    <t>95/09</t>
  </si>
  <si>
    <t>H # 439, St. 1, Area 36-C, Sherabad, Landhi</t>
  </si>
  <si>
    <t>021-5045634</t>
  </si>
  <si>
    <t>Sister-in-law</t>
  </si>
  <si>
    <t>96/09</t>
  </si>
  <si>
    <t>H # 164, Sec 32/E, Korangi 4</t>
  </si>
  <si>
    <t>0333-248-1084</t>
  </si>
  <si>
    <t>97/09</t>
  </si>
  <si>
    <t>H # 327, No 1 1/2 Gilgit Colony, Korangi</t>
  </si>
  <si>
    <t>132/09</t>
  </si>
  <si>
    <t>H # M 127, Korangi 4</t>
  </si>
  <si>
    <t>0333-217-8846</t>
  </si>
  <si>
    <t>133/09</t>
  </si>
  <si>
    <t>H # N-345, Sec 30/A, Bhittai Colony</t>
  </si>
  <si>
    <t>021-506-2268</t>
  </si>
  <si>
    <t>134/09</t>
  </si>
  <si>
    <t>H # Y-452, Korangi 1 1/2</t>
  </si>
  <si>
    <t>0300-928-7192</t>
  </si>
  <si>
    <t>135/09</t>
  </si>
  <si>
    <t>Bin Qasim, Redi Goth, Landhi</t>
  </si>
  <si>
    <t>0343-323-8551</t>
  </si>
  <si>
    <t>136/09</t>
  </si>
  <si>
    <t>H # 165, Sec 32/E, Nasir Colony</t>
  </si>
  <si>
    <t>0321-215-5882</t>
  </si>
  <si>
    <t>137/09</t>
  </si>
  <si>
    <t>Rahimabad, Korangi</t>
  </si>
  <si>
    <t>0323-288-2507</t>
  </si>
  <si>
    <t>138/09</t>
  </si>
  <si>
    <t>Korangi 2 1/2</t>
  </si>
  <si>
    <t>0333-382-5728</t>
  </si>
  <si>
    <t>139/09</t>
  </si>
  <si>
    <t>Sher Pao Colony, Near Rehmani Masjid, Landhi</t>
  </si>
  <si>
    <t>0300-251-0703</t>
  </si>
  <si>
    <t>140/09</t>
  </si>
  <si>
    <t>H # 635, Sec 6-B, Korangi 1</t>
  </si>
  <si>
    <t>021-507-7773</t>
  </si>
  <si>
    <t>141/09</t>
  </si>
  <si>
    <t>A 260, Area A, Korangi 6</t>
  </si>
  <si>
    <t>0332-238-3419</t>
  </si>
  <si>
    <t>142/09</t>
  </si>
  <si>
    <t>Hussaini Chorangi, Sher Pao Colony, Landhi</t>
  </si>
  <si>
    <t>0346-356-5011</t>
  </si>
  <si>
    <t>143/09</t>
  </si>
  <si>
    <t>H # 829, Sec 32-B, Korangi 1</t>
  </si>
  <si>
    <t>0322-279-0807</t>
  </si>
  <si>
    <t>144/09</t>
  </si>
  <si>
    <t>H # 39/C, Christian Town</t>
  </si>
  <si>
    <t>0333-379-5478</t>
  </si>
  <si>
    <t>145/09</t>
  </si>
  <si>
    <t>St. 22, Clifton</t>
  </si>
  <si>
    <t>146/09</t>
  </si>
  <si>
    <t>H # L 453, Sec 48-B, Korangi 2 1/2</t>
  </si>
  <si>
    <t>0345-618-3032</t>
  </si>
  <si>
    <t>147/09</t>
  </si>
  <si>
    <t>H # 370, Korangi 1 1/2</t>
  </si>
  <si>
    <t>0321-273-1570</t>
  </si>
  <si>
    <t>148/09</t>
  </si>
  <si>
    <t>Hilalabad, Gali 2, H # 27, Landhi 2</t>
  </si>
  <si>
    <t>149/09</t>
  </si>
  <si>
    <t>H # 619, Sec 8/B, St. 8, Korangi</t>
  </si>
  <si>
    <t>150/09</t>
  </si>
  <si>
    <t>H # 725, St. 16, Sec 30-A, Korangi</t>
  </si>
  <si>
    <t>151/09</t>
  </si>
  <si>
    <t>H # 59, Sec C, Korangi</t>
  </si>
  <si>
    <t>0332-630-1208</t>
  </si>
  <si>
    <t>152/09</t>
  </si>
  <si>
    <t>437, St. 6, Area H, Manzoor Colony</t>
  </si>
  <si>
    <t>0213-286-8238</t>
  </si>
  <si>
    <t>153/09</t>
  </si>
  <si>
    <t>H # 149, Sec 43/A, Korangi 3</t>
  </si>
  <si>
    <t>0342-328-1778</t>
  </si>
  <si>
    <t>154/09</t>
  </si>
  <si>
    <t>H # 2, St. 1, Korangi</t>
  </si>
  <si>
    <t>0300-227-7397</t>
  </si>
  <si>
    <t>107/09</t>
  </si>
  <si>
    <t>H # 5, Area 1, Ameer Khusro Colony, Korangi</t>
  </si>
  <si>
    <t>108/09</t>
  </si>
  <si>
    <t>H # 153, Sec 4, Korangi</t>
  </si>
  <si>
    <t>0346-202-6920</t>
  </si>
  <si>
    <t>109/09</t>
  </si>
  <si>
    <t>H # C-571/172, Korangi</t>
  </si>
  <si>
    <t>021-506-1485</t>
  </si>
  <si>
    <t>Transferred Out</t>
  </si>
  <si>
    <t>110/09</t>
  </si>
  <si>
    <t>H # E 374, Sec E, Korangi 5 1/2</t>
  </si>
  <si>
    <t>0346-290-8667</t>
  </si>
  <si>
    <t>111/09</t>
  </si>
  <si>
    <t>Redi Goth, Chashma Goth, Near Be Ali Goth</t>
  </si>
  <si>
    <t>0321-353-2766</t>
  </si>
  <si>
    <t>112/09</t>
  </si>
  <si>
    <t>H # 171, Sec R, Korangi 2 1/2</t>
  </si>
  <si>
    <t>0332-247-7872</t>
  </si>
  <si>
    <t>113/09</t>
  </si>
  <si>
    <t>H # 322, Sec 36/C, Sherabad, Landhi 6</t>
  </si>
  <si>
    <t>0301-259-2331</t>
  </si>
  <si>
    <t>114/09</t>
  </si>
  <si>
    <t>H # 4 H, L-298, Korangi 2 1/2</t>
  </si>
  <si>
    <t>198/09</t>
  </si>
  <si>
    <t>H # L 309, Sec 34/3, Korangi 3</t>
  </si>
  <si>
    <t>0343-334-6744</t>
  </si>
  <si>
    <t>199/09</t>
  </si>
  <si>
    <t>H # R 303, Sec 37/F, Landhi 2</t>
  </si>
  <si>
    <t>0345-208-0995</t>
  </si>
  <si>
    <t>200/09</t>
  </si>
  <si>
    <t>H # 229, Gulzar Colony, Korangi 5</t>
  </si>
  <si>
    <t>0345-225-6766`</t>
  </si>
  <si>
    <t>201/09</t>
  </si>
  <si>
    <t>H # 196, Area I-D,Landhi 2</t>
  </si>
  <si>
    <t>155/09</t>
  </si>
  <si>
    <t>Gul Ahmed, Muslimabad, Landhi</t>
  </si>
  <si>
    <t>0333-205-1724</t>
  </si>
  <si>
    <t>156/09</t>
  </si>
  <si>
    <t>H # 48, Sec 1, St.1, Manzoor Colony, Karachi</t>
  </si>
  <si>
    <t>0342-256-8654</t>
  </si>
  <si>
    <t>157/09</t>
  </si>
  <si>
    <t>Korangi 3 1/2</t>
  </si>
  <si>
    <t>0301-319-3760</t>
  </si>
  <si>
    <t>158/09</t>
  </si>
  <si>
    <t>H # 196, Landhi 3 1/2</t>
  </si>
  <si>
    <t>159/09</t>
  </si>
  <si>
    <t>H # 647, Sec  51-B, Korangi</t>
  </si>
  <si>
    <t>0322-367-5431</t>
  </si>
  <si>
    <t>160/09</t>
  </si>
  <si>
    <t>Manshera, New Area, New City</t>
  </si>
  <si>
    <t>161/09</t>
  </si>
  <si>
    <t>Near Farooqi Jamia Masjid, Gulistan-e-Latif, Mill Area, Bilal Colony, Korangi</t>
  </si>
  <si>
    <t>0306-825-0276</t>
  </si>
  <si>
    <t>162/09</t>
  </si>
  <si>
    <t>H # 389, Area Y, Korangi 1</t>
  </si>
  <si>
    <t>0343-259-0886</t>
  </si>
  <si>
    <t>163/09</t>
  </si>
  <si>
    <t>H # B-13, Sec 48-D, New Noorani Colony, Korangi 2</t>
  </si>
  <si>
    <t>0345-281-1469</t>
  </si>
  <si>
    <t>164/09</t>
  </si>
  <si>
    <t>H # N-568, Area N, Korangi 3 1/2</t>
  </si>
  <si>
    <t>0334-370-5610</t>
  </si>
  <si>
    <t>165/09</t>
  </si>
  <si>
    <t>H # 621, St. 14, Altaf Town, Korangi Crossing</t>
  </si>
  <si>
    <t>0334-379-1646</t>
  </si>
  <si>
    <t>166/09</t>
  </si>
  <si>
    <t>H # 8, St.38, Area 4-D, Landhi 5</t>
  </si>
  <si>
    <t>0321-287-5119</t>
  </si>
  <si>
    <t>MOther</t>
  </si>
  <si>
    <t>167/09</t>
  </si>
  <si>
    <t>H # 345, St. 6, Sec 43/A, Mustafa Taj Colony, Korangi</t>
  </si>
  <si>
    <t>0343-344-1955</t>
  </si>
  <si>
    <t xml:space="preserve">Son </t>
  </si>
  <si>
    <t>168/09</t>
  </si>
  <si>
    <t>H # 341, Area 37-D, Landhi 1</t>
  </si>
  <si>
    <t>0321-256-9771</t>
  </si>
  <si>
    <t>169/09</t>
  </si>
  <si>
    <t>Sher Pao Basti, Near Zubaida Hospital</t>
  </si>
  <si>
    <t>0331-225-2150</t>
  </si>
  <si>
    <t>170/09</t>
  </si>
  <si>
    <t>H # 17, St. 18, Sec A, Qayyumabad</t>
  </si>
  <si>
    <t>0321-212-9044</t>
  </si>
  <si>
    <t>171/09</t>
  </si>
  <si>
    <t>H # 56, St 6, New Muzaffarabad Colony 22</t>
  </si>
  <si>
    <t>0344-967-7314</t>
  </si>
  <si>
    <t>172/09</t>
  </si>
  <si>
    <t>H # R 3002, Area 37-B, Landhi</t>
  </si>
  <si>
    <t>0346-201-9749</t>
  </si>
  <si>
    <t>173/09</t>
  </si>
  <si>
    <t>Near Imami Madrassa, Baloch Colony</t>
  </si>
  <si>
    <t>0301-277-8753</t>
  </si>
  <si>
    <t>174/09</t>
  </si>
  <si>
    <t>H # L-198, Sec 30-A, St. 6, Altaf Town, Korangi Crossing</t>
  </si>
  <si>
    <t>175/09</t>
  </si>
  <si>
    <t>H # Cb-24, Gulistan Society, Landhi, Quaidabad</t>
  </si>
  <si>
    <t>021-501-5224</t>
  </si>
  <si>
    <t>176/09</t>
  </si>
  <si>
    <t>129/09</t>
  </si>
  <si>
    <t>H # 447, Gurumandir</t>
  </si>
  <si>
    <t>130/09</t>
  </si>
  <si>
    <t>H # 374, Bhutto Nagar, Landhi 1</t>
  </si>
  <si>
    <t>0313-223-4528</t>
  </si>
  <si>
    <t>131/09</t>
  </si>
  <si>
    <t>H # A-12, Sec-K, Korangi 5</t>
  </si>
  <si>
    <t>0312-236-9773</t>
  </si>
  <si>
    <t>0306-884-7734</t>
  </si>
  <si>
    <t>CAT I Failure</t>
  </si>
  <si>
    <t>215/09</t>
  </si>
  <si>
    <t>H # 150, Area J, Sec 36-A, Korangi 5</t>
  </si>
  <si>
    <t>216/09</t>
  </si>
  <si>
    <t>H # A-R-64, 37-F, Area G, Khurramabad, Landhi</t>
  </si>
  <si>
    <t>217/09</t>
  </si>
  <si>
    <t>H # 37-B, Landhi</t>
  </si>
  <si>
    <t>218/09</t>
  </si>
  <si>
    <t>H # 344, Sec 51-B, Mohd. Ali Colony, Korangi 6</t>
  </si>
  <si>
    <t>0343-252-2329</t>
  </si>
  <si>
    <t>219/09</t>
  </si>
  <si>
    <t>H # L-47, Korangi Crossing</t>
  </si>
  <si>
    <t>0333-227-1671</t>
  </si>
  <si>
    <t>220/09</t>
  </si>
  <si>
    <t>Marfat Medical Store, Muslimabad, Landhi</t>
  </si>
  <si>
    <t>0332-805-5379</t>
  </si>
  <si>
    <t>221/09</t>
  </si>
  <si>
    <t>H # A-490, Markeet, Korangi 6</t>
  </si>
  <si>
    <t>0345-306-2570</t>
  </si>
  <si>
    <t>222/09</t>
  </si>
  <si>
    <t>PMTF, New Cattle Colony, Yousuf Goth, Landhi</t>
  </si>
  <si>
    <t>0342-370-5001</t>
  </si>
  <si>
    <t>223/09</t>
  </si>
  <si>
    <t>Zafar Town, Landhi</t>
  </si>
  <si>
    <t>224/09</t>
  </si>
  <si>
    <t xml:space="preserve">H # A-2, Landhi </t>
  </si>
  <si>
    <t>0322-258-6018</t>
  </si>
  <si>
    <t>H # 7, St. 3, Sec B, Qayyumabad</t>
  </si>
  <si>
    <t>177/09</t>
  </si>
  <si>
    <t>H # N-437, Korangi 3 1/2</t>
  </si>
  <si>
    <t>0213-602-1812</t>
  </si>
  <si>
    <t>178/09</t>
  </si>
  <si>
    <t>H # 549, Sec 32/B, Korangi 2 1/2</t>
  </si>
  <si>
    <t>0313-232-7394</t>
  </si>
  <si>
    <t>179/09</t>
  </si>
  <si>
    <t>H # 50/12, Area 2-B, Landhi</t>
  </si>
  <si>
    <t>0321-267-9534</t>
  </si>
  <si>
    <t>180/09</t>
  </si>
  <si>
    <t>H # 573, Area G, Korangi 5 1/2</t>
  </si>
  <si>
    <t>181/09</t>
  </si>
  <si>
    <t>H # B-533, Bhittai Colony</t>
  </si>
  <si>
    <t>0213-505-3525</t>
  </si>
  <si>
    <t>182/09</t>
  </si>
  <si>
    <t>H # 5, St. 4, Sec E, Akhtar Colony</t>
  </si>
  <si>
    <t>183/09</t>
  </si>
  <si>
    <t>H # 364, Sec 50-A, Korangi 100</t>
  </si>
  <si>
    <t>0343-230-4768</t>
  </si>
  <si>
    <t>184/09</t>
  </si>
  <si>
    <t>H # 252, Sec 3, Korangi</t>
  </si>
  <si>
    <t>185/09</t>
  </si>
  <si>
    <t>H # O-225, St. 3, Korangi 3</t>
  </si>
  <si>
    <t>0300-339-2114</t>
  </si>
  <si>
    <t>186/09</t>
  </si>
  <si>
    <t>H # 225, Sec 8/B, St. 12, Bilal Colony</t>
  </si>
  <si>
    <t>0343-325-5989</t>
  </si>
  <si>
    <t>187/09</t>
  </si>
  <si>
    <t>H # 631, Manzoor Colony</t>
  </si>
  <si>
    <t>0322 -229-5427</t>
  </si>
  <si>
    <t>188/09</t>
  </si>
  <si>
    <t>H # L-124, Korangi 4</t>
  </si>
  <si>
    <t>0303-226-9098</t>
  </si>
  <si>
    <t>189/09</t>
  </si>
  <si>
    <t>H # 1903, Sec 48/C, Korangi 2 1/2</t>
  </si>
  <si>
    <t>190/09</t>
  </si>
  <si>
    <t>H # L-453, Sec 32-A, Korangi 1 1/2</t>
  </si>
  <si>
    <t>0333-230-5067</t>
  </si>
  <si>
    <t>191/09</t>
  </si>
  <si>
    <t>Chamra Chorangi, Korangi Crossing</t>
  </si>
  <si>
    <t>0334-306-0446</t>
  </si>
  <si>
    <t>192/09</t>
  </si>
  <si>
    <t>H # R-119, Korangi 1 1/2</t>
  </si>
  <si>
    <t>193/09</t>
  </si>
  <si>
    <t>Dhorajee, Karachi</t>
  </si>
  <si>
    <t>0343-223-5930</t>
  </si>
  <si>
    <t>194/09</t>
  </si>
  <si>
    <t>H # 652, Korangi 2 1/2</t>
  </si>
  <si>
    <t>0346-281-2022</t>
  </si>
  <si>
    <t>195/09</t>
  </si>
  <si>
    <t>St. 3, Zia Colony, Bangali Para</t>
  </si>
  <si>
    <t>196/09</t>
  </si>
  <si>
    <t>H # 243, Sec 51/B, Korangi 6</t>
  </si>
  <si>
    <t>0343-256-2616</t>
  </si>
  <si>
    <t>197/09</t>
  </si>
  <si>
    <t>H # 391, Area 2/C, Sec. 37/A, Landhi 3 1/2</t>
  </si>
  <si>
    <t>0322-204-2857</t>
  </si>
  <si>
    <t>H # 405, 5-1-B, Korangi 6</t>
  </si>
  <si>
    <t>0345-309-5801</t>
  </si>
  <si>
    <t>233/09</t>
  </si>
  <si>
    <t>H # 25, Sec. 48-A, Korangi 2 1/2</t>
  </si>
  <si>
    <t>0323-280-7045</t>
  </si>
  <si>
    <t>Brother-in-law</t>
  </si>
  <si>
    <t>234/09</t>
  </si>
  <si>
    <t>H # 136, Sec. 50-C, Korangi 5 1/2</t>
  </si>
  <si>
    <t>235/09</t>
  </si>
  <si>
    <t>H # 218, St. 12, Sec 81/A, Korangi</t>
  </si>
  <si>
    <t>236/09</t>
  </si>
  <si>
    <t>H # N-65, Sec 51-B, Korangi 6</t>
  </si>
  <si>
    <t>0322-209-1398</t>
  </si>
  <si>
    <t>237/09</t>
  </si>
  <si>
    <t>H # 285, Sec 33/E, Korangi 2 1/2</t>
  </si>
  <si>
    <t>0321-279-6152</t>
  </si>
  <si>
    <t>238/09</t>
  </si>
  <si>
    <t>H # 328, Sec 61-D, Sharifabad</t>
  </si>
  <si>
    <t>0321-367-8564</t>
  </si>
  <si>
    <t>239/09</t>
  </si>
  <si>
    <t>H # 5, Malir,Quaidabad</t>
  </si>
  <si>
    <t>0301-870-6970</t>
  </si>
  <si>
    <t>240/09</t>
  </si>
  <si>
    <t>H # G-117/8, Malir</t>
  </si>
  <si>
    <t>0345-617-2032</t>
  </si>
  <si>
    <t>241/09</t>
  </si>
  <si>
    <t>H # 2, Area Ghazafi Town, Landhi</t>
  </si>
  <si>
    <t>0343-263-5875</t>
  </si>
  <si>
    <t>242/09</t>
  </si>
  <si>
    <t>H # 144, Mir Alam, Ibrahim Haidri</t>
  </si>
  <si>
    <t>243/09</t>
  </si>
  <si>
    <t>H # 37-B-169, Landhi</t>
  </si>
  <si>
    <t>0312-216-4371</t>
  </si>
  <si>
    <t>244/09</t>
  </si>
  <si>
    <t>H # 115, Area R, Korangi 1 1/2</t>
  </si>
  <si>
    <t>245/09</t>
  </si>
  <si>
    <t>H # 292, Sec 48-A, Korangi 2</t>
  </si>
  <si>
    <t>246/09</t>
  </si>
  <si>
    <t>Banaras Chowk, Bangash Plaza</t>
  </si>
  <si>
    <t>247/09</t>
  </si>
  <si>
    <t>H # S-603, Area S, Korangi 1</t>
  </si>
  <si>
    <t>0308-766-810</t>
  </si>
  <si>
    <t>248/09</t>
  </si>
  <si>
    <t>House 312, St. 12, Korangi 3 1/2</t>
  </si>
  <si>
    <t>0322-289-3544</t>
  </si>
  <si>
    <t>249/09</t>
  </si>
  <si>
    <t>H # 1177, Sec 32/A, St B, Korangi</t>
  </si>
  <si>
    <t>0333-215-6934</t>
  </si>
  <si>
    <t>202/09</t>
  </si>
  <si>
    <t>Mosami Pado, Redhi Goth, Landhi</t>
  </si>
  <si>
    <t>203/09</t>
  </si>
  <si>
    <t>H # 407, Sec 48/E, Korangi 2 1/2</t>
  </si>
  <si>
    <t>0343-218-5137</t>
  </si>
  <si>
    <t>Defaulter</t>
  </si>
  <si>
    <t>204/09</t>
  </si>
  <si>
    <t>H # 29, Sec C, St. 1, Akhtar Colony</t>
  </si>
  <si>
    <t>0345-338-5078</t>
  </si>
  <si>
    <t>205/09</t>
  </si>
  <si>
    <t>H # G 146, Near Chishtia Masjid, Hyderabad</t>
  </si>
  <si>
    <t>0345-353-4187</t>
  </si>
  <si>
    <t>206/09</t>
  </si>
  <si>
    <t>H # 348, Sec D, Korangi 5 1/2</t>
  </si>
  <si>
    <t>0343-200-9838</t>
  </si>
  <si>
    <t>207/09</t>
  </si>
  <si>
    <t>H # 76/2, Area 21-B, Landhi</t>
  </si>
  <si>
    <t>0346-297-7106</t>
  </si>
  <si>
    <t>208/09</t>
  </si>
  <si>
    <t>H # 105/1, Sec 1-D, Landhi 1</t>
  </si>
  <si>
    <t>0344-240-3940</t>
  </si>
  <si>
    <t>209/09</t>
  </si>
  <si>
    <t>H # 1980, Sec 51/C, Korangi 1</t>
  </si>
  <si>
    <t>0345-330-7254</t>
  </si>
  <si>
    <t>210/09</t>
  </si>
  <si>
    <t>H # 309, Area S, Korangi 1</t>
  </si>
  <si>
    <t>0345-276-8710</t>
  </si>
  <si>
    <t>211/09</t>
  </si>
  <si>
    <t>H # 556, Area G, Korangi 5 1/2</t>
  </si>
  <si>
    <t>0342-267-4260</t>
  </si>
  <si>
    <t>212/09</t>
  </si>
  <si>
    <t>Near Azam Town, Karachi</t>
  </si>
  <si>
    <t>0344-259-2877</t>
  </si>
  <si>
    <t>213/09</t>
  </si>
  <si>
    <t>H # 504, Sec 36-B, Allahwala Town</t>
  </si>
  <si>
    <t>0332-255-1657</t>
  </si>
  <si>
    <t>214/09</t>
  </si>
  <si>
    <t>H # 1, St. 1, Gulshan Bilal, Korangi 2</t>
  </si>
  <si>
    <t>H # 182, St # 3, Akhter Colony Karachi</t>
  </si>
  <si>
    <t>03212126903</t>
  </si>
  <si>
    <t>H # 186, Sector 50-C, Korangi # 5, Karachi</t>
  </si>
  <si>
    <t>03012870699</t>
  </si>
  <si>
    <t>250/09</t>
  </si>
  <si>
    <t>H # P-407, Korangi 2-1/2, Karachi</t>
  </si>
  <si>
    <t>251/09</t>
  </si>
  <si>
    <t>H #, F-434, Bhatai Colony, Korangi, Karachi</t>
  </si>
  <si>
    <t>03333125237</t>
  </si>
  <si>
    <t>Rt P. effusion</t>
  </si>
  <si>
    <t>252/09</t>
  </si>
  <si>
    <t>H #, C-38, Block-J N. Naziamabad, Karachi</t>
  </si>
  <si>
    <t>0300359025</t>
  </si>
  <si>
    <t>253/09</t>
  </si>
  <si>
    <t>H #, 786, sector, 40, Korangi Chakra Goth, Karachi</t>
  </si>
  <si>
    <t>03432195747</t>
  </si>
  <si>
    <t>254/09</t>
  </si>
  <si>
    <t>H # 55, St # 4, Sector-H, Manzoor Colony, Karachi</t>
  </si>
  <si>
    <t>03422579952</t>
  </si>
  <si>
    <t>255/09</t>
  </si>
  <si>
    <t>H # 726, St-21, Sector 32/B, Zia Colony, Korangi</t>
  </si>
  <si>
    <t>03456089069</t>
  </si>
  <si>
    <t>256/09</t>
  </si>
  <si>
    <t>H # A-375, Sector A, Korangi # 6, Karachi</t>
  </si>
  <si>
    <t>03082971192</t>
  </si>
  <si>
    <t>257/09</t>
  </si>
  <si>
    <t>H #1568, Nasir Colony, Korangi, Karachi</t>
  </si>
  <si>
    <t>03072812019</t>
  </si>
  <si>
    <t>258/09</t>
  </si>
  <si>
    <t>Al-Fatah Mosque, Chakra Goth, Korangi</t>
  </si>
  <si>
    <t>03002527220</t>
  </si>
  <si>
    <t>259/09</t>
  </si>
  <si>
    <t>H # 879, Sector 32/D, Korangi 1-1/2, Karachi</t>
  </si>
  <si>
    <t>0215074483</t>
  </si>
  <si>
    <t>260/09</t>
  </si>
  <si>
    <t>H # 3, St # 5, Jamia Farooqui, Zafar Town, Landhi</t>
  </si>
  <si>
    <t>03332167780</t>
  </si>
  <si>
    <t>On Treatment</t>
  </si>
  <si>
    <t>261/09</t>
  </si>
  <si>
    <t>H # 27, Sector A, 5715, Qayumabad, Karachi</t>
  </si>
  <si>
    <t>03452974679</t>
  </si>
  <si>
    <t>Lt. P. effusion</t>
  </si>
  <si>
    <t>262/09</t>
  </si>
  <si>
    <t>H # 5, area  4C, Block 77, Landhi # 6, Karachi</t>
  </si>
  <si>
    <t>03233202457</t>
  </si>
  <si>
    <t>263/09</t>
  </si>
  <si>
    <t>H # 57, Sector 40/C, St # 4, Korangi 1, karachi</t>
  </si>
  <si>
    <t>03023276206</t>
  </si>
  <si>
    <t>264/09</t>
  </si>
  <si>
    <t>H # 167, Sector C, Korangi Crossing Karachi</t>
  </si>
  <si>
    <t>0300</t>
  </si>
  <si>
    <t>265/09</t>
  </si>
  <si>
    <t>Ibrahim Hyderi</t>
  </si>
  <si>
    <t>03442620682</t>
  </si>
  <si>
    <t>Rt. P. Effusion</t>
  </si>
  <si>
    <t>266/09</t>
  </si>
  <si>
    <t>H # R-286, St # 4, Sector A, Akhter Colony, Korangi</t>
  </si>
  <si>
    <t>225/09</t>
  </si>
  <si>
    <t>H # C-89, M, Sec 6E, Mehran Town, Korangi 3</t>
  </si>
  <si>
    <t>0321-397-0236</t>
  </si>
  <si>
    <t>226/09</t>
  </si>
  <si>
    <t>H # 185, 100 Quarter, 50-C, Usmani Town, Korangi</t>
  </si>
  <si>
    <t>0322-341-3554</t>
  </si>
  <si>
    <t>227/09</t>
  </si>
  <si>
    <t>H # 8, Area B, St. 30, Qayyumabad</t>
  </si>
  <si>
    <t>0346-290-9808</t>
  </si>
  <si>
    <t>228/09</t>
  </si>
  <si>
    <t>H # 19, Qayyumabad</t>
  </si>
  <si>
    <t>229/09</t>
  </si>
  <si>
    <t>H # R-166, Korangi 1 1/2</t>
  </si>
  <si>
    <t>230/09</t>
  </si>
  <si>
    <t>H # DCM 99, Landhi</t>
  </si>
  <si>
    <t>0345-243-6991</t>
  </si>
  <si>
    <t>On treatment</t>
  </si>
  <si>
    <t>231/09</t>
  </si>
  <si>
    <t>H # 1459, St. 26, Zia Colony, Korangi 1</t>
  </si>
  <si>
    <t>0345-618-0906</t>
  </si>
  <si>
    <t>232/09</t>
  </si>
  <si>
    <t>Mono DR</t>
  </si>
  <si>
    <t>25/10</t>
  </si>
  <si>
    <t>H # 818, Sector 37, Landhi</t>
  </si>
  <si>
    <t>03232649794</t>
  </si>
  <si>
    <t>26/10</t>
  </si>
  <si>
    <t>H # 525 St 11, Bilal Colony</t>
  </si>
  <si>
    <t>03422874922</t>
  </si>
  <si>
    <t>27/10</t>
  </si>
  <si>
    <t>H # 853, Nasir Colony</t>
  </si>
  <si>
    <t>03002801510</t>
  </si>
  <si>
    <t>28/10</t>
  </si>
  <si>
    <t>03332290103</t>
  </si>
  <si>
    <t>267/09</t>
  </si>
  <si>
    <t>H # A-90, Crossing Karachi</t>
  </si>
  <si>
    <t>03462923303</t>
  </si>
  <si>
    <t>268/09</t>
  </si>
  <si>
    <t>H # Landhi karachi</t>
  </si>
  <si>
    <t>269/09</t>
  </si>
  <si>
    <t>H # 580/81, Sector 32-C, Korangi 1-1/2</t>
  </si>
  <si>
    <t>03453379566</t>
  </si>
  <si>
    <t>270/09</t>
  </si>
  <si>
    <t>H #286, Sector 34/1, Korangi, 3, karachi</t>
  </si>
  <si>
    <t>03332329193</t>
  </si>
  <si>
    <t>271/09</t>
  </si>
  <si>
    <t>H # 519, Sector 511B, Korangi # 6, Karachi</t>
  </si>
  <si>
    <t>03323416328</t>
  </si>
  <si>
    <t>272/09</t>
  </si>
  <si>
    <t>H # 7, St 5, Korangi 6</t>
  </si>
  <si>
    <t>0332804786</t>
  </si>
  <si>
    <t>273/09</t>
  </si>
  <si>
    <t>H #221-0, Sector 35/A, zaman Town, Korangi #4</t>
  </si>
  <si>
    <t>03012295035</t>
  </si>
  <si>
    <t>274/09</t>
  </si>
  <si>
    <t>H # 140, Sector A, Crossing, Karachi</t>
  </si>
  <si>
    <t>03002693488</t>
  </si>
  <si>
    <t>son</t>
  </si>
  <si>
    <t>275/09</t>
  </si>
  <si>
    <t>Allah Wala Msjid, Sector 31/3, Allah wala Town</t>
  </si>
  <si>
    <t>03222549103</t>
  </si>
  <si>
    <t>276/09</t>
  </si>
  <si>
    <t>H # 247, Sehrpao Colony, Landhi, Karachi</t>
  </si>
  <si>
    <t>0343316140</t>
  </si>
  <si>
    <t>brother</t>
  </si>
  <si>
    <t>277/09</t>
  </si>
  <si>
    <t>H #312, awami Ciolony Korangi Induatrial Area</t>
  </si>
  <si>
    <t>03002411088</t>
  </si>
  <si>
    <t>Rt. Pleura</t>
  </si>
  <si>
    <t>278/09</t>
  </si>
  <si>
    <t>H# R-15, Sector 11/C-2, New Karachi</t>
  </si>
  <si>
    <t>03223102409</t>
  </si>
  <si>
    <t>279/09</t>
  </si>
  <si>
    <t>H # L301, Sector 33/D, Korangi # 2</t>
  </si>
  <si>
    <t>03222115141</t>
  </si>
  <si>
    <t>280/09</t>
  </si>
  <si>
    <t>H # 11 1/1, Alnoor Society, Korangi</t>
  </si>
  <si>
    <t>03022468152</t>
  </si>
  <si>
    <t>281/09</t>
  </si>
  <si>
    <t>H # 100, Sector D, Nooram Basti, Korangi 1-1/2</t>
  </si>
  <si>
    <t>282/09</t>
  </si>
  <si>
    <t>H # 38, St # 3, Sector A, qayumabad</t>
  </si>
  <si>
    <t>03333317728</t>
  </si>
  <si>
    <t>283/09</t>
  </si>
  <si>
    <t>H # R-101, Sector R, Korangi 1-1/2</t>
  </si>
  <si>
    <t>0302695986</t>
  </si>
  <si>
    <t>284/09</t>
  </si>
  <si>
    <t>H # C-63/6, S-7, 3, Punjab Colony</t>
  </si>
  <si>
    <t>Cat 1 Failed</t>
  </si>
  <si>
    <t>285/09</t>
  </si>
  <si>
    <t>H # R-59, Korangi # 2</t>
  </si>
  <si>
    <t>03453221092</t>
  </si>
  <si>
    <t>286/09</t>
  </si>
  <si>
    <t>H #296, St # 6, Sector 48/A, Korangi 2-1/2</t>
  </si>
  <si>
    <t>03022164922</t>
  </si>
  <si>
    <t>287/09</t>
  </si>
  <si>
    <t>H # C-03, Sector B, Bhatai Colony</t>
  </si>
  <si>
    <t>03003533820</t>
  </si>
  <si>
    <t>01/10</t>
  </si>
  <si>
    <t>H # D-43, Sector 48/A, Korangi 1-1/2</t>
  </si>
  <si>
    <t>03452757957</t>
  </si>
  <si>
    <t>02/10</t>
  </si>
  <si>
    <t>Al Noor Society, Near Chapa Kaniyana Store, Zia Colony</t>
  </si>
  <si>
    <t>0342-245-4503</t>
  </si>
  <si>
    <t>H # 417, Korangi 2-1/2, Sector 33-B, Karachi</t>
  </si>
  <si>
    <t>H # 76, Sector 33/C, Korangi 2</t>
  </si>
  <si>
    <t>45/10</t>
  </si>
  <si>
    <t>H # Labour Colony, Sec 32/A, Korangi</t>
  </si>
  <si>
    <t>46/10</t>
  </si>
  <si>
    <t>H #, Korangi 1</t>
  </si>
  <si>
    <t>47/10</t>
  </si>
  <si>
    <t>H # L-14, bhatai Colony, Korangi crossing, Karachi</t>
  </si>
  <si>
    <t>03458103427</t>
  </si>
  <si>
    <t>48/10</t>
  </si>
  <si>
    <t>H # 34, Area 361-B, Landhi Karachi</t>
  </si>
  <si>
    <t>49/10</t>
  </si>
  <si>
    <t>H#702, Sector 32-E, nasir Colony</t>
  </si>
  <si>
    <t>50/10</t>
  </si>
  <si>
    <t>H # 417, Sector 33-B, Korangi # 2-1/2</t>
  </si>
  <si>
    <t>51/10</t>
  </si>
  <si>
    <t>H#360,Sector 44/A,Korangi No 6</t>
  </si>
  <si>
    <t>03212636817</t>
  </si>
  <si>
    <t>52/10</t>
  </si>
  <si>
    <t>H #Ashrafululoom sector50/Akorangi</t>
  </si>
  <si>
    <t>03333572291</t>
  </si>
  <si>
    <t>53/10</t>
  </si>
  <si>
    <t>H #F/25KPTS colony Landhi</t>
  </si>
  <si>
    <t>03422843762</t>
  </si>
  <si>
    <t>Rt. P. effusion</t>
  </si>
  <si>
    <t>54/10</t>
  </si>
  <si>
    <t>H # 750, Sec 32/A, Zia Colony, Korangi</t>
  </si>
  <si>
    <t>03003627976</t>
  </si>
  <si>
    <t>03/10</t>
  </si>
  <si>
    <t>H # 19, St 14, Area B, Qayumabad</t>
  </si>
  <si>
    <t>03012684815</t>
  </si>
  <si>
    <t>04/10</t>
  </si>
  <si>
    <t>H # C-55, Qazzafi Town Landhi</t>
  </si>
  <si>
    <t>03448389213</t>
  </si>
  <si>
    <t>05/10</t>
  </si>
  <si>
    <t>H 3 23 st 17/A, Qayyumabad</t>
  </si>
  <si>
    <t>02137800134</t>
  </si>
  <si>
    <t>8 AFB</t>
  </si>
  <si>
    <t>06/10</t>
  </si>
  <si>
    <t>H # 829, Sec D Korangi 5-1/2</t>
  </si>
  <si>
    <t>03332327429</t>
  </si>
  <si>
    <t>07/10</t>
  </si>
  <si>
    <t>H # 125, Qayumabad Korangi</t>
  </si>
  <si>
    <t>08/10</t>
  </si>
  <si>
    <t>H #</t>
  </si>
  <si>
    <t>09/10</t>
  </si>
  <si>
    <t>H # 1260, Sector 33/C, Korangi 2</t>
  </si>
  <si>
    <t>03423755448</t>
  </si>
  <si>
    <t>10/10</t>
  </si>
  <si>
    <t>H # 218, Sector A Crossing, Korangi</t>
  </si>
  <si>
    <t>03422663240</t>
  </si>
  <si>
    <t>11/10</t>
  </si>
  <si>
    <t>H #B-298, Sec B Quaidabad, Landhi</t>
  </si>
  <si>
    <t>03003337802</t>
  </si>
  <si>
    <t>12/10</t>
  </si>
  <si>
    <t>992, Sec, Korangi Nasir Colony</t>
  </si>
  <si>
    <t>03462393674</t>
  </si>
  <si>
    <t>13/10</t>
  </si>
  <si>
    <t>H # D-7, l # 11, Gulshan-e-Iqbal</t>
  </si>
  <si>
    <t>03349758368</t>
  </si>
  <si>
    <t>14/10</t>
  </si>
  <si>
    <t>H # 56, Korangi # 6</t>
  </si>
  <si>
    <t>030126030034</t>
  </si>
  <si>
    <t>15/10</t>
  </si>
  <si>
    <t>H # 30518, Sector B, Qayumabad</t>
  </si>
  <si>
    <t>16/10</t>
  </si>
  <si>
    <t>H # R-34, Lines Area</t>
  </si>
  <si>
    <t>032112074398</t>
  </si>
  <si>
    <t>17/10</t>
  </si>
  <si>
    <t>H # 3, Korangi</t>
  </si>
  <si>
    <t>03032235991</t>
  </si>
  <si>
    <t>18/10</t>
  </si>
  <si>
    <t>H # 186, St # 02, Mustafa Taj Colony Korangi 2-1/2</t>
  </si>
  <si>
    <t>03032778371</t>
  </si>
  <si>
    <t>19/10</t>
  </si>
  <si>
    <t>H # R100, Korangi</t>
  </si>
  <si>
    <t>02136945750</t>
  </si>
  <si>
    <t>20/10</t>
  </si>
  <si>
    <t>H # st Zia Colony</t>
  </si>
  <si>
    <t>03022437541</t>
  </si>
  <si>
    <t>21/10</t>
  </si>
  <si>
    <t>H # 27/40, Area 6, Landhi, Karachi</t>
  </si>
  <si>
    <t>Lt. Plural Effusion</t>
  </si>
  <si>
    <t>22/10</t>
  </si>
  <si>
    <t xml:space="preserve">H # 1251 St 1, Essa Nagri </t>
  </si>
  <si>
    <t>03472081069</t>
  </si>
  <si>
    <t>23/10</t>
  </si>
  <si>
    <t>H # F 116, Sec 5, Korangi</t>
  </si>
  <si>
    <t>03032154810</t>
  </si>
  <si>
    <t>24/10</t>
  </si>
  <si>
    <t>H # Future Colony, Landhi Town</t>
  </si>
  <si>
    <t>H # 110, Rehri Goth, Landhi</t>
  </si>
  <si>
    <t>03223264163</t>
  </si>
  <si>
    <t>64/10</t>
  </si>
  <si>
    <t xml:space="preserve">H # 387, Sector NO 108, Drigh Road </t>
  </si>
  <si>
    <t>65/10</t>
  </si>
  <si>
    <t xml:space="preserve">H # 434, Korangi </t>
  </si>
  <si>
    <t>03452315917</t>
  </si>
  <si>
    <t>66/10</t>
  </si>
  <si>
    <t>H # 159, Sector D, Korangi, PM colony</t>
  </si>
  <si>
    <t>67/10</t>
  </si>
  <si>
    <t>H#1292 sector 33/c korangi 2</t>
  </si>
  <si>
    <t>03222276318</t>
  </si>
  <si>
    <t>0ther</t>
  </si>
  <si>
    <t>68/10</t>
  </si>
  <si>
    <t>Bhitai colony ibrahim haidery</t>
  </si>
  <si>
    <t>69/10</t>
  </si>
  <si>
    <t>03453018255</t>
  </si>
  <si>
    <t>70/10</t>
  </si>
  <si>
    <t>29 sector 34/a korangi 3</t>
  </si>
  <si>
    <t>03232143683</t>
  </si>
  <si>
    <t>Transfer Out to Chakina Center</t>
  </si>
  <si>
    <t>71/10</t>
  </si>
  <si>
    <t>H # B 240 area b korangi 6</t>
  </si>
  <si>
    <t>03332266864</t>
  </si>
  <si>
    <t>72/10</t>
  </si>
  <si>
    <t>H # d 114/1 Malir</t>
  </si>
  <si>
    <t>03222131832</t>
  </si>
  <si>
    <t>73/10</t>
  </si>
  <si>
    <t>H # 101 sec B drig road</t>
  </si>
  <si>
    <t>03002160559</t>
  </si>
  <si>
    <t>74/10</t>
  </si>
  <si>
    <t>H # 77 Area f36 landhi</t>
  </si>
  <si>
    <t>03312438256</t>
  </si>
  <si>
    <t>Rt breast</t>
  </si>
  <si>
    <t>75/10</t>
  </si>
  <si>
    <t>H # 166 sec 48 c korangi</t>
  </si>
  <si>
    <t>76/10</t>
  </si>
  <si>
    <t>sher pass near husaini Korangi</t>
  </si>
  <si>
    <t>03343281763</t>
  </si>
  <si>
    <t>77/10</t>
  </si>
  <si>
    <t>Reahri goth landhi</t>
  </si>
  <si>
    <t>03422355727</t>
  </si>
  <si>
    <t>Lt . Node</t>
  </si>
  <si>
    <t>78/10</t>
  </si>
  <si>
    <t>Area c no 1 qayyumabad</t>
  </si>
  <si>
    <t>03002886120</t>
  </si>
  <si>
    <t>79/10</t>
  </si>
  <si>
    <t>H # 606 sec l J P M C Karachi</t>
  </si>
  <si>
    <t>80/10</t>
  </si>
  <si>
    <t>H # 572/N Allah Wala Town Main Korangi</t>
  </si>
  <si>
    <t>03343377638</t>
  </si>
  <si>
    <t>29/10</t>
  </si>
  <si>
    <t>H # 3311, area 2-B, Landhi</t>
  </si>
  <si>
    <t>30/10</t>
  </si>
  <si>
    <t>H # B 252, qazzafi town Landhi</t>
  </si>
  <si>
    <t>03438716315</t>
  </si>
  <si>
    <t>31/10</t>
  </si>
  <si>
    <t>H # 322, Sector 32/B, Korangi</t>
  </si>
  <si>
    <t>03232214094</t>
  </si>
  <si>
    <t>32/10</t>
  </si>
  <si>
    <t>H # 33B Korangi 2</t>
  </si>
  <si>
    <t>33/10</t>
  </si>
  <si>
    <t>H # Sec 5-1/C Korangi 106, Rajput Colony</t>
  </si>
  <si>
    <t>03062045602</t>
  </si>
  <si>
    <t>34/10</t>
  </si>
  <si>
    <t>H # O-169, Korangi 3-1/2</t>
  </si>
  <si>
    <t>03232039710</t>
  </si>
  <si>
    <t>35/10</t>
  </si>
  <si>
    <t>H # 283, Sector H, Manzoor Colony</t>
  </si>
  <si>
    <t>03452806953</t>
  </si>
  <si>
    <t>36/10</t>
  </si>
  <si>
    <t>H # S 72, Sector B Akhter Colony</t>
  </si>
  <si>
    <t>37/10</t>
  </si>
  <si>
    <t>H # 20, Sector 32/F, Nasir Colony, Korangi</t>
  </si>
  <si>
    <t>38/10</t>
  </si>
  <si>
    <t>H # 441, Landhi Karachi</t>
  </si>
  <si>
    <t>03142054242</t>
  </si>
  <si>
    <t>39/10</t>
  </si>
  <si>
    <t>H # 777, Sector 32/C, Korangi No1</t>
  </si>
  <si>
    <t>03332051820</t>
  </si>
  <si>
    <t>40/10</t>
  </si>
  <si>
    <t>H # 234, Sec 35/A, Korangi 3</t>
  </si>
  <si>
    <t>41/10</t>
  </si>
  <si>
    <t>H # Sec 19, Sec 3-1/2, PNT Society, Korangi</t>
  </si>
  <si>
    <t>03312109425</t>
  </si>
  <si>
    <t>42/10</t>
  </si>
  <si>
    <t>H # 2/348, Ghadah Chowk, Liaqatabad</t>
  </si>
  <si>
    <t>03002787426</t>
  </si>
  <si>
    <t>43/10</t>
  </si>
  <si>
    <t>H 3 114, Bl C, Quaidabad</t>
  </si>
  <si>
    <t>03462535127</t>
  </si>
  <si>
    <t>44/10</t>
  </si>
  <si>
    <t>85/10</t>
  </si>
  <si>
    <t>H # E 126 sec 50 c Korangi 100</t>
  </si>
  <si>
    <t>86/10</t>
  </si>
  <si>
    <t>Maseehi basti sabzi mandi old</t>
  </si>
  <si>
    <t>03007016657</t>
  </si>
  <si>
    <t xml:space="preserve"> Cold Abcess</t>
  </si>
  <si>
    <t>87/10</t>
  </si>
  <si>
    <t>H # 6126, Sec F, Manzoor Colony</t>
  </si>
  <si>
    <t>03213846225</t>
  </si>
  <si>
    <t>88/10</t>
  </si>
  <si>
    <t>H # AR 11, koirangi 1-1/2</t>
  </si>
  <si>
    <t>03218745987</t>
  </si>
  <si>
    <t>89/10</t>
  </si>
  <si>
    <t>H # 380, Sec B Bhatai Colony</t>
  </si>
  <si>
    <t>03233280872</t>
  </si>
  <si>
    <t>90/10</t>
  </si>
  <si>
    <t>H # D-626, SecD Korangi 5-1/2</t>
  </si>
  <si>
    <t>91/10</t>
  </si>
  <si>
    <t>H # 851, Sec CH, Mehran Town Korangi</t>
  </si>
  <si>
    <t>03323748321</t>
  </si>
  <si>
    <t>Lt. Elbow Joint</t>
  </si>
  <si>
    <t>92/10</t>
  </si>
  <si>
    <t>H # 5-29,Qayumabad</t>
  </si>
  <si>
    <t>93/10</t>
  </si>
  <si>
    <t>H # 199/5 PAF base Crossing</t>
  </si>
  <si>
    <t>03012914431</t>
  </si>
  <si>
    <t>94/10</t>
  </si>
  <si>
    <t>H # 48, Area S, sec 70, Korangi</t>
  </si>
  <si>
    <t>95/10</t>
  </si>
  <si>
    <t>Korangi 2-1/2</t>
  </si>
  <si>
    <t>96/10</t>
  </si>
  <si>
    <t>H # 126, Goth No 8, Bhamir Colony Landhi</t>
  </si>
  <si>
    <t>97/10</t>
  </si>
  <si>
    <t>h # 31, Sec 33/B, orangi # 2</t>
  </si>
  <si>
    <t>03213857513</t>
  </si>
  <si>
    <t>98/10</t>
  </si>
  <si>
    <t>H # 490 sec C, Bhatai Colony</t>
  </si>
  <si>
    <t>03063209574</t>
  </si>
  <si>
    <t>99/10</t>
  </si>
  <si>
    <t>H # 115, Sec G, Bhatai Colony, Koramgi</t>
  </si>
  <si>
    <t>03003739568</t>
  </si>
  <si>
    <t>Hip Joint</t>
  </si>
  <si>
    <t>100/10</t>
  </si>
  <si>
    <t xml:space="preserve">H # 302, Sec A, 51-9, Crossing </t>
  </si>
  <si>
    <t>03002959864</t>
  </si>
  <si>
    <t>101/10</t>
  </si>
  <si>
    <t>H # 1268, Sec 48/D, Korangi No 2-1/2</t>
  </si>
  <si>
    <t>03082172927</t>
  </si>
  <si>
    <t>102/10</t>
  </si>
  <si>
    <t>H # S-551, Area S, Korangi 1</t>
  </si>
  <si>
    <t>03322155294</t>
  </si>
  <si>
    <t>103/10</t>
  </si>
  <si>
    <t>H # 450, S-7-6, Sec B Akhyer Colony</t>
  </si>
  <si>
    <t>03452865944</t>
  </si>
  <si>
    <t>104/10</t>
  </si>
  <si>
    <t>H # 227, S7-7 sec 30/A, Atif Town, Korangi</t>
  </si>
  <si>
    <t>03004240275</t>
  </si>
  <si>
    <t>105/10</t>
  </si>
  <si>
    <t>H # 101, Nasir Tpwn, Korangi</t>
  </si>
  <si>
    <t>03313454361</t>
  </si>
  <si>
    <t>106/10</t>
  </si>
  <si>
    <t>H # H-19, Area 36/E, Korangi 6</t>
  </si>
  <si>
    <t>107/10</t>
  </si>
  <si>
    <t>H # G268, Awami colony Korangi</t>
  </si>
  <si>
    <t>03052343117</t>
  </si>
  <si>
    <t>55/10</t>
  </si>
  <si>
    <t>H # 10-5 area A-5, Dehli Colony, Karachi</t>
  </si>
  <si>
    <t>56/10</t>
  </si>
  <si>
    <t>H# H118, Mihalla 100, Korangi</t>
  </si>
  <si>
    <t>57/10</t>
  </si>
  <si>
    <t>H # E-24/11, Jamsheed Town Manzoor Colony</t>
  </si>
  <si>
    <t>03219215887</t>
  </si>
  <si>
    <t>58/10</t>
  </si>
  <si>
    <t xml:space="preserve"> H # 353, Sector 60-B, Korangi No 100</t>
  </si>
  <si>
    <t>03443044257</t>
  </si>
  <si>
    <t>59/10</t>
  </si>
  <si>
    <t>H # Rabnawaz Colony, Block # 9 Cantt</t>
  </si>
  <si>
    <t>03443033179</t>
  </si>
  <si>
    <t>60/10</t>
  </si>
  <si>
    <t>H # 448, Sector B, Bhatai Colony</t>
  </si>
  <si>
    <t>03022962721</t>
  </si>
  <si>
    <t>61/10</t>
  </si>
  <si>
    <t>H # 104, Sector 48/A Korangi No 2</t>
  </si>
  <si>
    <t>03002871871</t>
  </si>
  <si>
    <t>62/10</t>
  </si>
  <si>
    <t>33-B, Sector, H# B-469, Korangi</t>
  </si>
  <si>
    <t>03462529828</t>
  </si>
  <si>
    <t>63/10</t>
  </si>
  <si>
    <t>03443015693</t>
  </si>
  <si>
    <t>159/10</t>
  </si>
  <si>
    <t>H # 1229, Sector No B, St # 4, Kashmir Colony</t>
  </si>
  <si>
    <t>03453408140</t>
  </si>
  <si>
    <t>160/10</t>
  </si>
  <si>
    <t>H # 774, Akhter Colony</t>
  </si>
  <si>
    <t>H # 385, Sec H, Manzoor Colony</t>
  </si>
  <si>
    <t>108/10</t>
  </si>
  <si>
    <t>H # E-442, Sec 10, Orangi Town</t>
  </si>
  <si>
    <t>03212192766</t>
  </si>
  <si>
    <t>109/10</t>
  </si>
  <si>
    <t>H # 470 Sec 45/A, Zia Colony Korangi</t>
  </si>
  <si>
    <t>03083231384</t>
  </si>
  <si>
    <t>110/10</t>
  </si>
  <si>
    <t>H # D-243, Landhi</t>
  </si>
  <si>
    <t>111/10</t>
  </si>
  <si>
    <t>H # 819, Sec R, Korangi, 1-1/2</t>
  </si>
  <si>
    <t>112/10</t>
  </si>
  <si>
    <t>H # 219, Area, K, Korangi, 1-1/2</t>
  </si>
  <si>
    <t>113/10</t>
  </si>
  <si>
    <t>H # 1295/96, Sher pao colony, Landhi</t>
  </si>
  <si>
    <t>03002318393</t>
  </si>
  <si>
    <t>114/10</t>
  </si>
  <si>
    <t>H # 176, Korangi No. 4</t>
  </si>
  <si>
    <t>03142751481</t>
  </si>
  <si>
    <t>115/10</t>
  </si>
  <si>
    <t>H # 746- Sec31/B, Allah Wala Tower</t>
  </si>
  <si>
    <t>03002379950</t>
  </si>
  <si>
    <t>116/10</t>
  </si>
  <si>
    <t>117/10</t>
  </si>
  <si>
    <t>H # 111, Korangi P&amp;T Colony</t>
  </si>
  <si>
    <t>03333315072</t>
  </si>
  <si>
    <t>118/10</t>
  </si>
  <si>
    <t>03462177642</t>
  </si>
  <si>
    <t>119/10</t>
  </si>
  <si>
    <t>H # 166, Sec 32/D, Nasir Colony, Korangi</t>
  </si>
  <si>
    <t>03442263592</t>
  </si>
  <si>
    <t>120/10</t>
  </si>
  <si>
    <t>H # 735, Korangi 4</t>
  </si>
  <si>
    <t>121/10</t>
  </si>
  <si>
    <t>H # 406, Sec 35/C, Korangi 3-1/2</t>
  </si>
  <si>
    <t>122/10</t>
  </si>
  <si>
    <t>H # Y-44, Sec 40/C, Korangi</t>
  </si>
  <si>
    <t>03052483528</t>
  </si>
  <si>
    <t>123/10</t>
  </si>
  <si>
    <t>H # 53, Liari Town Lyari</t>
  </si>
  <si>
    <t>03328215235</t>
  </si>
  <si>
    <t>124/10</t>
  </si>
  <si>
    <t>H # E110, Area E Korangi</t>
  </si>
  <si>
    <t>03456071982</t>
  </si>
  <si>
    <t>125/10</t>
  </si>
  <si>
    <t>H # 464, Sabzi mandi</t>
  </si>
  <si>
    <t>03003682984</t>
  </si>
  <si>
    <t>126/10</t>
  </si>
  <si>
    <t>House # 89, Landhi , H # 144</t>
  </si>
  <si>
    <t>03432885143</t>
  </si>
  <si>
    <t>127/10</t>
  </si>
  <si>
    <t>Korangi Crossing, Allah Wala Town</t>
  </si>
  <si>
    <t>03212155153</t>
  </si>
  <si>
    <t>128/10</t>
  </si>
  <si>
    <t>H # FS 30/12, Malir Colony</t>
  </si>
  <si>
    <t>03453182834</t>
  </si>
  <si>
    <t>129/10</t>
  </si>
  <si>
    <t xml:space="preserve">H # H387, Drigh Road </t>
  </si>
  <si>
    <t>130/10</t>
  </si>
  <si>
    <t>H # Dawood Chowrangi, Landhi</t>
  </si>
  <si>
    <t>03052320524</t>
  </si>
  <si>
    <t>131/10</t>
  </si>
  <si>
    <t>H # N.284, Korangi # 3-1/2</t>
  </si>
  <si>
    <t>03462804178</t>
  </si>
  <si>
    <t>132/10</t>
  </si>
  <si>
    <t>H # L-23, St # 1-A, Korangi Crossing</t>
  </si>
  <si>
    <t>03002855053</t>
  </si>
  <si>
    <t>133/10</t>
  </si>
  <si>
    <t>H # 475, Sector # Bhatai Colony, Crossing</t>
  </si>
  <si>
    <t>03012290135</t>
  </si>
  <si>
    <t>134/10</t>
  </si>
  <si>
    <t xml:space="preserve">H # Mohajir Camp, Baldia </t>
  </si>
  <si>
    <t>03343223364</t>
  </si>
  <si>
    <t>135/10</t>
  </si>
  <si>
    <t>H # 521 sec 32/B Korangi 1-1/2</t>
  </si>
  <si>
    <t>81/10</t>
  </si>
  <si>
    <t>H # 133 baldia</t>
  </si>
  <si>
    <t>03223756165</t>
  </si>
  <si>
    <t>82/10</t>
  </si>
  <si>
    <t>H # 46 area no 2 landhi</t>
  </si>
  <si>
    <t>83/10</t>
  </si>
  <si>
    <t>H # 140 sec 8 c bilal colony</t>
  </si>
  <si>
    <t>03312858601</t>
  </si>
  <si>
    <t>84/10</t>
  </si>
  <si>
    <t>H # 275 sec 48 a korangi</t>
  </si>
  <si>
    <t>H # 152, Sec 34/2, Korangi # 3</t>
  </si>
  <si>
    <t>03232827311</t>
  </si>
  <si>
    <t>181/10</t>
  </si>
  <si>
    <t>H # 188, St # 08, Zia Colony</t>
  </si>
  <si>
    <t>03083584423</t>
  </si>
  <si>
    <t>182/10</t>
  </si>
  <si>
    <t>Korangi No 3-1/2</t>
  </si>
  <si>
    <t>03453493755</t>
  </si>
  <si>
    <t>L.Node</t>
  </si>
  <si>
    <t>183/10</t>
  </si>
  <si>
    <t>H # L-385, Sec L, Korangi</t>
  </si>
  <si>
    <t>03002627761</t>
  </si>
  <si>
    <t>184/10</t>
  </si>
  <si>
    <t>H # 2, St # 25</t>
  </si>
  <si>
    <t>185/10</t>
  </si>
  <si>
    <t>H # 82/8 Sec 5-D, New Karachi</t>
  </si>
  <si>
    <t>03432121342</t>
  </si>
  <si>
    <t>186/10</t>
  </si>
  <si>
    <t>H # Zia Colony Korangi</t>
  </si>
  <si>
    <t>03323354857</t>
  </si>
  <si>
    <t>187/10</t>
  </si>
  <si>
    <t>H # 144/5, Sector G, New Khi</t>
  </si>
  <si>
    <t>03122153756</t>
  </si>
  <si>
    <t>188/10</t>
  </si>
  <si>
    <t xml:space="preserve">H # st # 14, Dehli Colony </t>
  </si>
  <si>
    <t>H # R-140, KDA Korangi</t>
  </si>
  <si>
    <t>136/10</t>
  </si>
  <si>
    <t>Shamim Manzil Bhatai Colony</t>
  </si>
  <si>
    <t>03009319823</t>
  </si>
  <si>
    <t>137/10</t>
  </si>
  <si>
    <t>138/10</t>
  </si>
  <si>
    <t>H # 79, Manzoor Colony</t>
  </si>
  <si>
    <t>03002133667</t>
  </si>
  <si>
    <t>139/10</t>
  </si>
  <si>
    <t>H # 227, Sector 7, st 7, 30/A, Altaf Town</t>
  </si>
  <si>
    <t>03004240975</t>
  </si>
  <si>
    <t>140/10</t>
  </si>
  <si>
    <t>H # 230, Sector 72/3, Qayumabad</t>
  </si>
  <si>
    <t>03422228612</t>
  </si>
  <si>
    <t>141/10</t>
  </si>
  <si>
    <t>H # 705, Crossing, Al-Ghousia Town</t>
  </si>
  <si>
    <t>03155946893</t>
  </si>
  <si>
    <t>142/10</t>
  </si>
  <si>
    <t>H # 314, sector 321/A, S-7, N, Korangi</t>
  </si>
  <si>
    <t>03422454495</t>
  </si>
  <si>
    <t>143/10</t>
  </si>
  <si>
    <t>H # 1/2, Korangi</t>
  </si>
  <si>
    <t>144/10</t>
  </si>
  <si>
    <t>H # new abadi korangi crossing</t>
  </si>
  <si>
    <t>03332276917</t>
  </si>
  <si>
    <t>145/10</t>
  </si>
  <si>
    <t>H # Landhi, Zafar Town , Karachi</t>
  </si>
  <si>
    <t>146/10</t>
  </si>
  <si>
    <t>H # 21, Sector F, Manzoor Colony</t>
  </si>
  <si>
    <t>03223799058</t>
  </si>
  <si>
    <t>147/10</t>
  </si>
  <si>
    <t>H # 155, Sector C Bhatai Colony</t>
  </si>
  <si>
    <t>148/10</t>
  </si>
  <si>
    <t>H # Zia Colony, Sector 32/A, Sheet No 10, Korangi</t>
  </si>
  <si>
    <t>03005536182</t>
  </si>
  <si>
    <t>Empyema</t>
  </si>
  <si>
    <t>149/10</t>
  </si>
  <si>
    <t>H # 278, Nasir Colony, Korangi No 1</t>
  </si>
  <si>
    <t>150/10</t>
  </si>
  <si>
    <t>H # 274, Sector 33/F, Korangi No 2</t>
  </si>
  <si>
    <t>03456071609</t>
  </si>
  <si>
    <t>151/10</t>
  </si>
  <si>
    <t>H # A, 32, 59, Phase 2, Gulshan-e-Hadid</t>
  </si>
  <si>
    <t>152/10</t>
  </si>
  <si>
    <t>H # Chamra Chowrangi, Korangi</t>
  </si>
  <si>
    <t>03037617702</t>
  </si>
  <si>
    <t>153/10</t>
  </si>
  <si>
    <t>H # 387, Koorangi 1-1/2</t>
  </si>
  <si>
    <t>03222043980</t>
  </si>
  <si>
    <t>154/10</t>
  </si>
  <si>
    <t>H # 1578, St # 24, Zia Colony</t>
  </si>
  <si>
    <t>155/10</t>
  </si>
  <si>
    <t>H # Zaheer Square, Korangi</t>
  </si>
  <si>
    <t>03002441230</t>
  </si>
  <si>
    <t>156/10</t>
  </si>
  <si>
    <t>H # 17, Nasir Colony, Sector 32-E, Koranbgi</t>
  </si>
  <si>
    <t>03073946569</t>
  </si>
  <si>
    <t>157/10</t>
  </si>
  <si>
    <t>H # 367, St No 4, Sector 32/A, Korangi</t>
  </si>
  <si>
    <t>03332223070</t>
  </si>
  <si>
    <t>Cold abscess</t>
  </si>
  <si>
    <t>158/10</t>
  </si>
  <si>
    <t>h # 39, Sector 48/C, Kotrangi No 20-1/2</t>
  </si>
  <si>
    <t>H # 498, Bhattai Colony, Sector E, Korangi Crossing</t>
  </si>
  <si>
    <t>03022715440</t>
  </si>
  <si>
    <t>201/10</t>
  </si>
  <si>
    <t>H # 168, Sec 32/E</t>
  </si>
  <si>
    <t>03433436956</t>
  </si>
  <si>
    <t>202/10</t>
  </si>
  <si>
    <t>Azam Basti</t>
  </si>
  <si>
    <t>203/10</t>
  </si>
  <si>
    <t>Manzoor Colony</t>
  </si>
  <si>
    <t>03003368670</t>
  </si>
  <si>
    <t>204/10</t>
  </si>
  <si>
    <t xml:space="preserve">H # 375, Sector F Bhatai </t>
  </si>
  <si>
    <t>205/10</t>
  </si>
  <si>
    <t>H # Area Mohd Nazer Adamjee Road Crossing</t>
  </si>
  <si>
    <t>03462900500</t>
  </si>
  <si>
    <t>206/10</t>
  </si>
  <si>
    <t>H # 555, St # 8, Kashmir Colony</t>
  </si>
  <si>
    <t>03462097456</t>
  </si>
  <si>
    <t>207/10</t>
  </si>
  <si>
    <t>H # 375, St 05, Essa nagar Gulshan</t>
  </si>
  <si>
    <t>208/10</t>
  </si>
  <si>
    <t>H # H 8, TP@ staff colony Mehmoodabad</t>
  </si>
  <si>
    <t>209/10</t>
  </si>
  <si>
    <t>H # 620, No 3, Korangi</t>
  </si>
  <si>
    <t>210/10</t>
  </si>
  <si>
    <t>211/10</t>
  </si>
  <si>
    <t>H # 279, A. St 3, Hijrat Colony</t>
  </si>
  <si>
    <t>212/10</t>
  </si>
  <si>
    <t>Qazi Ahmed nawal Shah</t>
  </si>
  <si>
    <t>213/10</t>
  </si>
  <si>
    <t>H # N/87, Sec 481 B, Korangi No 2-1/2</t>
  </si>
  <si>
    <t>03135092557</t>
  </si>
  <si>
    <t>214/10</t>
  </si>
  <si>
    <t>H # 14/1, Malir</t>
  </si>
  <si>
    <t>02133092557</t>
  </si>
  <si>
    <t>215/10</t>
  </si>
  <si>
    <t xml:space="preserve">H # 156 Sec </t>
  </si>
  <si>
    <t>03422204730</t>
  </si>
  <si>
    <t>216/10</t>
  </si>
  <si>
    <t>H # 156 Sec A, Bhatai Colony</t>
  </si>
  <si>
    <t>03453188146</t>
  </si>
  <si>
    <t>161/10</t>
  </si>
  <si>
    <t>H#09.5th floor sadar Mayfair</t>
  </si>
  <si>
    <t>03002457493</t>
  </si>
  <si>
    <t>162/10</t>
  </si>
  <si>
    <t>H # sec 3/B Korangi nasir colony</t>
  </si>
  <si>
    <t>03323291901</t>
  </si>
  <si>
    <t>163/10</t>
  </si>
  <si>
    <t>H # Korangi</t>
  </si>
  <si>
    <t>03002097201</t>
  </si>
  <si>
    <t>164/10</t>
  </si>
  <si>
    <t>H # 811nasir colony Korangi</t>
  </si>
  <si>
    <t>0213456529</t>
  </si>
  <si>
    <t>165/10</t>
  </si>
  <si>
    <t>H # K 11 Korangi</t>
  </si>
  <si>
    <t>166/10</t>
  </si>
  <si>
    <t>H # Sec 48/A Korangi</t>
  </si>
  <si>
    <t>167/10</t>
  </si>
  <si>
    <t>H # 119.Sec 48/A Korangi</t>
  </si>
  <si>
    <t>168/10</t>
  </si>
  <si>
    <t>H # 1;-2 Sec 33/c Korangi 2-1/2</t>
  </si>
  <si>
    <t>169/10</t>
  </si>
  <si>
    <t>H # 100 Quarter 36-/1 korangi</t>
  </si>
  <si>
    <t>03422382619</t>
  </si>
  <si>
    <t>170/10</t>
  </si>
  <si>
    <t>H # 232-Area 37/A Shah khalid colony</t>
  </si>
  <si>
    <t>03452583050</t>
  </si>
  <si>
    <t>171/10</t>
  </si>
  <si>
    <t>H # 358 Gulshan-e mustufa</t>
  </si>
  <si>
    <t>172/10</t>
  </si>
  <si>
    <t>H # C-202, Sector 40/C, Korangi 1-1/2</t>
  </si>
  <si>
    <t>173/10</t>
  </si>
  <si>
    <t>H # 288, Sec # 6, Safraz Colony</t>
  </si>
  <si>
    <t>03333913738</t>
  </si>
  <si>
    <t>174/10</t>
  </si>
  <si>
    <t>Marium Colony, Korangi</t>
  </si>
  <si>
    <t>03002812952</t>
  </si>
  <si>
    <t>175/10</t>
  </si>
  <si>
    <t>H # H-*, Arae 27/B, Landhi</t>
  </si>
  <si>
    <t>03448484109</t>
  </si>
  <si>
    <t>176/10</t>
  </si>
  <si>
    <t xml:space="preserve">H # Fl # 9, Gulshan </t>
  </si>
  <si>
    <t>03008208261</t>
  </si>
  <si>
    <t>177/10</t>
  </si>
  <si>
    <t>H # B-586, Bhatai Colony, Korangi Crossing</t>
  </si>
  <si>
    <t>03212820778</t>
  </si>
  <si>
    <t>178/10</t>
  </si>
  <si>
    <t>H # 319, Sec 7/6, Mal Area Korangi</t>
  </si>
  <si>
    <t>179/10</t>
  </si>
  <si>
    <t xml:space="preserve">H # Bilal Colony, Korangi </t>
  </si>
  <si>
    <t>180/10</t>
  </si>
  <si>
    <t>H # 653, Sec 33-D, Korangi 2-1/2</t>
  </si>
  <si>
    <t>03343407550</t>
  </si>
  <si>
    <t>223/10</t>
  </si>
  <si>
    <t>H # 380, Sec 41/B, Korangi 2-1/2</t>
  </si>
  <si>
    <t>224/10</t>
  </si>
  <si>
    <t>H # B49, Korangi 2-1/2</t>
  </si>
  <si>
    <t>225/10</t>
  </si>
  <si>
    <t>H # 44, Sec 36/C, Korangi 5</t>
  </si>
  <si>
    <t>03213831338</t>
  </si>
  <si>
    <t>226/10</t>
  </si>
  <si>
    <t>H # 114, Sec 35-B, Korangi</t>
  </si>
  <si>
    <t>03232138704</t>
  </si>
  <si>
    <t>227/10</t>
  </si>
  <si>
    <t>H # 627, Area K korangi 5</t>
  </si>
  <si>
    <t>03462859241</t>
  </si>
  <si>
    <t>Ocult</t>
  </si>
  <si>
    <t>228/10</t>
  </si>
  <si>
    <t>03343926649</t>
  </si>
  <si>
    <t>229/10</t>
  </si>
  <si>
    <t>H # 195, St 07, Sec C, Bhatai Colony</t>
  </si>
  <si>
    <t>230/10</t>
  </si>
  <si>
    <t>H # 999, Sec 51 C, Korangi</t>
  </si>
  <si>
    <t>231/10</t>
  </si>
  <si>
    <t>H # A/30, Landhi</t>
  </si>
  <si>
    <t>232/10</t>
  </si>
  <si>
    <t>H # E-110, Sec 50/C, Korangi</t>
  </si>
  <si>
    <t>03212903918</t>
  </si>
  <si>
    <t>233/10</t>
  </si>
  <si>
    <t>H # 1717, Block 21/B, Sec 32-A, Zia Colony</t>
  </si>
  <si>
    <t>03343640855</t>
  </si>
  <si>
    <t>234/10</t>
  </si>
  <si>
    <t>H # 60, Sec 48/F, St 6, Korangi</t>
  </si>
  <si>
    <t>235/10</t>
  </si>
  <si>
    <t>H # 235, Area J-1, Korangi-5</t>
  </si>
  <si>
    <t>03002338951</t>
  </si>
  <si>
    <t>236/10</t>
  </si>
  <si>
    <t>H # 3407, Korangi</t>
  </si>
  <si>
    <t>237/10</t>
  </si>
  <si>
    <t>H # 2B, St 13, Manzoor Colony</t>
  </si>
  <si>
    <t>03336902764</t>
  </si>
  <si>
    <t>238/10</t>
  </si>
  <si>
    <t>H # 13 Sec 32/E Nasir Colony</t>
  </si>
  <si>
    <t>left Pl Effusioin</t>
  </si>
  <si>
    <t>239/10</t>
  </si>
  <si>
    <t>H # 176, st 5, sec 30/A, Altaf Town</t>
  </si>
  <si>
    <t>240/10</t>
  </si>
  <si>
    <t>H # Razi Goth Ibrahim Hyderi</t>
  </si>
  <si>
    <t>03333890683</t>
  </si>
  <si>
    <t>241/10</t>
  </si>
  <si>
    <t>H # 35, Sec 48/F, Korangi</t>
  </si>
  <si>
    <t>242/10</t>
  </si>
  <si>
    <t>H # 665, Area 37/B, Landhi</t>
  </si>
  <si>
    <t>ly node</t>
  </si>
  <si>
    <t>243/10</t>
  </si>
  <si>
    <t>H # L-12, Sec-8/c, Korangi 2-1/2</t>
  </si>
  <si>
    <t>03443156719</t>
  </si>
  <si>
    <t>244/10</t>
  </si>
  <si>
    <t>03337001779</t>
  </si>
  <si>
    <t>Rt. Knee</t>
  </si>
  <si>
    <t>189/10</t>
  </si>
  <si>
    <t>H # 15, St # 19, Mehmoodabad, Khi</t>
  </si>
  <si>
    <t>190/10</t>
  </si>
  <si>
    <t xml:space="preserve">H # 1317, sec 31/B, Crossing </t>
  </si>
  <si>
    <t>03343464060</t>
  </si>
  <si>
    <t>191/10</t>
  </si>
  <si>
    <t>H # B2/2, Sec 27, Korangi</t>
  </si>
  <si>
    <t>02135062778</t>
  </si>
  <si>
    <t>192/10</t>
  </si>
  <si>
    <t>H # E-46, Khudad Colony</t>
  </si>
  <si>
    <t>03332218988</t>
  </si>
  <si>
    <t>193/10</t>
  </si>
  <si>
    <t>H # 36/C, B 34, Landhi</t>
  </si>
  <si>
    <t>194/10</t>
  </si>
  <si>
    <t>Balochistan</t>
  </si>
  <si>
    <t>03332846029</t>
  </si>
  <si>
    <t>195/10</t>
  </si>
  <si>
    <t>H # Rahimabad, Korangi</t>
  </si>
  <si>
    <t>03002453049</t>
  </si>
  <si>
    <t>196/10</t>
  </si>
  <si>
    <t>H # L-857, Altaf Town, Crossing, Korangi</t>
  </si>
  <si>
    <t>03022685957</t>
  </si>
  <si>
    <t>197/10</t>
  </si>
  <si>
    <t>H # R-310, Sector R, Korangi</t>
  </si>
  <si>
    <t>0321-2580103</t>
  </si>
  <si>
    <t>198/10</t>
  </si>
  <si>
    <t>H # 6657, No. 1, Khan Goth, New Karachi</t>
  </si>
  <si>
    <t>199/10</t>
  </si>
  <si>
    <t>H # E 386, Area E Korangi 5-1/2</t>
  </si>
  <si>
    <t>03312466784</t>
  </si>
  <si>
    <t>200/10</t>
  </si>
  <si>
    <t>8, st 1, Christian Town Korangi</t>
  </si>
  <si>
    <t>03422380971</t>
  </si>
  <si>
    <t>296/10</t>
  </si>
  <si>
    <t>H # 374, Bhutto nagar, Landhi</t>
  </si>
  <si>
    <t>245/10</t>
  </si>
  <si>
    <t>H # 5, Area 2-B, Block-67, Landhi</t>
  </si>
  <si>
    <t>03442260262</t>
  </si>
  <si>
    <t>246/10</t>
  </si>
  <si>
    <t>Rabia City, Gulistan-e-Jauhar</t>
  </si>
  <si>
    <t>03337566005</t>
  </si>
  <si>
    <t>Disseminated</t>
  </si>
  <si>
    <t>247/10</t>
  </si>
  <si>
    <t>H # 3, St 4, Sec B, Qayumabad</t>
  </si>
  <si>
    <t>248/10</t>
  </si>
  <si>
    <t>H # 1370, Sec 33-C, Korangi</t>
  </si>
  <si>
    <t>03332492833</t>
  </si>
  <si>
    <t>249/10</t>
  </si>
  <si>
    <t>H # 41/A, 63, Area 7, Korangi # 2</t>
  </si>
  <si>
    <t>0213-3051741</t>
  </si>
  <si>
    <t>250/10</t>
  </si>
  <si>
    <t>H # A-387, KDA, Kalapul</t>
  </si>
  <si>
    <t>03002622568</t>
  </si>
  <si>
    <t>251/10</t>
  </si>
  <si>
    <t>H # 96, Sec 36/A, Korangi # 5</t>
  </si>
  <si>
    <t>03453109543</t>
  </si>
  <si>
    <t>252/10</t>
  </si>
  <si>
    <t>Ibrahim Hayderi</t>
  </si>
  <si>
    <t>253/10</t>
  </si>
  <si>
    <t>H # B-420, Area-B, Korangi # 6</t>
  </si>
  <si>
    <t>254/10</t>
  </si>
  <si>
    <t>District Punjab</t>
  </si>
  <si>
    <t>03068847734</t>
  </si>
  <si>
    <t>255/10</t>
  </si>
  <si>
    <t>Featers colny, Sec-F, Landhi</t>
  </si>
  <si>
    <t>03432856980</t>
  </si>
  <si>
    <t>256/10</t>
  </si>
  <si>
    <t>H # 9, New Khi</t>
  </si>
  <si>
    <t>03448208409</t>
  </si>
  <si>
    <t>257/10</t>
  </si>
  <si>
    <t>H # 63/6, St 3, Punjab Colony</t>
  </si>
  <si>
    <t>03212868143</t>
  </si>
  <si>
    <t>258/10</t>
  </si>
  <si>
    <t>Shakro</t>
  </si>
  <si>
    <t>259/10</t>
  </si>
  <si>
    <t>H # 43, Sec 40/C, Koangi # 2</t>
  </si>
  <si>
    <t>03022454309</t>
  </si>
  <si>
    <t>260/10</t>
  </si>
  <si>
    <t>H#l517sec.S,Korangi5-1/2</t>
  </si>
  <si>
    <t>03222835860</t>
  </si>
  <si>
    <t>261/10</t>
  </si>
  <si>
    <t>H#St#3,Manzoor Colony</t>
  </si>
  <si>
    <t>262/10</t>
  </si>
  <si>
    <t>H#G28,Panjab Colony</t>
  </si>
  <si>
    <t>03002522693</t>
  </si>
  <si>
    <t>263/10</t>
  </si>
  <si>
    <t>H#Allah Wala town</t>
  </si>
  <si>
    <t>03033511036</t>
  </si>
  <si>
    <t>264/10</t>
  </si>
  <si>
    <t>H#'-Korangi</t>
  </si>
  <si>
    <t>265/10</t>
  </si>
  <si>
    <t>H#5115,D548,Korangi</t>
  </si>
  <si>
    <t>0213-5046859</t>
  </si>
  <si>
    <t>266/10</t>
  </si>
  <si>
    <t>H#C284A,Norani BartSec.40-c,Korangii</t>
  </si>
  <si>
    <t>03022595258</t>
  </si>
  <si>
    <t>267/10</t>
  </si>
  <si>
    <t>H#b260Bin Qasim town,Bagdadi Landhi</t>
  </si>
  <si>
    <t>03002138866</t>
  </si>
  <si>
    <t>268/10</t>
  </si>
  <si>
    <t>H#12/2,sec5/B,Landhi 51/2</t>
  </si>
  <si>
    <t>03312558262</t>
  </si>
  <si>
    <t>269/10</t>
  </si>
  <si>
    <t>H#325,Orangi Town, Karachi</t>
  </si>
  <si>
    <t>03012994211</t>
  </si>
  <si>
    <t>Pl Effusioin</t>
  </si>
  <si>
    <t>270/10</t>
  </si>
  <si>
    <t>H#19Qayumabad,Karachi</t>
  </si>
  <si>
    <t>271/10</t>
  </si>
  <si>
    <t>H#233,Gali #8,Landhi</t>
  </si>
  <si>
    <t>272/10</t>
  </si>
  <si>
    <t>03322381446</t>
  </si>
  <si>
    <t>217/10</t>
  </si>
  <si>
    <t>H # L-365, Sec 5C$, North KHI</t>
  </si>
  <si>
    <t>03456024877</t>
  </si>
  <si>
    <t>218/10</t>
  </si>
  <si>
    <t>H # 1542 Korangi</t>
  </si>
  <si>
    <t>03123012117</t>
  </si>
  <si>
    <t>219/10</t>
  </si>
  <si>
    <t>H # 89, Korangi</t>
  </si>
  <si>
    <t>03322250257</t>
  </si>
  <si>
    <t>220/10</t>
  </si>
  <si>
    <t>H # 1202, Sec 32/E Nasir Colony</t>
  </si>
  <si>
    <t>03002091516</t>
  </si>
  <si>
    <t>221/10</t>
  </si>
  <si>
    <t>H # 332, Sec 32 A Zia Colony, St # 04, Korangi</t>
  </si>
  <si>
    <t>222/10</t>
  </si>
  <si>
    <t>03312193946</t>
  </si>
  <si>
    <t>7/21/2010</t>
  </si>
  <si>
    <t>Soft Tissues</t>
  </si>
  <si>
    <t>316/10</t>
  </si>
  <si>
    <t>H # 753, Sec 32 A , Korangi</t>
  </si>
  <si>
    <t>317/10</t>
  </si>
  <si>
    <t>H # 382, Sec 51/A, Korangi</t>
  </si>
  <si>
    <t>03009292584</t>
  </si>
  <si>
    <t>318/10</t>
  </si>
  <si>
    <t>H # A-68, St # 4, Korangi 1</t>
  </si>
  <si>
    <t>033323728076</t>
  </si>
  <si>
    <t>319/10</t>
  </si>
  <si>
    <t>H # 332/A, Sec 51/B, Muhammadi Colony</t>
  </si>
  <si>
    <t>03072490283</t>
  </si>
  <si>
    <t>320/10</t>
  </si>
  <si>
    <t>Haji Darya Goth, Near Coog Water Park</t>
  </si>
  <si>
    <t>03343216529</t>
  </si>
  <si>
    <t>321/10</t>
  </si>
  <si>
    <t>H # 512, Eid Gah Ground, Manzoor Colony</t>
  </si>
  <si>
    <t>H#5/815,Shah Faisal Colony,#5,Karachi</t>
  </si>
  <si>
    <t>0321-2619360</t>
  </si>
  <si>
    <t>hilar ly.node</t>
  </si>
  <si>
    <t>273/10</t>
  </si>
  <si>
    <t>H#381,Sec33/cKorangi no.2</t>
  </si>
  <si>
    <t>03212856599</t>
  </si>
  <si>
    <t>274/10</t>
  </si>
  <si>
    <t>H#767,SecD,Bhitai Colony,Korangi</t>
  </si>
  <si>
    <t>03323150650</t>
  </si>
  <si>
    <t>5AFB</t>
  </si>
  <si>
    <t>275/10</t>
  </si>
  <si>
    <t>H#-Sec.D,Qayumabad,Karachi</t>
  </si>
  <si>
    <t>03435798342</t>
  </si>
  <si>
    <t>276/10</t>
  </si>
  <si>
    <t>H#7S7,2Korangi,31/2,Karachi</t>
  </si>
  <si>
    <t>03463587812</t>
  </si>
  <si>
    <t>277/10</t>
  </si>
  <si>
    <t>H#L155SecG,Korangi #2,Karachi</t>
  </si>
  <si>
    <t>03343997416</t>
  </si>
  <si>
    <t>278/10</t>
  </si>
  <si>
    <t>H#7Kala pul,Karachi</t>
  </si>
  <si>
    <t>03332246310</t>
  </si>
  <si>
    <t>279/10</t>
  </si>
  <si>
    <t>H#13,near Jung Press</t>
  </si>
  <si>
    <t>03033260260</t>
  </si>
  <si>
    <t>280/10</t>
  </si>
  <si>
    <t>H#-Chakragoth,Korangi,Karachi</t>
  </si>
  <si>
    <t>281/10</t>
  </si>
  <si>
    <t>H#403,A,Akhtar ColonyKarachi,</t>
  </si>
  <si>
    <t>0213-4233345</t>
  </si>
  <si>
    <t>286/10</t>
  </si>
  <si>
    <t>H#Tauheed Abad Landhi</t>
  </si>
  <si>
    <t>H #, Tauheed Abad, Landhi</t>
  </si>
  <si>
    <t>Indus Hospital</t>
  </si>
  <si>
    <t xml:space="preserve">On Treatment </t>
  </si>
  <si>
    <t>287/10</t>
  </si>
  <si>
    <t>H # 59, Sec 6, Sharifabad Korangi</t>
  </si>
  <si>
    <t>282/10</t>
  </si>
  <si>
    <t>H # L. 287 Sec 34/2 Korangi</t>
  </si>
  <si>
    <t>03212124436</t>
  </si>
  <si>
    <t>Failure</t>
  </si>
  <si>
    <t>283/10</t>
  </si>
  <si>
    <t>H # 125/3 Landhi No 1, Karachi</t>
  </si>
  <si>
    <t>02134574273</t>
  </si>
  <si>
    <t>284/10</t>
  </si>
  <si>
    <t>H # 519 Sec 36/c Korangi No. 2</t>
  </si>
  <si>
    <t>02135041556</t>
  </si>
  <si>
    <t>285/10</t>
  </si>
  <si>
    <t>H # 23 Sec 33/5, Korangi No. 2</t>
  </si>
  <si>
    <t>03212741842</t>
  </si>
  <si>
    <t>288/10</t>
  </si>
  <si>
    <t>H # L88 Nasir colony Korangi</t>
  </si>
  <si>
    <t>289/10</t>
  </si>
  <si>
    <t>H no. 8 St 24 Qayummabad Karachi</t>
  </si>
  <si>
    <t>03022352409</t>
  </si>
  <si>
    <t>290/10</t>
  </si>
  <si>
    <t>H no. 734 Korangi Karachi</t>
  </si>
  <si>
    <t>291/10</t>
  </si>
  <si>
    <t>H no. F94 Sec E Bhitai Colony Karachi</t>
  </si>
  <si>
    <t>03332089923</t>
  </si>
  <si>
    <t>292/10</t>
  </si>
  <si>
    <t>H no. Bhatai Colony Korangi Karachi</t>
  </si>
  <si>
    <t>03012575440</t>
  </si>
  <si>
    <t>p</t>
  </si>
  <si>
    <t>293/10</t>
  </si>
  <si>
    <t>Jacobline Sadar R673, Karachi</t>
  </si>
  <si>
    <t>294/10</t>
  </si>
  <si>
    <t xml:space="preserve">13 St 7, Sec 48/A1 Korangi 1 1/2 </t>
  </si>
  <si>
    <t>03432572950</t>
  </si>
  <si>
    <t xml:space="preserve">295/10 </t>
  </si>
  <si>
    <t>Sec 33-D, Korangi</t>
  </si>
  <si>
    <t>335/10</t>
  </si>
  <si>
    <t>H# L-436, Sec 34/2, Korangi #3</t>
  </si>
  <si>
    <t>336/10</t>
  </si>
  <si>
    <t>Bhittai Colony Crossing</t>
  </si>
  <si>
    <t>03332334232</t>
  </si>
  <si>
    <t>Suspected TB</t>
  </si>
  <si>
    <t>337/10</t>
  </si>
  <si>
    <t>H # 1078, Korangi Mills Area, Bilal Colony</t>
  </si>
  <si>
    <t>338/10</t>
  </si>
  <si>
    <t>H # 493, Sec 32-B, Korangi 1.5</t>
  </si>
  <si>
    <t>03002909409</t>
  </si>
  <si>
    <t>339/10</t>
  </si>
  <si>
    <t>H # 69/5, Area 5 /C, Landhi</t>
  </si>
  <si>
    <t>340/10</t>
  </si>
  <si>
    <t>H # 520, Korangi 2.5</t>
  </si>
  <si>
    <t>341/10</t>
  </si>
  <si>
    <t>H# 65/26, Sec 11/D, New Karachi</t>
  </si>
  <si>
    <t>342/10</t>
  </si>
  <si>
    <t>H # 500, Sec 5/C, North Karachi</t>
  </si>
  <si>
    <t>03082349585</t>
  </si>
  <si>
    <t>343/10</t>
  </si>
  <si>
    <t>H # 214, Juma Goth</t>
  </si>
  <si>
    <t>344/10</t>
  </si>
  <si>
    <t>Juma Goth, Korangi</t>
  </si>
  <si>
    <t>03442661933</t>
  </si>
  <si>
    <t>345/10</t>
  </si>
  <si>
    <t>H # 712, Sector 33-D, Korangi</t>
  </si>
  <si>
    <t>03003585130</t>
  </si>
  <si>
    <t>346/10</t>
  </si>
  <si>
    <t xml:space="preserve">H # 32/1, Area 5-D, Landhi </t>
  </si>
  <si>
    <t>03455062413</t>
  </si>
  <si>
    <t>347/10</t>
  </si>
  <si>
    <t>St.1-10, Area A, Qayumabad</t>
  </si>
  <si>
    <t>03463561793</t>
  </si>
  <si>
    <t>348/10</t>
  </si>
  <si>
    <t>H # B-144, Jacob Line, New Karachi</t>
  </si>
  <si>
    <t>03362514684</t>
  </si>
  <si>
    <t>349/10</t>
  </si>
  <si>
    <t>D49, C2, 811, K Aran, Korangi</t>
  </si>
  <si>
    <t>297/10</t>
  </si>
  <si>
    <t xml:space="preserve">N-11 Double story Korangi </t>
  </si>
  <si>
    <t>tb abscess</t>
  </si>
  <si>
    <t>298/10</t>
  </si>
  <si>
    <t xml:space="preserve"> H no. 360, Sec 44/A Korangi 06</t>
  </si>
  <si>
    <t>02138256898</t>
  </si>
  <si>
    <t>299/10</t>
  </si>
  <si>
    <t>292, Gilgit colony Korangi</t>
  </si>
  <si>
    <t>300/10</t>
  </si>
  <si>
    <t>Ibrahim Hydri</t>
  </si>
  <si>
    <t>03222805425</t>
  </si>
  <si>
    <t>kidney</t>
  </si>
  <si>
    <t>301/10</t>
  </si>
  <si>
    <t xml:space="preserve">H no. 247 Sec 32/B Korangi 1 1/2 </t>
  </si>
  <si>
    <t>302/10</t>
  </si>
  <si>
    <t>16/ Korangi</t>
  </si>
  <si>
    <t>303/10</t>
  </si>
  <si>
    <t>C490, Bhatti Colony Korangi</t>
  </si>
  <si>
    <t>304/10</t>
  </si>
  <si>
    <t>R-163 St 9, block C, Bagha-e-Malir</t>
  </si>
  <si>
    <t>03452177388</t>
  </si>
  <si>
    <t>305/10</t>
  </si>
  <si>
    <t>Zilah Sanger, Bilal colony</t>
  </si>
  <si>
    <t>03032161822</t>
  </si>
  <si>
    <t>306/10</t>
  </si>
  <si>
    <t xml:space="preserve">H no. 103 Area 35/A Korangi 3 </t>
  </si>
  <si>
    <t>03222783460</t>
  </si>
  <si>
    <t>307/10</t>
  </si>
  <si>
    <t>476,100 Quarter, golimar</t>
  </si>
  <si>
    <t>03213552171</t>
  </si>
  <si>
    <t>308/10</t>
  </si>
  <si>
    <t>Rent Sec 1, Manzoor Colony</t>
  </si>
  <si>
    <t>03442288102</t>
  </si>
  <si>
    <t>309/10</t>
  </si>
  <si>
    <t xml:space="preserve">H no. 34/2 Area 1/c Landhi 1 </t>
  </si>
  <si>
    <t>03222475105</t>
  </si>
  <si>
    <t>lf pl Effusion</t>
  </si>
  <si>
    <t>310/10</t>
  </si>
  <si>
    <t>H no N206 Sec 35/c Korangi no 3 1/2</t>
  </si>
  <si>
    <t>02135059656</t>
  </si>
  <si>
    <t>311/10</t>
  </si>
  <si>
    <t>H no.  Mazil Colony Landhi</t>
  </si>
  <si>
    <t>312/10</t>
  </si>
  <si>
    <t>H no. Chakra Goth Korangi</t>
  </si>
  <si>
    <t>03032774415</t>
  </si>
  <si>
    <t>313/10</t>
  </si>
  <si>
    <t>316, Sec 41/B Korangi 2 1/2</t>
  </si>
  <si>
    <t>314/10</t>
  </si>
  <si>
    <t>753, Sec 32/A Korangi</t>
  </si>
  <si>
    <t>03053915297</t>
  </si>
  <si>
    <t>315/10</t>
  </si>
  <si>
    <t>21, Street 15, Qayumabad</t>
  </si>
  <si>
    <t>H #103, Sec 331 B , Korangi #2</t>
  </si>
  <si>
    <t>03083181481</t>
  </si>
  <si>
    <t>356/10</t>
  </si>
  <si>
    <t>H # 336 Sector B-C, Gulzar Colony</t>
  </si>
  <si>
    <t>03082894135</t>
  </si>
  <si>
    <t>357/10</t>
  </si>
  <si>
    <t>H # 34/2, 1-C,N-1, Landi</t>
  </si>
  <si>
    <t>358/10</t>
  </si>
  <si>
    <t>H # A-21, Labor Square Block -A, Landhi</t>
  </si>
  <si>
    <t>03213624406</t>
  </si>
  <si>
    <t>359/10</t>
  </si>
  <si>
    <t>H# 349, Street # 5, Sec A, Karachi</t>
  </si>
  <si>
    <t>Bone (pus)</t>
  </si>
  <si>
    <t>360/10</t>
  </si>
  <si>
    <t>Korangi # 4</t>
  </si>
  <si>
    <t>361/10</t>
  </si>
  <si>
    <t>Area 4A, H# 21.A, Madina Jama Masjid</t>
  </si>
  <si>
    <t>0300343467</t>
  </si>
  <si>
    <t>362/10</t>
  </si>
  <si>
    <t>H#207, Sec A, Crossing, Karachi</t>
  </si>
  <si>
    <t>363/10</t>
  </si>
  <si>
    <t>H # C-67, Paposh Nagar</t>
  </si>
  <si>
    <t>364/10</t>
  </si>
  <si>
    <t>H #214, Gul Ahmad Mill Sherpo</t>
  </si>
  <si>
    <t>03464409743</t>
  </si>
  <si>
    <t>365/10</t>
  </si>
  <si>
    <t>H# L-379, Korangi, Karachi</t>
  </si>
  <si>
    <t>03433465285</t>
  </si>
  <si>
    <t>366/10</t>
  </si>
  <si>
    <t>367/10</t>
  </si>
  <si>
    <t>368/10</t>
  </si>
  <si>
    <t>369/10</t>
  </si>
  <si>
    <t>370/10</t>
  </si>
  <si>
    <t>371/10</t>
  </si>
  <si>
    <t>372/10</t>
  </si>
  <si>
    <t>373/10</t>
  </si>
  <si>
    <t>374/10</t>
  </si>
  <si>
    <t>375/10</t>
  </si>
  <si>
    <t>376/10</t>
  </si>
  <si>
    <t>377/10</t>
  </si>
  <si>
    <t>378/10</t>
  </si>
  <si>
    <t>H # T- 1132, Nasir Colony, Korangi</t>
  </si>
  <si>
    <t>03332333871</t>
  </si>
  <si>
    <t>H # D99-St #5 , Mehmoodabad</t>
  </si>
  <si>
    <t>03002203525</t>
  </si>
  <si>
    <t>H # 247, Soc Sinepac, Landhi</t>
  </si>
  <si>
    <t>03463569531</t>
  </si>
  <si>
    <t>H # 561, Sec 321B, Korangi 2.5</t>
  </si>
  <si>
    <t>03232642831</t>
  </si>
  <si>
    <t>District Dadu</t>
  </si>
  <si>
    <t>03343522103</t>
  </si>
  <si>
    <t>H # 47087.05 , Zia Colony, Korangi</t>
  </si>
  <si>
    <t>H # N-256, Sec 5-j, New Karachi</t>
  </si>
  <si>
    <t>Korangi Creek Rehri Goth, Ibrahim Hyderi</t>
  </si>
  <si>
    <t>03003620213</t>
  </si>
  <si>
    <t>H # 342, Sec 50-D, No.3, Korangi</t>
  </si>
  <si>
    <t>0213565933</t>
  </si>
  <si>
    <t>03342822285</t>
  </si>
  <si>
    <t>322/10</t>
  </si>
  <si>
    <t>Jumah Goth</t>
  </si>
  <si>
    <t>323/10</t>
  </si>
  <si>
    <t>Fa-08, Area 5-C, Bilalabad, Landhi</t>
  </si>
  <si>
    <t>03223812043</t>
  </si>
  <si>
    <t>324/10</t>
  </si>
  <si>
    <t>Korangi</t>
  </si>
  <si>
    <t>03442069320</t>
  </si>
  <si>
    <t>cold abscess(lumbar)</t>
  </si>
  <si>
    <t>325/10</t>
  </si>
  <si>
    <t>H # L-213, Sec 34/3, Korangi 3</t>
  </si>
  <si>
    <t>03213678422</t>
  </si>
  <si>
    <t>326/10</t>
  </si>
  <si>
    <t>H # 378, Sec C, Bhittai Colony</t>
  </si>
  <si>
    <t>03432717793</t>
  </si>
  <si>
    <t>327/10</t>
  </si>
  <si>
    <t>H # 430 , Sec A, Kashmir Colony</t>
  </si>
  <si>
    <t>03083709098</t>
  </si>
  <si>
    <t>328/10</t>
  </si>
  <si>
    <t>N-818, Korangi 3.5</t>
  </si>
  <si>
    <t>03463539187</t>
  </si>
  <si>
    <t>Aug-10</t>
  </si>
  <si>
    <t>329/10</t>
  </si>
  <si>
    <t>H# 77, Korangi 1</t>
  </si>
  <si>
    <t>03453058251</t>
  </si>
  <si>
    <t>330/10</t>
  </si>
  <si>
    <t>H # 56, Sec 32/B, Korangi 1.5</t>
  </si>
  <si>
    <t>331/10</t>
  </si>
  <si>
    <t>H # 628, Sec 19 Maldir Town</t>
  </si>
  <si>
    <t>03132115989</t>
  </si>
  <si>
    <t>332/10</t>
  </si>
  <si>
    <t>H # B-55, Landhi</t>
  </si>
  <si>
    <t>03002352953</t>
  </si>
  <si>
    <t>333/10</t>
  </si>
  <si>
    <t>H # 10/518, Liaquatabad</t>
  </si>
  <si>
    <t>03463031634</t>
  </si>
  <si>
    <t>334/10</t>
  </si>
  <si>
    <t>H # B12, St # 10, Norani Basti</t>
  </si>
  <si>
    <t>03423390785</t>
  </si>
  <si>
    <t>H # 15, Sec 48/A, Universal Town, Korangi 2</t>
  </si>
  <si>
    <t>03432295535</t>
  </si>
  <si>
    <t xml:space="preserve">Treatment Completed </t>
  </si>
  <si>
    <t xml:space="preserve">Defaulter </t>
  </si>
  <si>
    <t xml:space="preserve">MDR </t>
  </si>
  <si>
    <t>Defaulted He Left Karachi and Shifted Thatta.</t>
  </si>
  <si>
    <t xml:space="preserve">Treatment completed </t>
  </si>
  <si>
    <t xml:space="preserve">Single visit only:  massive pleural effusion. </t>
  </si>
  <si>
    <t xml:space="preserve">Treatment Complete </t>
  </si>
  <si>
    <t xml:space="preserve">Defaulter. Pt. insisted on following her own treatment regimen. </t>
  </si>
  <si>
    <t xml:space="preserve">Default </t>
  </si>
  <si>
    <t xml:space="preserve">Died </t>
  </si>
  <si>
    <t xml:space="preserve">Death </t>
  </si>
  <si>
    <t xml:space="preserve">Transfer out </t>
  </si>
  <si>
    <t xml:space="preserve">Treatment stopped </t>
  </si>
  <si>
    <t xml:space="preserve">Transferred out to JPMC </t>
  </si>
  <si>
    <t xml:space="preserve">MDR TB </t>
  </si>
  <si>
    <t xml:space="preserve">PDR </t>
  </si>
  <si>
    <t xml:space="preserve">Shifted to PDR Program </t>
  </si>
  <si>
    <t xml:space="preserve">Default -Transferred out to Punjab </t>
  </si>
  <si>
    <t xml:space="preserve">Treatment Completed  </t>
  </si>
  <si>
    <t xml:space="preserve">Treatment Failure </t>
  </si>
  <si>
    <t xml:space="preserve">Treatment completetd </t>
  </si>
  <si>
    <t xml:space="preserve">MOTT </t>
  </si>
  <si>
    <t xml:space="preserve">Transfer Out </t>
  </si>
  <si>
    <t xml:space="preserve">Treament Completed </t>
  </si>
  <si>
    <t xml:space="preserve">Transfer Out CHIC </t>
  </si>
  <si>
    <t xml:space="preserve"> Dec 2008</t>
  </si>
  <si>
    <t>July</t>
  </si>
  <si>
    <t>lymphoma</t>
  </si>
  <si>
    <t>JPMC</t>
  </si>
  <si>
    <t>379/10</t>
  </si>
  <si>
    <t>Abdullah Shah Noorani, Korangi</t>
  </si>
  <si>
    <t>380/10</t>
  </si>
  <si>
    <t>H # Y17, Sec 1.5</t>
  </si>
  <si>
    <t>03323025461</t>
  </si>
  <si>
    <t>381/10</t>
  </si>
  <si>
    <t>H # 28, St # 1, Korangi, Karachi</t>
  </si>
  <si>
    <t>382/10</t>
  </si>
  <si>
    <t>H # 273, Sec 74 C, Area N 5.5, Korangi</t>
  </si>
  <si>
    <t>03422023265</t>
  </si>
  <si>
    <t>383/10</t>
  </si>
  <si>
    <t>H # 304, Sec 23/C, No.2, Korangi</t>
  </si>
  <si>
    <t>03212568792</t>
  </si>
  <si>
    <t>384/10</t>
  </si>
  <si>
    <t>H # 19-A, Labor Square, Sec 32-A</t>
  </si>
  <si>
    <t>03059768816</t>
  </si>
  <si>
    <t>385/10</t>
  </si>
  <si>
    <t>H# L-198, Sec 48/A, Korangi</t>
  </si>
  <si>
    <t>386/10</t>
  </si>
  <si>
    <t xml:space="preserve">H # 22, Sec 40-K, Korangi #1 </t>
  </si>
  <si>
    <t>387/10</t>
  </si>
  <si>
    <t>H # L-3110, Sec 41/B, Korangi</t>
  </si>
  <si>
    <t>03322351080</t>
  </si>
  <si>
    <t>388/10</t>
  </si>
  <si>
    <t>H # 404 , Mir Pur Khas</t>
  </si>
  <si>
    <t>03332436082</t>
  </si>
  <si>
    <t>389/10</t>
  </si>
  <si>
    <t>H # 63, Sec 34-1, Korangi # 3</t>
  </si>
  <si>
    <t>390/10</t>
  </si>
  <si>
    <t>H # 61, Sec F, Malir</t>
  </si>
  <si>
    <t>034221459333</t>
  </si>
  <si>
    <t>391/10</t>
  </si>
  <si>
    <t>H # 37, Street # 1, Qayumabad</t>
  </si>
  <si>
    <t>03343438818</t>
  </si>
  <si>
    <t>392/10</t>
  </si>
  <si>
    <t>H # 31536 No.3, Shah Faisal Colony</t>
  </si>
  <si>
    <t>03222283117</t>
  </si>
  <si>
    <t>03432613871</t>
  </si>
  <si>
    <t>350/10</t>
  </si>
  <si>
    <t>H # 875, Gulzar Colony, Sector 8/E, Karachi</t>
  </si>
  <si>
    <t>03082415106</t>
  </si>
  <si>
    <t>351/10</t>
  </si>
  <si>
    <t>H # 335, Street # 9, Crossing</t>
  </si>
  <si>
    <t>352/10</t>
  </si>
  <si>
    <t>Zia Colony, Karachi</t>
  </si>
  <si>
    <t>03063251130</t>
  </si>
  <si>
    <t>353/10</t>
  </si>
  <si>
    <t>H# R-425,Korangi 1.5</t>
  </si>
  <si>
    <t>032321803038</t>
  </si>
  <si>
    <t>354/10</t>
  </si>
  <si>
    <t>H# 20/10, Area 5-D, Landi 6</t>
  </si>
  <si>
    <t>355/10</t>
  </si>
  <si>
    <t>03423121092</t>
  </si>
  <si>
    <t>Rectal</t>
  </si>
  <si>
    <t>H# 204, Area 37-B, Landhi #1</t>
  </si>
  <si>
    <t>03463093297</t>
  </si>
  <si>
    <t>H # 518, St# 10, Liaquatabad</t>
  </si>
  <si>
    <t>03463034634</t>
  </si>
  <si>
    <t>H # 193, St # 2, Junaij Town, Qayumabad</t>
  </si>
  <si>
    <t>03073177002</t>
  </si>
  <si>
    <t>Daughter in law</t>
  </si>
  <si>
    <t>433/10</t>
  </si>
  <si>
    <t>H# 394,Bilal Colony , Sec 9</t>
  </si>
  <si>
    <t>03463019206</t>
  </si>
  <si>
    <t>434/10</t>
  </si>
  <si>
    <t>H # Zillah Jackabad</t>
  </si>
  <si>
    <t>393/10</t>
  </si>
  <si>
    <t>H # 168, Street # 36, Mazar Colony</t>
  </si>
  <si>
    <t>03002752818</t>
  </si>
  <si>
    <t>394/10</t>
  </si>
  <si>
    <t>H # BCGK 150 , Bilal Colony</t>
  </si>
  <si>
    <t>03062096258</t>
  </si>
  <si>
    <t>395/10</t>
  </si>
  <si>
    <t>Juma Goth, Malir, Karachi</t>
  </si>
  <si>
    <t>03467820277</t>
  </si>
  <si>
    <t>396/10</t>
  </si>
  <si>
    <t>H# 9B, Landhi, Karachi</t>
  </si>
  <si>
    <t>03343321180</t>
  </si>
  <si>
    <t>397/10</t>
  </si>
  <si>
    <t>Ayub Goth, Karachi</t>
  </si>
  <si>
    <t>03063950280</t>
  </si>
  <si>
    <t>398/10</t>
  </si>
  <si>
    <t>H# S1676, Bin Qasim, Karachi</t>
  </si>
  <si>
    <t>03442416025</t>
  </si>
  <si>
    <t>399/10</t>
  </si>
  <si>
    <t>H # 26-123, Shah Faisal Rd, Cantt Bazar</t>
  </si>
  <si>
    <t>03314310728</t>
  </si>
  <si>
    <t>400/10</t>
  </si>
  <si>
    <t>Qasba Colony, Karachi</t>
  </si>
  <si>
    <t>03432465488</t>
  </si>
  <si>
    <t>401/10</t>
  </si>
  <si>
    <t>H # 441, Kashmir Colony</t>
  </si>
  <si>
    <t>03432448020</t>
  </si>
  <si>
    <t>402/10</t>
  </si>
  <si>
    <t>H # 100, Sec 481P, Korangi 21/2</t>
  </si>
  <si>
    <t>03422516541</t>
  </si>
  <si>
    <t>403/10</t>
  </si>
  <si>
    <t>H # 449, Gulzar Colony, Sec 8</t>
  </si>
  <si>
    <t>03442413094</t>
  </si>
  <si>
    <t>404/10</t>
  </si>
  <si>
    <t>405/10</t>
  </si>
  <si>
    <t>H # 519, Sec 36 C, Korangi # 5</t>
  </si>
  <si>
    <t>02135041453</t>
  </si>
  <si>
    <t>H# 419, Sec 50-B-100, Korangi</t>
  </si>
  <si>
    <t>03412225659</t>
  </si>
  <si>
    <t>Intenstine (Caecum)</t>
  </si>
  <si>
    <t>406/10</t>
  </si>
  <si>
    <t>H # 7, Sec 51-D, Korangi</t>
  </si>
  <si>
    <t>03232917569</t>
  </si>
  <si>
    <t>Mono Drug Resistant</t>
  </si>
  <si>
    <t>IP</t>
  </si>
  <si>
    <t>CP</t>
  </si>
  <si>
    <t>407/10</t>
  </si>
  <si>
    <t>H # L-172, Altaf Town, Sector 30</t>
  </si>
  <si>
    <t>03032950510</t>
  </si>
  <si>
    <t>408/10</t>
  </si>
  <si>
    <t>Jogi Mori, Qaidabad</t>
  </si>
  <si>
    <t>03213409117</t>
  </si>
  <si>
    <t>Uncle</t>
  </si>
  <si>
    <t>409/10</t>
  </si>
  <si>
    <t>Noor Muhammad</t>
  </si>
  <si>
    <t>411/10</t>
  </si>
  <si>
    <t>H # 785, Bhittai Colony</t>
  </si>
  <si>
    <t>03362092126</t>
  </si>
  <si>
    <t>412/10</t>
  </si>
  <si>
    <t>Sher Pao Colony, Landhi</t>
  </si>
  <si>
    <t>03002772521</t>
  </si>
  <si>
    <t>413/10</t>
  </si>
  <si>
    <t>H# 2/199, Shah Faisal Colony</t>
  </si>
  <si>
    <t>03212959204, 02134576409</t>
  </si>
  <si>
    <t>414/10</t>
  </si>
  <si>
    <t>H # 118, Nasir Colony, St.#10, Korangi</t>
  </si>
  <si>
    <t>03473546013</t>
  </si>
  <si>
    <t>415/10</t>
  </si>
  <si>
    <t>H # 97, St#2. Sec D, Akhtar Colony</t>
  </si>
  <si>
    <t>03212537924</t>
  </si>
  <si>
    <t>416/10</t>
  </si>
  <si>
    <t>H # 2151, Sec 48/D, Noorani Basti, Korangi # 2</t>
  </si>
  <si>
    <t>03003470822</t>
  </si>
  <si>
    <t>417/10</t>
  </si>
  <si>
    <t>H# 481, Area 41 D, Landhi</t>
  </si>
  <si>
    <t>03442193229</t>
  </si>
  <si>
    <t>418/10</t>
  </si>
  <si>
    <t>H # 11782-12, Sec 4810, Korangi</t>
  </si>
  <si>
    <t>03063376277</t>
  </si>
  <si>
    <t>435/10</t>
  </si>
  <si>
    <t>436/10</t>
  </si>
  <si>
    <t>437/10</t>
  </si>
  <si>
    <t>438/10</t>
  </si>
  <si>
    <t>439/10</t>
  </si>
  <si>
    <t>440/10</t>
  </si>
  <si>
    <t>441/10</t>
  </si>
  <si>
    <t>442/10</t>
  </si>
  <si>
    <t>443/10</t>
  </si>
  <si>
    <t>444/10</t>
  </si>
  <si>
    <t>445/10</t>
  </si>
  <si>
    <t>446/10</t>
  </si>
  <si>
    <t>447/10</t>
  </si>
  <si>
    <t>H# 36, Sec # 2 , Nasir colony</t>
  </si>
  <si>
    <t>03462182026</t>
  </si>
  <si>
    <t>H # 372, Sec 5/C, Korangi # 8</t>
  </si>
  <si>
    <t>03472102941</t>
  </si>
  <si>
    <t>Jumma Gul Road, Moadi Masjid</t>
  </si>
  <si>
    <t>03469761250</t>
  </si>
  <si>
    <t>H#10 , Orangi</t>
  </si>
  <si>
    <t>03002727516</t>
  </si>
  <si>
    <t>H# LS-4-48, BN, Korangi 5.5</t>
  </si>
  <si>
    <t>03453208912</t>
  </si>
  <si>
    <t>H# 352, Industrial Area SA 32/E</t>
  </si>
  <si>
    <t>03212296895</t>
  </si>
  <si>
    <t>H# L-93, St#21, Sec 30-A, Korangi</t>
  </si>
  <si>
    <t>03222520236</t>
  </si>
  <si>
    <t>H# A-380, Jamshed Road, Karachi</t>
  </si>
  <si>
    <t>03123613552</t>
  </si>
  <si>
    <t>H# 53, Azeemabad, No1, Drigh Road</t>
  </si>
  <si>
    <t>03007003267</t>
  </si>
  <si>
    <t>H# 269, Sec 48/B, Korangi 2.5</t>
  </si>
  <si>
    <t>Korangi 2.5</t>
  </si>
  <si>
    <t>03124720900</t>
  </si>
  <si>
    <t>448/10</t>
  </si>
  <si>
    <t>03216558682</t>
  </si>
  <si>
    <t>Zamombad # 4, Korangi</t>
  </si>
  <si>
    <t>03442013179</t>
  </si>
  <si>
    <t>H #375, Sec I, Bhati Colony, Korangi</t>
  </si>
  <si>
    <t>03332255418</t>
  </si>
  <si>
    <t>H# 23/A, Area 4-B, Landhi</t>
  </si>
  <si>
    <t>03316518730</t>
  </si>
  <si>
    <t>449/10</t>
  </si>
  <si>
    <t>H# 32/18, Area 1-D, Landhi #1</t>
  </si>
  <si>
    <t>03132158406</t>
  </si>
  <si>
    <t>Not Given</t>
  </si>
  <si>
    <t>N/eg</t>
  </si>
  <si>
    <t>1-9AFB</t>
  </si>
  <si>
    <t xml:space="preserve">Neg </t>
  </si>
  <si>
    <t>Default(MDR)</t>
  </si>
  <si>
    <t>H # 69, St #2, Sec C, Akhtar Colony</t>
  </si>
  <si>
    <t>03452698348</t>
  </si>
  <si>
    <t>419/10</t>
  </si>
  <si>
    <t>H# MK-316, Qayumabad, Karachi</t>
  </si>
  <si>
    <t>03333158098</t>
  </si>
  <si>
    <t>420/10</t>
  </si>
  <si>
    <t>Mother-in-law</t>
  </si>
  <si>
    <t>03002568739</t>
  </si>
  <si>
    <t>H# 205, Sec F, Bhittai Colony</t>
  </si>
  <si>
    <t>421/10</t>
  </si>
  <si>
    <t>H # H-15, Sec 48/A, Korangi 1.5</t>
  </si>
  <si>
    <t>03132764230</t>
  </si>
  <si>
    <t>03312653647</t>
  </si>
  <si>
    <t>410/10</t>
  </si>
  <si>
    <t>H# 6, Sec 30-B, PIT Colony, Korangi</t>
  </si>
  <si>
    <t>AbdomiN/Al</t>
  </si>
  <si>
    <t>H # 462, Street # 5, Essa N/Agree, Karachi</t>
  </si>
  <si>
    <t>DissemiN/Ated</t>
  </si>
  <si>
    <t>1-9 AFB</t>
  </si>
  <si>
    <t>422/10</t>
  </si>
  <si>
    <t>Korangi 1.5</t>
  </si>
  <si>
    <t>03053995058</t>
  </si>
  <si>
    <t>423/10</t>
  </si>
  <si>
    <t>Bilal Colony</t>
  </si>
  <si>
    <t>03456080237</t>
  </si>
  <si>
    <t>424/10</t>
  </si>
  <si>
    <t>H# 94-A, Bahder Abad, Landhi</t>
  </si>
  <si>
    <t>03452348236</t>
  </si>
  <si>
    <t>425/10</t>
  </si>
  <si>
    <t>Eid Gah Ground, Korangi # 1</t>
  </si>
  <si>
    <t>03444925196</t>
  </si>
  <si>
    <t>426/10</t>
  </si>
  <si>
    <t>Sharifabad, Badam Chowrangi, Korangi</t>
  </si>
  <si>
    <t>427/10</t>
  </si>
  <si>
    <t>St # 7, Sec A, Akhter Colony</t>
  </si>
  <si>
    <t>034560400001</t>
  </si>
  <si>
    <t>428/10</t>
  </si>
  <si>
    <t>429/10</t>
  </si>
  <si>
    <t>430/10</t>
  </si>
  <si>
    <t>431/10</t>
  </si>
  <si>
    <t>432/10</t>
  </si>
  <si>
    <t>H # C-126-127, Darul Salam</t>
  </si>
  <si>
    <t>03032981484</t>
  </si>
  <si>
    <t>H# 64, Sec 9-C, Bilal Colony, Korangi</t>
  </si>
</sst>
</file>

<file path=xl/styles.xml><?xml version="1.0" encoding="utf-8"?>
<styleSheet xmlns="http://schemas.openxmlformats.org/spreadsheetml/2006/main">
  <numFmts count="4">
    <numFmt numFmtId="164" formatCode="[$-409]mmm\-yy;@"/>
    <numFmt numFmtId="165" formatCode="m/d/yy;@"/>
    <numFmt numFmtId="166" formatCode="0.00000"/>
    <numFmt numFmtId="167" formatCode="0;[Red]0"/>
  </numFmts>
  <fonts count="4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Verdan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164" fontId="0" fillId="0" borderId="0"/>
    <xf numFmtId="164" fontId="1" fillId="0" borderId="0"/>
    <xf numFmtId="164" fontId="1" fillId="0" borderId="0"/>
    <xf numFmtId="9" fontId="1" fillId="0" borderId="0" applyFont="0" applyFill="0" applyBorder="0" applyAlignment="0" applyProtection="0"/>
  </cellStyleXfs>
  <cellXfs count="52">
    <xf numFmtId="164" fontId="0" fillId="0" borderId="0" xfId="0"/>
    <xf numFmtId="1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4" fontId="2" fillId="2" borderId="0" xfId="0" applyFont="1" applyFill="1" applyAlignment="1">
      <alignment horizontal="left"/>
    </xf>
    <xf numFmtId="164" fontId="1" fillId="2" borderId="0" xfId="0" applyFont="1" applyFill="1" applyAlignment="1">
      <alignment horizontal="center"/>
    </xf>
    <xf numFmtId="164" fontId="1" fillId="2" borderId="0" xfId="0" applyFont="1" applyFill="1" applyAlignment="1">
      <alignment horizontal="left"/>
    </xf>
    <xf numFmtId="164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Border="1" applyAlignment="1">
      <alignment horizontal="center"/>
    </xf>
    <xf numFmtId="164" fontId="1" fillId="2" borderId="0" xfId="0" applyFont="1" applyFill="1" applyBorder="1" applyAlignment="1">
      <alignment horizontal="center"/>
    </xf>
    <xf numFmtId="164" fontId="1" fillId="2" borderId="0" xfId="0" applyFont="1" applyFill="1" applyBorder="1" applyAlignment="1">
      <alignment horizontal="left"/>
    </xf>
    <xf numFmtId="166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166" fontId="1" fillId="2" borderId="0" xfId="1" applyNumberFormat="1" applyFont="1" applyFill="1" applyAlignment="1">
      <alignment horizontal="center"/>
    </xf>
    <xf numFmtId="164" fontId="1" fillId="2" borderId="0" xfId="1" applyFont="1" applyFill="1" applyBorder="1" applyAlignment="1">
      <alignment horizontal="center"/>
    </xf>
    <xf numFmtId="164" fontId="1" fillId="2" borderId="0" xfId="1" applyFont="1" applyFill="1" applyBorder="1" applyAlignment="1">
      <alignment horizontal="left"/>
    </xf>
    <xf numFmtId="164" fontId="1" fillId="2" borderId="0" xfId="1" applyFont="1" applyFill="1" applyAlignment="1">
      <alignment horizontal="center"/>
    </xf>
    <xf numFmtId="164" fontId="1" fillId="2" borderId="0" xfId="0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64" fontId="1" fillId="4" borderId="0" xfId="0" applyFont="1" applyFill="1" applyAlignment="1">
      <alignment horizontal="center"/>
    </xf>
    <xf numFmtId="166" fontId="1" fillId="3" borderId="0" xfId="0" applyNumberFormat="1" applyFont="1" applyFill="1" applyAlignment="1">
      <alignment horizontal="center"/>
    </xf>
    <xf numFmtId="164" fontId="1" fillId="3" borderId="0" xfId="0" applyFont="1" applyFill="1" applyAlignment="1">
      <alignment horizontal="left"/>
    </xf>
    <xf numFmtId="164" fontId="1" fillId="3" borderId="0" xfId="0" applyFont="1" applyFill="1"/>
    <xf numFmtId="49" fontId="1" fillId="4" borderId="0" xfId="0" applyNumberFormat="1" applyFont="1" applyFill="1" applyAlignment="1">
      <alignment horizontal="center"/>
    </xf>
    <xf numFmtId="164" fontId="1" fillId="2" borderId="0" xfId="0" applyFont="1" applyFill="1" applyAlignment="1"/>
    <xf numFmtId="164" fontId="1" fillId="2" borderId="0" xfId="2" applyFont="1" applyFill="1" applyBorder="1" applyAlignment="1">
      <alignment horizontal="center"/>
    </xf>
    <xf numFmtId="164" fontId="1" fillId="2" borderId="0" xfId="0" applyFont="1" applyFill="1" applyBorder="1" applyAlignment="1">
      <alignment horizontal="center" vertical="center"/>
    </xf>
    <xf numFmtId="167" fontId="1" fillId="2" borderId="0" xfId="2" applyNumberFormat="1" applyFont="1" applyFill="1" applyBorder="1" applyAlignment="1">
      <alignment horizontal="center"/>
    </xf>
    <xf numFmtId="1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164" fontId="1" fillId="5" borderId="0" xfId="0" applyFont="1" applyFill="1" applyAlignment="1">
      <alignment horizontal="center"/>
    </xf>
    <xf numFmtId="166" fontId="1" fillId="5" borderId="0" xfId="0" applyNumberFormat="1" applyFont="1" applyFill="1" applyAlignment="1">
      <alignment horizontal="center"/>
    </xf>
    <xf numFmtId="164" fontId="1" fillId="5" borderId="0" xfId="0" applyFont="1" applyFill="1" applyAlignment="1">
      <alignment horizontal="left"/>
    </xf>
    <xf numFmtId="164" fontId="1" fillId="5" borderId="0" xfId="0" applyFont="1" applyFill="1"/>
    <xf numFmtId="165" fontId="1" fillId="2" borderId="0" xfId="0" applyNumberFormat="1" applyFont="1" applyFill="1" applyAlignment="1">
      <alignment horizontal="center"/>
    </xf>
  </cellXfs>
  <cellStyles count="4">
    <cellStyle name="Normal" xfId="0" builtinId="0"/>
    <cellStyle name="Normal 2" xfId="1"/>
    <cellStyle name="Normal 3" xfId="2"/>
    <cellStyle name="Percent 2" xfId="3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920"/>
  <sheetViews>
    <sheetView tabSelected="1" zoomScale="80" zoomScaleNormal="80" zoomScalePageLayoutView="70" workbookViewId="0"/>
  </sheetViews>
  <sheetFormatPr defaultColWidth="8.85546875" defaultRowHeight="12.75"/>
  <cols>
    <col min="1" max="1" width="5.5703125" style="1" bestFit="1" customWidth="1"/>
    <col min="2" max="2" width="7.7109375" style="14" bestFit="1" customWidth="1"/>
    <col min="3" max="3" width="12.28515625" style="15" bestFit="1" customWidth="1"/>
    <col min="4" max="4" width="15.7109375" style="15" bestFit="1" customWidth="1"/>
    <col min="5" max="5" width="10.140625" style="8" bestFit="1" customWidth="1"/>
    <col min="6" max="6" width="10.140625" style="8" customWidth="1"/>
    <col min="7" max="7" width="8.5703125" style="11" bestFit="1" customWidth="1"/>
    <col min="8" max="8" width="5.140625" style="1" bestFit="1" customWidth="1"/>
    <col min="9" max="9" width="67" style="11" bestFit="1" customWidth="1"/>
    <col min="10" max="10" width="29.28515625" style="8" bestFit="1" customWidth="1"/>
    <col min="11" max="11" width="15" style="8" customWidth="1"/>
    <col min="12" max="12" width="13.140625" style="11" bestFit="1" customWidth="1"/>
    <col min="13" max="13" width="10.85546875" style="15" bestFit="1" customWidth="1"/>
    <col min="14" max="14" width="9.5703125" style="1" bestFit="1" customWidth="1"/>
    <col min="15" max="15" width="9.140625" style="11" bestFit="1" customWidth="1"/>
    <col min="16" max="16" width="20.28515625" style="11" bestFit="1" customWidth="1"/>
    <col min="17" max="17" width="12.7109375" style="11" bestFit="1" customWidth="1"/>
    <col min="18" max="18" width="9.5703125" style="11" bestFit="1" customWidth="1"/>
    <col min="19" max="19" width="10.85546875" style="51" bestFit="1" customWidth="1"/>
    <col min="20" max="20" width="7.42578125" style="8" bestFit="1" customWidth="1"/>
    <col min="21" max="21" width="10.28515625" style="11" bestFit="1" customWidth="1"/>
    <col min="22" max="22" width="9.5703125" style="11" bestFit="1" customWidth="1"/>
    <col min="23" max="24" width="10.28515625" style="11" bestFit="1" customWidth="1"/>
    <col min="25" max="25" width="11.7109375" style="11" bestFit="1" customWidth="1"/>
    <col min="26" max="26" width="11.28515625" style="19" bestFit="1" customWidth="1"/>
    <col min="27" max="27" width="9.28515625" style="19" bestFit="1" customWidth="1"/>
    <col min="28" max="28" width="9.42578125" style="11" bestFit="1" customWidth="1"/>
    <col min="29" max="29" width="57.140625" style="12" bestFit="1" customWidth="1"/>
    <col min="30" max="30" width="10" style="25" bestFit="1" customWidth="1"/>
    <col min="31" max="31" width="8.85546875" style="25"/>
    <col min="32" max="33" width="22.28515625" style="25" customWidth="1"/>
    <col min="34" max="34" width="26.42578125" style="11" bestFit="1" customWidth="1"/>
    <col min="35" max="16384" width="8.85546875" style="13"/>
  </cols>
  <sheetData>
    <row r="1" spans="1:34">
      <c r="A1" s="6" t="s">
        <v>165</v>
      </c>
      <c r="B1" s="2" t="s">
        <v>166</v>
      </c>
      <c r="C1" s="3" t="s">
        <v>167</v>
      </c>
      <c r="D1" s="3" t="s">
        <v>168</v>
      </c>
      <c r="E1" s="4" t="s">
        <v>169</v>
      </c>
      <c r="F1" s="4" t="s">
        <v>169</v>
      </c>
      <c r="G1" s="5" t="s">
        <v>170</v>
      </c>
      <c r="H1" s="6" t="s">
        <v>171</v>
      </c>
      <c r="I1" s="5" t="s">
        <v>172</v>
      </c>
      <c r="J1" s="4" t="s">
        <v>173</v>
      </c>
      <c r="K1" s="4" t="s">
        <v>174</v>
      </c>
      <c r="L1" s="5" t="s">
        <v>0</v>
      </c>
      <c r="M1" s="3" t="s">
        <v>1</v>
      </c>
      <c r="N1" s="6" t="s">
        <v>2</v>
      </c>
      <c r="O1" s="5" t="s">
        <v>3</v>
      </c>
      <c r="P1" s="5" t="s">
        <v>4</v>
      </c>
      <c r="Q1" s="5" t="s">
        <v>5</v>
      </c>
      <c r="R1" s="5" t="s">
        <v>6</v>
      </c>
      <c r="S1" s="7" t="s">
        <v>7</v>
      </c>
      <c r="T1" s="8" t="s">
        <v>8</v>
      </c>
      <c r="U1" s="5" t="s">
        <v>9</v>
      </c>
      <c r="V1" s="5" t="s">
        <v>10</v>
      </c>
      <c r="W1" s="5" t="s">
        <v>11</v>
      </c>
      <c r="X1" s="5" t="s">
        <v>12</v>
      </c>
      <c r="Y1" s="5" t="s">
        <v>13</v>
      </c>
      <c r="Z1" s="9" t="s">
        <v>14</v>
      </c>
      <c r="AA1" s="9" t="s">
        <v>15</v>
      </c>
      <c r="AB1" s="5" t="s">
        <v>16</v>
      </c>
      <c r="AC1" s="10" t="s">
        <v>17</v>
      </c>
      <c r="AD1" s="5"/>
      <c r="AH1" s="5" t="s">
        <v>18</v>
      </c>
    </row>
    <row r="2" spans="1:34" ht="12.75" customHeight="1">
      <c r="A2" s="1">
        <v>1</v>
      </c>
      <c r="B2" s="14">
        <v>39416</v>
      </c>
      <c r="C2" s="15">
        <v>39416</v>
      </c>
      <c r="E2" s="8" t="s">
        <v>19</v>
      </c>
      <c r="G2" s="11" t="s">
        <v>20</v>
      </c>
      <c r="H2" s="1">
        <v>36</v>
      </c>
      <c r="I2" s="11" t="s">
        <v>21</v>
      </c>
      <c r="J2" s="8" t="s">
        <v>22</v>
      </c>
      <c r="K2" s="8" t="s">
        <v>23</v>
      </c>
      <c r="L2" s="11" t="s">
        <v>24</v>
      </c>
      <c r="M2" s="15">
        <v>39417</v>
      </c>
      <c r="N2" s="1">
        <v>1</v>
      </c>
      <c r="O2" s="11" t="s">
        <v>25</v>
      </c>
      <c r="P2" s="11" t="s">
        <v>26</v>
      </c>
      <c r="Q2" s="11" t="s">
        <v>27</v>
      </c>
      <c r="R2" s="11" t="s">
        <v>28</v>
      </c>
      <c r="S2" s="15">
        <f t="shared" ref="S2:S65" ca="1" si="0">NOW()</f>
        <v>40470.53652858796</v>
      </c>
      <c r="T2" s="8">
        <f t="shared" ref="T2:T65" ca="1" si="1">(YEAR(S2)-YEAR(M2))*12+MONTH(S2)-MONTH(M2)</f>
        <v>34</v>
      </c>
      <c r="U2" s="25" t="s">
        <v>42</v>
      </c>
      <c r="V2" s="25" t="s">
        <v>2729</v>
      </c>
      <c r="W2" s="25" t="s">
        <v>42</v>
      </c>
      <c r="X2" s="25" t="s">
        <v>42</v>
      </c>
      <c r="Y2" s="32" t="s">
        <v>42</v>
      </c>
      <c r="Z2" s="16" t="s">
        <v>31</v>
      </c>
      <c r="AA2" s="16" t="s">
        <v>32</v>
      </c>
      <c r="AB2" s="17" t="s">
        <v>33</v>
      </c>
      <c r="AC2" s="12" t="s">
        <v>34</v>
      </c>
      <c r="AD2" s="25">
        <v>39518</v>
      </c>
      <c r="AH2" s="11" t="s">
        <v>35</v>
      </c>
    </row>
    <row r="3" spans="1:34">
      <c r="A3" s="1">
        <v>2</v>
      </c>
      <c r="B3" s="14">
        <v>39387</v>
      </c>
      <c r="C3" s="15">
        <v>39422</v>
      </c>
      <c r="E3" s="8" t="s">
        <v>36</v>
      </c>
      <c r="G3" s="11" t="s">
        <v>37</v>
      </c>
      <c r="H3" s="1">
        <v>20</v>
      </c>
      <c r="I3" s="11" t="s">
        <v>38</v>
      </c>
      <c r="K3" s="8" t="s">
        <v>39</v>
      </c>
      <c r="L3" s="11" t="s">
        <v>24</v>
      </c>
      <c r="M3" s="15">
        <v>39389</v>
      </c>
      <c r="N3" s="1">
        <v>1</v>
      </c>
      <c r="O3" s="11" t="s">
        <v>40</v>
      </c>
      <c r="P3" s="11" t="s">
        <v>41</v>
      </c>
      <c r="Q3" s="11" t="s">
        <v>27</v>
      </c>
      <c r="R3" s="11" t="s">
        <v>42</v>
      </c>
      <c r="S3" s="15">
        <f t="shared" ca="1" si="0"/>
        <v>40470.53652858796</v>
      </c>
      <c r="T3" s="8">
        <f t="shared" ca="1" si="1"/>
        <v>35</v>
      </c>
      <c r="U3" s="11" t="s">
        <v>42</v>
      </c>
      <c r="V3" s="11" t="s">
        <v>42</v>
      </c>
      <c r="W3" s="11" t="s">
        <v>42</v>
      </c>
      <c r="X3" s="11" t="s">
        <v>42</v>
      </c>
      <c r="Y3" s="32" t="s">
        <v>42</v>
      </c>
      <c r="Z3" s="16">
        <v>24.829444444444444</v>
      </c>
      <c r="AA3" s="16">
        <v>67.134166666666701</v>
      </c>
      <c r="AB3" s="17" t="s">
        <v>33</v>
      </c>
      <c r="AC3" s="12" t="s">
        <v>43</v>
      </c>
      <c r="AD3" s="25">
        <v>39675</v>
      </c>
      <c r="AH3" s="11" t="s">
        <v>44</v>
      </c>
    </row>
    <row r="4" spans="1:34" ht="12.75" customHeight="1">
      <c r="A4" s="1">
        <v>3</v>
      </c>
      <c r="B4" s="14">
        <v>39417</v>
      </c>
      <c r="C4" s="15">
        <v>39424</v>
      </c>
      <c r="E4" s="8" t="s">
        <v>45</v>
      </c>
      <c r="G4" s="11" t="s">
        <v>20</v>
      </c>
      <c r="H4" s="1">
        <v>20</v>
      </c>
      <c r="I4" s="11" t="s">
        <v>46</v>
      </c>
      <c r="J4" s="8" t="s">
        <v>47</v>
      </c>
      <c r="K4" s="8" t="s">
        <v>48</v>
      </c>
      <c r="L4" s="11" t="s">
        <v>24</v>
      </c>
      <c r="M4" s="15">
        <v>39425</v>
      </c>
      <c r="N4" s="1">
        <v>2</v>
      </c>
      <c r="O4" s="11" t="s">
        <v>25</v>
      </c>
      <c r="P4" s="11" t="s">
        <v>26</v>
      </c>
      <c r="Q4" s="11" t="s">
        <v>49</v>
      </c>
      <c r="R4" s="11" t="s">
        <v>50</v>
      </c>
      <c r="S4" s="15">
        <f t="shared" ca="1" si="0"/>
        <v>40470.53652858796</v>
      </c>
      <c r="T4" s="8">
        <f t="shared" ca="1" si="1"/>
        <v>34</v>
      </c>
      <c r="U4" s="25" t="s">
        <v>29</v>
      </c>
      <c r="V4" s="25" t="s">
        <v>42</v>
      </c>
      <c r="W4" s="25" t="s">
        <v>42</v>
      </c>
      <c r="X4" s="25" t="s">
        <v>42</v>
      </c>
      <c r="Y4" s="32" t="s">
        <v>42</v>
      </c>
      <c r="Z4" s="16">
        <v>24.817777777777778</v>
      </c>
      <c r="AA4" s="16">
        <v>67.165833333333339</v>
      </c>
      <c r="AB4" s="17" t="s">
        <v>33</v>
      </c>
      <c r="AC4" s="12" t="s">
        <v>43</v>
      </c>
      <c r="AD4" s="25">
        <v>39637</v>
      </c>
      <c r="AH4" s="11" t="s">
        <v>44</v>
      </c>
    </row>
    <row r="5" spans="1:34" ht="12.75" customHeight="1">
      <c r="A5" s="1">
        <v>4</v>
      </c>
      <c r="B5" s="14">
        <v>39418</v>
      </c>
      <c r="C5" s="15">
        <v>39424</v>
      </c>
      <c r="E5" s="8" t="s">
        <v>52</v>
      </c>
      <c r="G5" s="11" t="s">
        <v>20</v>
      </c>
      <c r="H5" s="1">
        <v>58</v>
      </c>
      <c r="I5" s="11" t="s">
        <v>53</v>
      </c>
      <c r="J5" s="8" t="s">
        <v>54</v>
      </c>
      <c r="K5" s="8" t="s">
        <v>23</v>
      </c>
      <c r="L5" s="11" t="s">
        <v>24</v>
      </c>
      <c r="M5" s="15">
        <v>39425</v>
      </c>
      <c r="N5" s="1">
        <v>1</v>
      </c>
      <c r="O5" s="11" t="s">
        <v>25</v>
      </c>
      <c r="P5" s="11" t="s">
        <v>26</v>
      </c>
      <c r="Q5" s="11" t="s">
        <v>27</v>
      </c>
      <c r="R5" s="11" t="s">
        <v>55</v>
      </c>
      <c r="S5" s="15">
        <f t="shared" ca="1" si="0"/>
        <v>40470.53652858796</v>
      </c>
      <c r="T5" s="8">
        <f t="shared" ca="1" si="1"/>
        <v>34</v>
      </c>
      <c r="U5" s="25" t="s">
        <v>56</v>
      </c>
      <c r="V5" s="11" t="s">
        <v>42</v>
      </c>
      <c r="W5" s="11" t="s">
        <v>56</v>
      </c>
      <c r="X5" s="25" t="s">
        <v>56</v>
      </c>
      <c r="Y5" s="32" t="s">
        <v>42</v>
      </c>
      <c r="Z5" s="16">
        <v>24.829444444444444</v>
      </c>
      <c r="AA5" s="16">
        <v>67.124722222222218</v>
      </c>
      <c r="AB5" s="17" t="s">
        <v>33</v>
      </c>
      <c r="AC5" s="12" t="s">
        <v>61</v>
      </c>
      <c r="AD5" s="25">
        <v>39668</v>
      </c>
      <c r="AH5" s="11" t="s">
        <v>44</v>
      </c>
    </row>
    <row r="6" spans="1:34" ht="12.75" customHeight="1">
      <c r="A6" s="1">
        <v>5</v>
      </c>
      <c r="B6" s="14">
        <v>39419</v>
      </c>
      <c r="C6" s="15">
        <v>39428</v>
      </c>
      <c r="E6" s="8" t="s">
        <v>57</v>
      </c>
      <c r="G6" s="11" t="s">
        <v>37</v>
      </c>
      <c r="H6" s="1">
        <v>40</v>
      </c>
      <c r="I6" s="11" t="s">
        <v>58</v>
      </c>
      <c r="K6" s="8" t="s">
        <v>59</v>
      </c>
      <c r="L6" s="11" t="s">
        <v>24</v>
      </c>
      <c r="M6" s="15">
        <v>39429</v>
      </c>
      <c r="N6" s="1">
        <v>1</v>
      </c>
      <c r="O6" s="11" t="s">
        <v>25</v>
      </c>
      <c r="P6" s="11" t="s">
        <v>26</v>
      </c>
      <c r="Q6" s="11" t="s">
        <v>27</v>
      </c>
      <c r="R6" s="11" t="s">
        <v>60</v>
      </c>
      <c r="S6" s="15">
        <f t="shared" ca="1" si="0"/>
        <v>40470.53652858796</v>
      </c>
      <c r="T6" s="8">
        <f t="shared" ca="1" si="1"/>
        <v>34</v>
      </c>
      <c r="U6" s="25" t="s">
        <v>42</v>
      </c>
      <c r="V6" s="25" t="s">
        <v>56</v>
      </c>
      <c r="W6" s="11" t="s">
        <v>42</v>
      </c>
      <c r="X6" s="11" t="s">
        <v>56</v>
      </c>
      <c r="Y6" s="32" t="s">
        <v>42</v>
      </c>
      <c r="Z6" s="16">
        <v>24.814444444444444</v>
      </c>
      <c r="AA6" s="16">
        <v>67.106388888888887</v>
      </c>
      <c r="AB6" s="17" t="s">
        <v>33</v>
      </c>
      <c r="AC6" s="12" t="s">
        <v>61</v>
      </c>
      <c r="AD6" s="25">
        <v>39668</v>
      </c>
      <c r="AH6" s="11" t="s">
        <v>61</v>
      </c>
    </row>
    <row r="7" spans="1:34" ht="12.75" customHeight="1">
      <c r="A7" s="1">
        <v>6</v>
      </c>
      <c r="B7" s="14">
        <v>39420</v>
      </c>
      <c r="C7" s="15">
        <v>39434</v>
      </c>
      <c r="E7" s="8" t="s">
        <v>62</v>
      </c>
      <c r="G7" s="11" t="s">
        <v>37</v>
      </c>
      <c r="H7" s="1">
        <v>30</v>
      </c>
      <c r="I7" s="11" t="s">
        <v>63</v>
      </c>
      <c r="J7" s="8" t="s">
        <v>64</v>
      </c>
      <c r="K7" s="8" t="s">
        <v>23</v>
      </c>
      <c r="L7" s="11" t="s">
        <v>24</v>
      </c>
      <c r="M7" s="15">
        <v>39435</v>
      </c>
      <c r="N7" s="1">
        <v>1</v>
      </c>
      <c r="O7" s="11" t="s">
        <v>25</v>
      </c>
      <c r="P7" s="11" t="s">
        <v>26</v>
      </c>
      <c r="Q7" s="11" t="s">
        <v>27</v>
      </c>
      <c r="R7" s="11" t="s">
        <v>65</v>
      </c>
      <c r="S7" s="15">
        <f t="shared" ca="1" si="0"/>
        <v>40470.53652858796</v>
      </c>
      <c r="T7" s="8">
        <f t="shared" ca="1" si="1"/>
        <v>34</v>
      </c>
      <c r="U7" s="25" t="s">
        <v>42</v>
      </c>
      <c r="V7" s="25" t="s">
        <v>60</v>
      </c>
      <c r="W7" s="25" t="s">
        <v>2729</v>
      </c>
      <c r="X7" s="25" t="s">
        <v>2729</v>
      </c>
      <c r="Y7" s="32" t="s">
        <v>42</v>
      </c>
      <c r="Z7" s="16">
        <v>24.820833333333333</v>
      </c>
      <c r="AA7" s="16">
        <v>67.145277777777778</v>
      </c>
      <c r="AB7" s="17" t="s">
        <v>33</v>
      </c>
      <c r="AC7" s="12" t="s">
        <v>66</v>
      </c>
      <c r="AD7" s="25">
        <v>39732</v>
      </c>
      <c r="AH7" s="11" t="s">
        <v>67</v>
      </c>
    </row>
    <row r="8" spans="1:34">
      <c r="A8" s="1">
        <v>7</v>
      </c>
      <c r="B8" s="14">
        <v>39421</v>
      </c>
      <c r="C8" s="15">
        <v>39443</v>
      </c>
      <c r="E8" s="8" t="s">
        <v>68</v>
      </c>
      <c r="G8" s="11" t="s">
        <v>37</v>
      </c>
      <c r="H8" s="1">
        <v>36</v>
      </c>
      <c r="I8" s="11" t="s">
        <v>69</v>
      </c>
      <c r="J8" s="8" t="s">
        <v>70</v>
      </c>
      <c r="K8" s="8" t="s">
        <v>71</v>
      </c>
      <c r="L8" s="11" t="s">
        <v>24</v>
      </c>
      <c r="M8" s="15">
        <v>39443</v>
      </c>
      <c r="N8" s="1">
        <v>1</v>
      </c>
      <c r="O8" s="11" t="s">
        <v>40</v>
      </c>
      <c r="P8" s="11" t="s">
        <v>72</v>
      </c>
      <c r="Q8" s="11" t="s">
        <v>27</v>
      </c>
      <c r="R8" s="11" t="s">
        <v>42</v>
      </c>
      <c r="S8" s="15">
        <f t="shared" ca="1" si="0"/>
        <v>40470.53652858796</v>
      </c>
      <c r="T8" s="8">
        <f t="shared" ca="1" si="1"/>
        <v>34</v>
      </c>
      <c r="U8" s="11" t="s">
        <v>42</v>
      </c>
      <c r="V8" s="11" t="s">
        <v>42</v>
      </c>
      <c r="W8" s="11" t="s">
        <v>42</v>
      </c>
      <c r="X8" s="11" t="s">
        <v>42</v>
      </c>
      <c r="Y8" s="32" t="s">
        <v>42</v>
      </c>
      <c r="Z8" s="16">
        <v>24.817779999999999</v>
      </c>
      <c r="AA8" s="16">
        <v>67.16583</v>
      </c>
      <c r="AB8" s="17" t="s">
        <v>33</v>
      </c>
      <c r="AC8" s="18" t="s">
        <v>44</v>
      </c>
      <c r="AD8" s="25">
        <v>39688</v>
      </c>
      <c r="AH8" s="11" t="s">
        <v>44</v>
      </c>
    </row>
    <row r="9" spans="1:34" ht="12.75" customHeight="1">
      <c r="A9" s="1">
        <v>8</v>
      </c>
      <c r="B9" s="14">
        <v>39448</v>
      </c>
      <c r="C9" s="15">
        <v>39449</v>
      </c>
      <c r="E9" s="8" t="s">
        <v>73</v>
      </c>
      <c r="G9" s="11" t="s">
        <v>20</v>
      </c>
      <c r="H9" s="1">
        <v>60</v>
      </c>
      <c r="I9" s="11" t="s">
        <v>74</v>
      </c>
      <c r="J9" s="8" t="s">
        <v>75</v>
      </c>
      <c r="K9" s="8" t="s">
        <v>59</v>
      </c>
      <c r="L9" s="11" t="s">
        <v>24</v>
      </c>
      <c r="M9" s="15">
        <v>39459</v>
      </c>
      <c r="N9" s="1">
        <v>1</v>
      </c>
      <c r="O9" s="11" t="s">
        <v>25</v>
      </c>
      <c r="P9" s="11" t="s">
        <v>26</v>
      </c>
      <c r="Q9" s="11" t="s">
        <v>27</v>
      </c>
      <c r="R9" s="11" t="s">
        <v>76</v>
      </c>
      <c r="S9" s="15">
        <f t="shared" ca="1" si="0"/>
        <v>40470.53652858796</v>
      </c>
      <c r="T9" s="8">
        <f t="shared" ca="1" si="1"/>
        <v>33</v>
      </c>
      <c r="U9" s="25" t="s">
        <v>42</v>
      </c>
      <c r="V9" s="25" t="s">
        <v>60</v>
      </c>
      <c r="W9" s="25" t="s">
        <v>60</v>
      </c>
      <c r="X9" s="25" t="s">
        <v>28</v>
      </c>
      <c r="Y9" s="32" t="s">
        <v>42</v>
      </c>
      <c r="Z9" s="16">
        <v>24.8323</v>
      </c>
      <c r="AA9" s="16">
        <v>67.171530000000004</v>
      </c>
      <c r="AB9" s="17"/>
      <c r="AC9" s="12" t="s">
        <v>915</v>
      </c>
      <c r="AD9" s="25">
        <v>39693</v>
      </c>
      <c r="AH9" s="11" t="s">
        <v>61</v>
      </c>
    </row>
    <row r="10" spans="1:34" ht="12.75" customHeight="1">
      <c r="A10" s="1">
        <v>9</v>
      </c>
      <c r="B10" s="14">
        <v>39448</v>
      </c>
      <c r="C10" s="15">
        <v>39451</v>
      </c>
      <c r="E10" s="8" t="s">
        <v>77</v>
      </c>
      <c r="G10" s="11" t="s">
        <v>20</v>
      </c>
      <c r="H10" s="1">
        <v>32</v>
      </c>
      <c r="I10" s="11" t="s">
        <v>78</v>
      </c>
      <c r="J10" s="8" t="s">
        <v>79</v>
      </c>
      <c r="K10" s="8" t="s">
        <v>23</v>
      </c>
      <c r="L10" s="11" t="s">
        <v>24</v>
      </c>
      <c r="M10" s="15">
        <v>39451</v>
      </c>
      <c r="N10" s="1">
        <v>2</v>
      </c>
      <c r="O10" s="11" t="s">
        <v>25</v>
      </c>
      <c r="P10" s="11" t="s">
        <v>26</v>
      </c>
      <c r="Q10" s="11" t="s">
        <v>49</v>
      </c>
      <c r="R10" s="11" t="s">
        <v>76</v>
      </c>
      <c r="S10" s="15">
        <f t="shared" ca="1" si="0"/>
        <v>40470.53652858796</v>
      </c>
      <c r="T10" s="8">
        <f t="shared" ca="1" si="1"/>
        <v>33</v>
      </c>
      <c r="U10" s="25" t="s">
        <v>42</v>
      </c>
      <c r="V10" s="25" t="s">
        <v>56</v>
      </c>
      <c r="W10" s="25" t="s">
        <v>2731</v>
      </c>
      <c r="X10" s="11" t="s">
        <v>56</v>
      </c>
      <c r="Y10" s="32" t="s">
        <v>42</v>
      </c>
      <c r="Z10" s="16">
        <v>24.814440000000001</v>
      </c>
      <c r="AA10" s="16">
        <v>67.106390000000005</v>
      </c>
      <c r="AB10" s="17" t="s">
        <v>33</v>
      </c>
      <c r="AC10" s="12" t="s">
        <v>61</v>
      </c>
      <c r="AD10" s="25">
        <v>40398</v>
      </c>
      <c r="AH10" s="11" t="s">
        <v>61</v>
      </c>
    </row>
    <row r="11" spans="1:34">
      <c r="A11" s="1">
        <v>10</v>
      </c>
      <c r="B11" s="14">
        <v>39448</v>
      </c>
      <c r="C11" s="15">
        <v>39454</v>
      </c>
      <c r="E11" s="8" t="s">
        <v>80</v>
      </c>
      <c r="G11" s="11" t="s">
        <v>37</v>
      </c>
      <c r="H11" s="1">
        <v>20</v>
      </c>
      <c r="I11" s="11" t="s">
        <v>81</v>
      </c>
      <c r="J11" s="8" t="s">
        <v>82</v>
      </c>
      <c r="K11" s="8" t="s">
        <v>39</v>
      </c>
      <c r="L11" s="11" t="s">
        <v>24</v>
      </c>
      <c r="M11" s="15">
        <v>39454</v>
      </c>
      <c r="N11" s="1">
        <v>1</v>
      </c>
      <c r="O11" s="11" t="s">
        <v>40</v>
      </c>
      <c r="P11" s="11" t="s">
        <v>83</v>
      </c>
      <c r="Q11" s="11" t="s">
        <v>27</v>
      </c>
      <c r="R11" s="25" t="s">
        <v>56</v>
      </c>
      <c r="S11" s="15">
        <f t="shared" ca="1" si="0"/>
        <v>40470.53652858796</v>
      </c>
      <c r="T11" s="8">
        <f t="shared" ca="1" si="1"/>
        <v>33</v>
      </c>
      <c r="U11" s="11" t="s">
        <v>42</v>
      </c>
      <c r="V11" s="11" t="s">
        <v>42</v>
      </c>
      <c r="W11" s="11" t="s">
        <v>42</v>
      </c>
      <c r="X11" s="11" t="s">
        <v>42</v>
      </c>
      <c r="Y11" s="32" t="s">
        <v>42</v>
      </c>
      <c r="Z11" s="19">
        <v>24.829440000000002</v>
      </c>
      <c r="AA11" s="19">
        <v>67.134169999999997</v>
      </c>
      <c r="AB11" s="17" t="s">
        <v>33</v>
      </c>
      <c r="AC11" s="18" t="s">
        <v>44</v>
      </c>
      <c r="AD11" s="25">
        <v>40398</v>
      </c>
      <c r="AH11" s="11" t="s">
        <v>44</v>
      </c>
    </row>
    <row r="12" spans="1:34" ht="12.75" customHeight="1">
      <c r="A12" s="1">
        <v>11</v>
      </c>
      <c r="B12" s="14">
        <v>39448</v>
      </c>
      <c r="C12" s="15">
        <v>39454</v>
      </c>
      <c r="E12" s="8" t="s">
        <v>84</v>
      </c>
      <c r="G12" s="11" t="s">
        <v>20</v>
      </c>
      <c r="H12" s="1">
        <v>50</v>
      </c>
      <c r="I12" s="11" t="s">
        <v>85</v>
      </c>
      <c r="J12" s="8" t="s">
        <v>86</v>
      </c>
      <c r="K12" s="8" t="s">
        <v>71</v>
      </c>
      <c r="L12" s="11" t="s">
        <v>24</v>
      </c>
      <c r="M12" s="15">
        <v>39454</v>
      </c>
      <c r="N12" s="1">
        <v>1</v>
      </c>
      <c r="O12" s="11" t="s">
        <v>25</v>
      </c>
      <c r="P12" s="11" t="s">
        <v>26</v>
      </c>
      <c r="Q12" s="11" t="s">
        <v>27</v>
      </c>
      <c r="R12" s="25" t="s">
        <v>56</v>
      </c>
      <c r="S12" s="15">
        <f t="shared" ca="1" si="0"/>
        <v>40470.53652858796</v>
      </c>
      <c r="T12" s="8">
        <f t="shared" ca="1" si="1"/>
        <v>33</v>
      </c>
      <c r="U12" s="11" t="s">
        <v>28</v>
      </c>
      <c r="V12" s="11" t="s">
        <v>87</v>
      </c>
      <c r="W12" s="11" t="s">
        <v>56</v>
      </c>
      <c r="X12" s="11" t="s">
        <v>56</v>
      </c>
      <c r="Y12" s="32" t="s">
        <v>42</v>
      </c>
      <c r="Z12" s="16">
        <v>24.823609999999999</v>
      </c>
      <c r="AA12" s="16">
        <v>67.138059999999996</v>
      </c>
      <c r="AB12" s="17" t="s">
        <v>33</v>
      </c>
      <c r="AC12" s="12" t="s">
        <v>915</v>
      </c>
      <c r="AD12" s="25">
        <v>39711</v>
      </c>
      <c r="AH12" s="11" t="s">
        <v>61</v>
      </c>
    </row>
    <row r="13" spans="1:34" ht="12.75" customHeight="1">
      <c r="A13" s="1">
        <v>12</v>
      </c>
      <c r="B13" s="14">
        <v>39448</v>
      </c>
      <c r="C13" s="15">
        <v>39456</v>
      </c>
      <c r="E13" s="8" t="s">
        <v>88</v>
      </c>
      <c r="G13" s="11" t="s">
        <v>20</v>
      </c>
      <c r="H13" s="1">
        <v>44</v>
      </c>
      <c r="I13" s="11" t="s">
        <v>98</v>
      </c>
      <c r="J13" s="8" t="s">
        <v>99</v>
      </c>
      <c r="K13" s="8" t="s">
        <v>100</v>
      </c>
      <c r="L13" s="11" t="s">
        <v>24</v>
      </c>
      <c r="M13" s="15">
        <v>39455</v>
      </c>
      <c r="N13" s="1">
        <v>1</v>
      </c>
      <c r="O13" s="11" t="s">
        <v>25</v>
      </c>
      <c r="P13" s="11" t="s">
        <v>26</v>
      </c>
      <c r="Q13" s="11" t="s">
        <v>27</v>
      </c>
      <c r="R13" s="25" t="s">
        <v>101</v>
      </c>
      <c r="S13" s="15">
        <f t="shared" ca="1" si="0"/>
        <v>40470.53652858796</v>
      </c>
      <c r="T13" s="8">
        <f t="shared" ca="1" si="1"/>
        <v>33</v>
      </c>
      <c r="U13" s="11" t="s">
        <v>42</v>
      </c>
      <c r="V13" s="11" t="s">
        <v>42</v>
      </c>
      <c r="W13" s="11" t="s">
        <v>42</v>
      </c>
      <c r="X13" s="11" t="s">
        <v>42</v>
      </c>
      <c r="Y13" s="32" t="s">
        <v>42</v>
      </c>
      <c r="Z13" s="19">
        <v>24.876390000000001</v>
      </c>
      <c r="AA13" s="19">
        <v>67.036670000000001</v>
      </c>
      <c r="AB13" s="17" t="s">
        <v>102</v>
      </c>
      <c r="AC13" s="12" t="s">
        <v>2510</v>
      </c>
      <c r="AD13" s="25">
        <v>39703</v>
      </c>
      <c r="AH13" s="11" t="s">
        <v>44</v>
      </c>
    </row>
    <row r="14" spans="1:34" ht="12.75" customHeight="1">
      <c r="A14" s="1">
        <v>13</v>
      </c>
      <c r="B14" s="14">
        <v>39448</v>
      </c>
      <c r="C14" s="15">
        <v>39462</v>
      </c>
      <c r="E14" s="8" t="s">
        <v>103</v>
      </c>
      <c r="G14" s="11" t="s">
        <v>20</v>
      </c>
      <c r="H14" s="1">
        <v>23</v>
      </c>
      <c r="I14" s="11" t="s">
        <v>104</v>
      </c>
      <c r="J14" s="8" t="s">
        <v>105</v>
      </c>
      <c r="K14" s="8" t="s">
        <v>106</v>
      </c>
      <c r="L14" s="11" t="s">
        <v>24</v>
      </c>
      <c r="M14" s="15">
        <v>39462</v>
      </c>
      <c r="N14" s="1">
        <v>1</v>
      </c>
      <c r="O14" s="11" t="s">
        <v>25</v>
      </c>
      <c r="P14" s="11" t="s">
        <v>26</v>
      </c>
      <c r="Q14" s="11" t="s">
        <v>27</v>
      </c>
      <c r="R14" s="11" t="s">
        <v>60</v>
      </c>
      <c r="S14" s="15">
        <f t="shared" ca="1" si="0"/>
        <v>40470.53652858796</v>
      </c>
      <c r="T14" s="8">
        <f t="shared" ca="1" si="1"/>
        <v>33</v>
      </c>
      <c r="U14" s="11" t="s">
        <v>28</v>
      </c>
      <c r="V14" s="11" t="s">
        <v>56</v>
      </c>
      <c r="W14" s="25" t="s">
        <v>56</v>
      </c>
      <c r="X14" s="11" t="s">
        <v>56</v>
      </c>
      <c r="Y14" s="32" t="s">
        <v>42</v>
      </c>
      <c r="Z14" s="19">
        <v>24.827220000000001</v>
      </c>
      <c r="AA14" s="19">
        <v>67.081389999999999</v>
      </c>
      <c r="AB14" s="17" t="s">
        <v>33</v>
      </c>
      <c r="AC14" s="12" t="s">
        <v>61</v>
      </c>
      <c r="AD14" s="25">
        <v>39689</v>
      </c>
      <c r="AH14" s="11" t="s">
        <v>61</v>
      </c>
    </row>
    <row r="15" spans="1:34">
      <c r="A15" s="1">
        <v>14</v>
      </c>
      <c r="B15" s="14">
        <v>39448</v>
      </c>
      <c r="C15" s="15">
        <v>39468</v>
      </c>
      <c r="E15" s="8" t="s">
        <v>107</v>
      </c>
      <c r="G15" s="11" t="s">
        <v>37</v>
      </c>
      <c r="H15" s="1">
        <v>29</v>
      </c>
      <c r="I15" s="11" t="s">
        <v>108</v>
      </c>
      <c r="K15" s="8" t="s">
        <v>23</v>
      </c>
      <c r="L15" s="11" t="s">
        <v>24</v>
      </c>
      <c r="M15" s="15">
        <v>39442</v>
      </c>
      <c r="N15" s="1">
        <v>1</v>
      </c>
      <c r="O15" s="11" t="s">
        <v>40</v>
      </c>
      <c r="P15" s="11" t="s">
        <v>109</v>
      </c>
      <c r="Q15" s="11" t="s">
        <v>110</v>
      </c>
      <c r="R15" s="11" t="s">
        <v>42</v>
      </c>
      <c r="S15" s="15">
        <f t="shared" ca="1" si="0"/>
        <v>40470.53652858796</v>
      </c>
      <c r="T15" s="8">
        <f t="shared" ca="1" si="1"/>
        <v>34</v>
      </c>
      <c r="U15" s="11" t="s">
        <v>42</v>
      </c>
      <c r="V15" s="11" t="s">
        <v>42</v>
      </c>
      <c r="W15" s="11" t="s">
        <v>42</v>
      </c>
      <c r="X15" s="11" t="s">
        <v>42</v>
      </c>
      <c r="Y15" s="32" t="s">
        <v>42</v>
      </c>
      <c r="Z15" s="19">
        <v>24.829440000000002</v>
      </c>
      <c r="AA15" s="19">
        <v>67.124719999999996</v>
      </c>
      <c r="AC15" s="12" t="s">
        <v>44</v>
      </c>
      <c r="AD15" s="25">
        <v>39686</v>
      </c>
      <c r="AH15" s="11" t="s">
        <v>44</v>
      </c>
    </row>
    <row r="16" spans="1:34" ht="12.75" customHeight="1">
      <c r="A16" s="1">
        <v>15</v>
      </c>
      <c r="B16" s="14">
        <v>39455</v>
      </c>
      <c r="C16" s="15">
        <v>39468</v>
      </c>
      <c r="E16" s="8" t="s">
        <v>111</v>
      </c>
      <c r="G16" s="11" t="s">
        <v>37</v>
      </c>
      <c r="H16" s="1">
        <v>18</v>
      </c>
      <c r="I16" s="11" t="s">
        <v>112</v>
      </c>
      <c r="J16" s="8" t="s">
        <v>113</v>
      </c>
      <c r="K16" s="8" t="s">
        <v>39</v>
      </c>
      <c r="L16" s="11" t="s">
        <v>24</v>
      </c>
      <c r="M16" s="15">
        <v>39468</v>
      </c>
      <c r="N16" s="1">
        <v>1</v>
      </c>
      <c r="O16" s="11" t="s">
        <v>25</v>
      </c>
      <c r="P16" s="11" t="s">
        <v>26</v>
      </c>
      <c r="Q16" s="11" t="s">
        <v>27</v>
      </c>
      <c r="R16" s="11" t="s">
        <v>55</v>
      </c>
      <c r="S16" s="15">
        <f t="shared" ca="1" si="0"/>
        <v>40470.53652858796</v>
      </c>
      <c r="T16" s="8">
        <f t="shared" ca="1" si="1"/>
        <v>33</v>
      </c>
      <c r="U16" s="25" t="s">
        <v>51</v>
      </c>
      <c r="V16" s="25" t="s">
        <v>56</v>
      </c>
      <c r="W16" s="25" t="s">
        <v>42</v>
      </c>
      <c r="X16" s="25" t="s">
        <v>42</v>
      </c>
      <c r="Y16" s="32" t="s">
        <v>42</v>
      </c>
      <c r="Z16" s="19">
        <v>24.835560000000001</v>
      </c>
      <c r="AA16" s="19">
        <v>67.13194</v>
      </c>
      <c r="AB16" s="17" t="s">
        <v>33</v>
      </c>
      <c r="AC16" s="12" t="s">
        <v>915</v>
      </c>
      <c r="AD16" s="25">
        <v>39712</v>
      </c>
      <c r="AH16" s="11" t="s">
        <v>61</v>
      </c>
    </row>
    <row r="17" spans="1:34" ht="12.75" customHeight="1">
      <c r="A17" s="1">
        <v>16</v>
      </c>
      <c r="B17" s="14">
        <v>39448</v>
      </c>
      <c r="C17" s="15">
        <v>39469</v>
      </c>
      <c r="E17" s="8" t="s">
        <v>114</v>
      </c>
      <c r="G17" s="11" t="s">
        <v>37</v>
      </c>
      <c r="H17" s="1">
        <v>25</v>
      </c>
      <c r="I17" s="11" t="s">
        <v>115</v>
      </c>
      <c r="J17" s="8" t="s">
        <v>116</v>
      </c>
      <c r="K17" s="8" t="s">
        <v>39</v>
      </c>
      <c r="L17" s="11" t="s">
        <v>24</v>
      </c>
      <c r="M17" s="15">
        <v>39469</v>
      </c>
      <c r="N17" s="1">
        <v>1</v>
      </c>
      <c r="O17" s="11" t="s">
        <v>25</v>
      </c>
      <c r="P17" s="11" t="s">
        <v>26</v>
      </c>
      <c r="Q17" s="11" t="s">
        <v>27</v>
      </c>
      <c r="R17" s="11" t="s">
        <v>101</v>
      </c>
      <c r="S17" s="15">
        <f t="shared" ca="1" si="0"/>
        <v>40470.53652858796</v>
      </c>
      <c r="T17" s="8">
        <f t="shared" ca="1" si="1"/>
        <v>33</v>
      </c>
      <c r="U17" s="25" t="s">
        <v>42</v>
      </c>
      <c r="V17" s="25" t="s">
        <v>56</v>
      </c>
      <c r="W17" s="11" t="s">
        <v>42</v>
      </c>
      <c r="X17" s="11" t="s">
        <v>42</v>
      </c>
      <c r="Y17" s="32" t="s">
        <v>42</v>
      </c>
      <c r="Z17" s="19">
        <v>24.82694</v>
      </c>
      <c r="AA17" s="19">
        <v>67.081670000000003</v>
      </c>
      <c r="AB17" s="17" t="s">
        <v>33</v>
      </c>
      <c r="AC17" s="12" t="s">
        <v>44</v>
      </c>
      <c r="AD17" s="25">
        <v>39713</v>
      </c>
      <c r="AH17" s="11" t="s">
        <v>44</v>
      </c>
    </row>
    <row r="18" spans="1:34">
      <c r="A18" s="1">
        <v>17</v>
      </c>
      <c r="B18" s="14">
        <v>39448</v>
      </c>
      <c r="C18" s="15">
        <v>39470</v>
      </c>
      <c r="E18" s="8" t="s">
        <v>117</v>
      </c>
      <c r="G18" s="11" t="s">
        <v>37</v>
      </c>
      <c r="H18" s="1">
        <v>10</v>
      </c>
      <c r="I18" s="11" t="s">
        <v>118</v>
      </c>
      <c r="K18" s="8" t="s">
        <v>23</v>
      </c>
      <c r="L18" s="11" t="s">
        <v>24</v>
      </c>
      <c r="M18" s="15">
        <v>39470</v>
      </c>
      <c r="N18" s="1">
        <v>1</v>
      </c>
      <c r="O18" s="11" t="s">
        <v>40</v>
      </c>
      <c r="P18" s="11" t="s">
        <v>72</v>
      </c>
      <c r="Q18" s="11" t="s">
        <v>27</v>
      </c>
      <c r="R18" s="11" t="s">
        <v>42</v>
      </c>
      <c r="S18" s="15">
        <f t="shared" ca="1" si="0"/>
        <v>40470.53652858796</v>
      </c>
      <c r="T18" s="8">
        <f t="shared" ca="1" si="1"/>
        <v>33</v>
      </c>
      <c r="U18" s="11" t="s">
        <v>42</v>
      </c>
      <c r="V18" s="11" t="s">
        <v>42</v>
      </c>
      <c r="W18" s="11" t="s">
        <v>42</v>
      </c>
      <c r="X18" s="11" t="s">
        <v>42</v>
      </c>
      <c r="Y18" s="32" t="s">
        <v>42</v>
      </c>
      <c r="Z18" s="19">
        <v>24.814170000000001</v>
      </c>
      <c r="AA18" s="19">
        <v>67.160830000000004</v>
      </c>
      <c r="AB18" s="17" t="s">
        <v>102</v>
      </c>
      <c r="AC18" s="12" t="s">
        <v>2510</v>
      </c>
      <c r="AD18" s="25">
        <v>39714</v>
      </c>
      <c r="AH18" s="11" t="s">
        <v>44</v>
      </c>
    </row>
    <row r="19" spans="1:34">
      <c r="A19" s="1">
        <v>18</v>
      </c>
      <c r="B19" s="14">
        <v>39455</v>
      </c>
      <c r="C19" s="15">
        <v>39475</v>
      </c>
      <c r="E19" s="8" t="s">
        <v>119</v>
      </c>
      <c r="G19" s="11" t="s">
        <v>37</v>
      </c>
      <c r="H19" s="1">
        <v>20</v>
      </c>
      <c r="I19" s="11" t="s">
        <v>120</v>
      </c>
      <c r="J19" s="8" t="s">
        <v>121</v>
      </c>
      <c r="K19" s="8" t="s">
        <v>39</v>
      </c>
      <c r="L19" s="11" t="s">
        <v>24</v>
      </c>
      <c r="M19" s="15">
        <v>39416</v>
      </c>
      <c r="N19" s="1">
        <v>1</v>
      </c>
      <c r="O19" s="11" t="s">
        <v>40</v>
      </c>
      <c r="P19" s="11" t="s">
        <v>72</v>
      </c>
      <c r="Q19" s="11" t="s">
        <v>27</v>
      </c>
      <c r="R19" s="11" t="s">
        <v>42</v>
      </c>
      <c r="S19" s="15">
        <f t="shared" ca="1" si="0"/>
        <v>40470.53652858796</v>
      </c>
      <c r="T19" s="8">
        <f t="shared" ca="1" si="1"/>
        <v>35</v>
      </c>
      <c r="U19" s="11" t="s">
        <v>42</v>
      </c>
      <c r="V19" s="11" t="s">
        <v>42</v>
      </c>
      <c r="W19" s="11" t="s">
        <v>42</v>
      </c>
      <c r="X19" s="11" t="s">
        <v>42</v>
      </c>
      <c r="Y19" s="32" t="s">
        <v>42</v>
      </c>
      <c r="Z19" s="19">
        <v>24.83417</v>
      </c>
      <c r="AA19" s="19">
        <v>67.124719999999996</v>
      </c>
      <c r="AB19" s="17" t="s">
        <v>33</v>
      </c>
      <c r="AC19" s="12" t="s">
        <v>2511</v>
      </c>
      <c r="AD19" s="25">
        <v>39448</v>
      </c>
      <c r="AH19" s="11" t="s">
        <v>122</v>
      </c>
    </row>
    <row r="20" spans="1:34" ht="12.75" customHeight="1">
      <c r="A20" s="1">
        <v>19</v>
      </c>
      <c r="B20" s="14">
        <v>39448</v>
      </c>
      <c r="C20" s="15">
        <v>39477</v>
      </c>
      <c r="E20" s="8" t="s">
        <v>123</v>
      </c>
      <c r="G20" s="11" t="s">
        <v>20</v>
      </c>
      <c r="H20" s="1">
        <v>15</v>
      </c>
      <c r="I20" s="17" t="s">
        <v>124</v>
      </c>
      <c r="J20" s="20" t="s">
        <v>125</v>
      </c>
      <c r="K20" s="20" t="s">
        <v>106</v>
      </c>
      <c r="L20" s="11" t="s">
        <v>24</v>
      </c>
      <c r="M20" s="15">
        <v>39477</v>
      </c>
      <c r="N20" s="1">
        <v>1</v>
      </c>
      <c r="O20" s="11" t="s">
        <v>25</v>
      </c>
      <c r="P20" s="11" t="s">
        <v>26</v>
      </c>
      <c r="Q20" s="11" t="s">
        <v>27</v>
      </c>
      <c r="R20" s="25" t="s">
        <v>28</v>
      </c>
      <c r="S20" s="15">
        <f t="shared" ca="1" si="0"/>
        <v>40470.53652858796</v>
      </c>
      <c r="T20" s="8">
        <f t="shared" ca="1" si="1"/>
        <v>33</v>
      </c>
      <c r="U20" s="25" t="s">
        <v>42</v>
      </c>
      <c r="V20" s="25" t="s">
        <v>56</v>
      </c>
      <c r="W20" s="11" t="s">
        <v>51</v>
      </c>
      <c r="X20" s="11" t="s">
        <v>51</v>
      </c>
      <c r="Y20" s="32" t="s">
        <v>42</v>
      </c>
      <c r="Z20" s="19">
        <v>24.83417</v>
      </c>
      <c r="AA20" s="19">
        <v>67.124719999999996</v>
      </c>
      <c r="AB20" s="11" t="s">
        <v>33</v>
      </c>
      <c r="AC20" s="12" t="s">
        <v>915</v>
      </c>
      <c r="AD20" s="25">
        <v>39721</v>
      </c>
      <c r="AH20" s="11" t="s">
        <v>61</v>
      </c>
    </row>
    <row r="21" spans="1:34" ht="13.5" customHeight="1">
      <c r="A21" s="1">
        <v>20</v>
      </c>
      <c r="B21" s="14">
        <v>39448</v>
      </c>
      <c r="C21" s="15">
        <v>39478</v>
      </c>
      <c r="E21" s="8" t="s">
        <v>126</v>
      </c>
      <c r="G21" s="11" t="s">
        <v>20</v>
      </c>
      <c r="H21" s="1">
        <v>20</v>
      </c>
      <c r="I21" s="17" t="s">
        <v>127</v>
      </c>
      <c r="J21" s="20" t="s">
        <v>128</v>
      </c>
      <c r="K21" s="20" t="s">
        <v>48</v>
      </c>
      <c r="L21" s="11" t="s">
        <v>24</v>
      </c>
      <c r="M21" s="15">
        <v>39478</v>
      </c>
      <c r="N21" s="1">
        <v>1</v>
      </c>
      <c r="O21" s="11" t="s">
        <v>25</v>
      </c>
      <c r="P21" s="11" t="s">
        <v>26</v>
      </c>
      <c r="Q21" s="11" t="s">
        <v>27</v>
      </c>
      <c r="R21" s="11" t="s">
        <v>28</v>
      </c>
      <c r="S21" s="15">
        <f t="shared" ca="1" si="0"/>
        <v>40470.53652858796</v>
      </c>
      <c r="T21" s="8">
        <f t="shared" ca="1" si="1"/>
        <v>33</v>
      </c>
      <c r="U21" s="25" t="s">
        <v>56</v>
      </c>
      <c r="V21" s="11" t="s">
        <v>42</v>
      </c>
      <c r="W21" s="25" t="s">
        <v>42</v>
      </c>
      <c r="X21" s="11" t="s">
        <v>56</v>
      </c>
      <c r="Y21" s="32" t="s">
        <v>42</v>
      </c>
      <c r="Z21" s="19">
        <v>24.83388888888889</v>
      </c>
      <c r="AA21" s="19">
        <v>67.142777777777781</v>
      </c>
      <c r="AB21" s="11" t="s">
        <v>33</v>
      </c>
      <c r="AC21" s="12" t="s">
        <v>915</v>
      </c>
      <c r="AD21" s="25">
        <v>39722</v>
      </c>
      <c r="AH21" s="11" t="s">
        <v>61</v>
      </c>
    </row>
    <row r="22" spans="1:34" ht="12.75" customHeight="1">
      <c r="A22" s="1">
        <v>21</v>
      </c>
      <c r="B22" s="14">
        <v>39448</v>
      </c>
      <c r="C22" s="15">
        <v>39478</v>
      </c>
      <c r="E22" s="8" t="s">
        <v>129</v>
      </c>
      <c r="G22" s="11" t="s">
        <v>20</v>
      </c>
      <c r="H22" s="1">
        <v>65</v>
      </c>
      <c r="I22" s="11" t="s">
        <v>130</v>
      </c>
      <c r="J22" s="8" t="s">
        <v>131</v>
      </c>
      <c r="K22" s="8" t="s">
        <v>71</v>
      </c>
      <c r="L22" s="11" t="s">
        <v>24</v>
      </c>
      <c r="M22" s="15">
        <v>39478</v>
      </c>
      <c r="N22" s="1">
        <v>2</v>
      </c>
      <c r="O22" s="11" t="s">
        <v>25</v>
      </c>
      <c r="P22" s="11" t="s">
        <v>26</v>
      </c>
      <c r="Q22" s="11" t="s">
        <v>49</v>
      </c>
      <c r="R22" s="25" t="s">
        <v>56</v>
      </c>
      <c r="S22" s="15">
        <f t="shared" ca="1" si="0"/>
        <v>40470.53652858796</v>
      </c>
      <c r="T22" s="8">
        <f t="shared" ca="1" si="1"/>
        <v>33</v>
      </c>
      <c r="U22" s="25" t="s">
        <v>56</v>
      </c>
      <c r="V22" s="11" t="s">
        <v>42</v>
      </c>
      <c r="W22" s="11" t="s">
        <v>42</v>
      </c>
      <c r="X22" s="11" t="s">
        <v>42</v>
      </c>
      <c r="Y22" s="32" t="s">
        <v>42</v>
      </c>
      <c r="Z22" s="21">
        <v>24.852222222222224</v>
      </c>
      <c r="AA22" s="21">
        <v>67.169444444444451</v>
      </c>
      <c r="AB22" s="22" t="s">
        <v>33</v>
      </c>
      <c r="AC22" s="23" t="s">
        <v>2512</v>
      </c>
      <c r="AD22" s="25">
        <v>39508</v>
      </c>
      <c r="AH22" s="11" t="s">
        <v>132</v>
      </c>
    </row>
    <row r="23" spans="1:34" ht="12.75" customHeight="1">
      <c r="A23" s="1">
        <v>22</v>
      </c>
      <c r="B23" s="14">
        <v>39479</v>
      </c>
      <c r="C23" s="15">
        <v>39479</v>
      </c>
      <c r="E23" s="8" t="s">
        <v>133</v>
      </c>
      <c r="G23" s="11" t="s">
        <v>20</v>
      </c>
      <c r="H23" s="1">
        <v>27</v>
      </c>
      <c r="I23" s="11" t="s">
        <v>134</v>
      </c>
      <c r="J23" s="8" t="s">
        <v>135</v>
      </c>
      <c r="K23" s="8" t="s">
        <v>48</v>
      </c>
      <c r="L23" s="11" t="s">
        <v>24</v>
      </c>
      <c r="M23" s="15">
        <v>39479</v>
      </c>
      <c r="N23" s="1">
        <v>1</v>
      </c>
      <c r="O23" s="11" t="s">
        <v>25</v>
      </c>
      <c r="P23" s="11" t="s">
        <v>26</v>
      </c>
      <c r="Q23" s="11" t="s">
        <v>27</v>
      </c>
      <c r="R23" s="11" t="s">
        <v>65</v>
      </c>
      <c r="S23" s="15">
        <f t="shared" ca="1" si="0"/>
        <v>40470.53652858796</v>
      </c>
      <c r="T23" s="8">
        <f t="shared" ca="1" si="1"/>
        <v>32</v>
      </c>
      <c r="U23" s="11" t="s">
        <v>42</v>
      </c>
      <c r="V23" s="11" t="s">
        <v>42</v>
      </c>
      <c r="W23" s="11" t="s">
        <v>42</v>
      </c>
      <c r="X23" s="11" t="s">
        <v>42</v>
      </c>
      <c r="Y23" s="32" t="s">
        <v>42</v>
      </c>
      <c r="Z23" s="19">
        <v>24.835000000000001</v>
      </c>
      <c r="AA23" s="19">
        <v>67.132222222222225</v>
      </c>
      <c r="AB23" s="11" t="s">
        <v>33</v>
      </c>
      <c r="AC23" s="12" t="s">
        <v>136</v>
      </c>
      <c r="AD23" s="25">
        <v>39494</v>
      </c>
      <c r="AH23" s="11" t="s">
        <v>122</v>
      </c>
    </row>
    <row r="24" spans="1:34" ht="12.75" customHeight="1">
      <c r="A24" s="1">
        <v>23</v>
      </c>
      <c r="B24" s="14">
        <v>39479</v>
      </c>
      <c r="C24" s="15">
        <v>39484</v>
      </c>
      <c r="E24" s="8" t="s">
        <v>137</v>
      </c>
      <c r="G24" s="11" t="s">
        <v>37</v>
      </c>
      <c r="H24" s="1">
        <v>20</v>
      </c>
      <c r="I24" s="11" t="s">
        <v>138</v>
      </c>
      <c r="K24" s="8" t="s">
        <v>39</v>
      </c>
      <c r="L24" s="11" t="s">
        <v>24</v>
      </c>
      <c r="M24" s="15">
        <v>39484</v>
      </c>
      <c r="N24" s="1">
        <v>1</v>
      </c>
      <c r="O24" s="11" t="s">
        <v>25</v>
      </c>
      <c r="P24" s="11" t="s">
        <v>26</v>
      </c>
      <c r="Q24" s="11" t="s">
        <v>27</v>
      </c>
      <c r="R24" s="11" t="s">
        <v>60</v>
      </c>
      <c r="S24" s="15">
        <f t="shared" ca="1" si="0"/>
        <v>40470.53652858796</v>
      </c>
      <c r="T24" s="8">
        <f t="shared" ca="1" si="1"/>
        <v>32</v>
      </c>
      <c r="U24" s="25" t="s">
        <v>42</v>
      </c>
      <c r="V24" s="25" t="s">
        <v>56</v>
      </c>
      <c r="W24" s="25" t="s">
        <v>56</v>
      </c>
      <c r="X24" s="11" t="s">
        <v>56</v>
      </c>
      <c r="Y24" s="32" t="s">
        <v>42</v>
      </c>
      <c r="Z24" s="21">
        <v>24.849720000000001</v>
      </c>
      <c r="AA24" s="21">
        <v>67.081940000000003</v>
      </c>
      <c r="AB24" s="24"/>
      <c r="AC24" s="12" t="s">
        <v>915</v>
      </c>
      <c r="AD24" s="25">
        <v>39727</v>
      </c>
      <c r="AH24" s="11" t="s">
        <v>61</v>
      </c>
    </row>
    <row r="25" spans="1:34">
      <c r="A25" s="1">
        <v>24</v>
      </c>
      <c r="B25" s="14">
        <v>39479</v>
      </c>
      <c r="C25" s="15">
        <v>39490</v>
      </c>
      <c r="E25" s="8" t="s">
        <v>139</v>
      </c>
      <c r="G25" s="11" t="s">
        <v>37</v>
      </c>
      <c r="H25" s="1">
        <v>15</v>
      </c>
      <c r="I25" s="11" t="s">
        <v>140</v>
      </c>
      <c r="J25" s="8" t="s">
        <v>141</v>
      </c>
      <c r="K25" s="8" t="s">
        <v>48</v>
      </c>
      <c r="L25" s="11" t="s">
        <v>24</v>
      </c>
      <c r="M25" s="15">
        <v>39490</v>
      </c>
      <c r="N25" s="1">
        <v>2</v>
      </c>
      <c r="O25" s="11" t="s">
        <v>40</v>
      </c>
      <c r="P25" s="11" t="s">
        <v>142</v>
      </c>
      <c r="Q25" s="11" t="s">
        <v>49</v>
      </c>
      <c r="R25" s="11" t="s">
        <v>42</v>
      </c>
      <c r="S25" s="15">
        <f t="shared" ca="1" si="0"/>
        <v>40470.53652858796</v>
      </c>
      <c r="T25" s="8">
        <f t="shared" ca="1" si="1"/>
        <v>32</v>
      </c>
      <c r="U25" s="11" t="s">
        <v>42</v>
      </c>
      <c r="V25" s="11" t="s">
        <v>42</v>
      </c>
      <c r="W25" s="11" t="s">
        <v>42</v>
      </c>
      <c r="X25" s="11" t="s">
        <v>42</v>
      </c>
      <c r="Y25" s="32" t="s">
        <v>42</v>
      </c>
      <c r="Z25" s="21">
        <v>24.899444444444445</v>
      </c>
      <c r="AA25" s="21">
        <v>24.899444444444445</v>
      </c>
      <c r="AB25" s="24" t="s">
        <v>33</v>
      </c>
      <c r="AC25" s="12" t="s">
        <v>2510</v>
      </c>
      <c r="AD25" s="25">
        <v>39722</v>
      </c>
      <c r="AH25" s="11" t="s">
        <v>44</v>
      </c>
    </row>
    <row r="26" spans="1:34">
      <c r="A26" s="1">
        <v>25</v>
      </c>
      <c r="B26" s="14">
        <v>39479</v>
      </c>
      <c r="C26" s="15">
        <v>39490</v>
      </c>
      <c r="E26" s="8" t="s">
        <v>143</v>
      </c>
      <c r="G26" s="11" t="s">
        <v>37</v>
      </c>
      <c r="H26" s="1">
        <v>17</v>
      </c>
      <c r="I26" s="11" t="s">
        <v>144</v>
      </c>
      <c r="J26" s="8" t="s">
        <v>113</v>
      </c>
      <c r="K26" s="8" t="s">
        <v>39</v>
      </c>
      <c r="L26" s="11" t="s">
        <v>24</v>
      </c>
      <c r="M26" s="15">
        <v>39490</v>
      </c>
      <c r="N26" s="1">
        <v>1</v>
      </c>
      <c r="O26" s="11" t="s">
        <v>40</v>
      </c>
      <c r="P26" s="11" t="s">
        <v>72</v>
      </c>
      <c r="Q26" s="11" t="s">
        <v>27</v>
      </c>
      <c r="R26" s="11" t="s">
        <v>42</v>
      </c>
      <c r="S26" s="15">
        <f t="shared" ca="1" si="0"/>
        <v>40470.53652858796</v>
      </c>
      <c r="T26" s="8">
        <f t="shared" ca="1" si="1"/>
        <v>32</v>
      </c>
      <c r="U26" s="11" t="s">
        <v>42</v>
      </c>
      <c r="V26" s="11" t="s">
        <v>42</v>
      </c>
      <c r="W26" s="11" t="s">
        <v>42</v>
      </c>
      <c r="X26" s="11" t="s">
        <v>42</v>
      </c>
      <c r="Y26" s="32" t="s">
        <v>42</v>
      </c>
      <c r="Z26" s="21">
        <v>24.835000000000001</v>
      </c>
      <c r="AA26" s="21">
        <v>67.132222222222225</v>
      </c>
      <c r="AB26" s="24" t="s">
        <v>33</v>
      </c>
      <c r="AC26" s="12" t="s">
        <v>2510</v>
      </c>
      <c r="AD26" s="25">
        <v>39722</v>
      </c>
      <c r="AH26" s="11" t="s">
        <v>44</v>
      </c>
    </row>
    <row r="27" spans="1:34" ht="12.75" customHeight="1">
      <c r="A27" s="1">
        <v>26</v>
      </c>
      <c r="B27" s="14">
        <v>39479</v>
      </c>
      <c r="C27" s="15">
        <v>39491</v>
      </c>
      <c r="E27" s="8" t="s">
        <v>145</v>
      </c>
      <c r="G27" s="11" t="s">
        <v>20</v>
      </c>
      <c r="H27" s="1">
        <v>28</v>
      </c>
      <c r="I27" s="11" t="s">
        <v>146</v>
      </c>
      <c r="J27" s="8" t="s">
        <v>147</v>
      </c>
      <c r="K27" s="8" t="s">
        <v>23</v>
      </c>
      <c r="L27" s="11" t="s">
        <v>24</v>
      </c>
      <c r="M27" s="15">
        <v>39491</v>
      </c>
      <c r="N27" s="1">
        <v>1</v>
      </c>
      <c r="O27" s="11" t="s">
        <v>25</v>
      </c>
      <c r="P27" s="11" t="s">
        <v>26</v>
      </c>
      <c r="Q27" s="11" t="s">
        <v>110</v>
      </c>
      <c r="R27" s="25" t="s">
        <v>2732</v>
      </c>
      <c r="S27" s="15">
        <f t="shared" ca="1" si="0"/>
        <v>40470.53652858796</v>
      </c>
      <c r="T27" s="8">
        <f t="shared" ca="1" si="1"/>
        <v>32</v>
      </c>
      <c r="U27" s="11" t="s">
        <v>42</v>
      </c>
      <c r="V27" s="11" t="s">
        <v>42</v>
      </c>
      <c r="W27" s="11" t="s">
        <v>42</v>
      </c>
      <c r="X27" s="11" t="s">
        <v>42</v>
      </c>
      <c r="Y27" s="32" t="s">
        <v>42</v>
      </c>
      <c r="Z27" s="21">
        <v>24.837499999999999</v>
      </c>
      <c r="AA27" s="21">
        <v>67.075555555555553</v>
      </c>
      <c r="AB27" s="24" t="s">
        <v>33</v>
      </c>
      <c r="AC27" s="25" t="s">
        <v>2513</v>
      </c>
      <c r="AD27" s="25">
        <v>39532</v>
      </c>
      <c r="AH27" s="11" t="s">
        <v>122</v>
      </c>
    </row>
    <row r="28" spans="1:34" ht="12.75" customHeight="1">
      <c r="A28" s="1">
        <v>27</v>
      </c>
      <c r="B28" s="14">
        <v>39479</v>
      </c>
      <c r="C28" s="15">
        <v>39492</v>
      </c>
      <c r="E28" s="8" t="s">
        <v>148</v>
      </c>
      <c r="G28" s="11" t="s">
        <v>37</v>
      </c>
      <c r="H28" s="1">
        <v>17</v>
      </c>
      <c r="I28" s="11" t="s">
        <v>149</v>
      </c>
      <c r="J28" s="8" t="s">
        <v>150</v>
      </c>
      <c r="K28" s="8" t="s">
        <v>23</v>
      </c>
      <c r="L28" s="11" t="s">
        <v>24</v>
      </c>
      <c r="M28" s="15">
        <v>39492</v>
      </c>
      <c r="N28" s="1">
        <v>1</v>
      </c>
      <c r="O28" s="11" t="s">
        <v>25</v>
      </c>
      <c r="P28" s="11" t="s">
        <v>26</v>
      </c>
      <c r="Q28" s="11" t="s">
        <v>27</v>
      </c>
      <c r="R28" s="11" t="s">
        <v>28</v>
      </c>
      <c r="S28" s="15">
        <f t="shared" ca="1" si="0"/>
        <v>40470.53652858796</v>
      </c>
      <c r="T28" s="8">
        <f t="shared" ca="1" si="1"/>
        <v>32</v>
      </c>
      <c r="U28" s="11" t="s">
        <v>28</v>
      </c>
      <c r="V28" s="25" t="s">
        <v>2731</v>
      </c>
      <c r="W28" s="11" t="s">
        <v>56</v>
      </c>
      <c r="X28" s="11" t="s">
        <v>56</v>
      </c>
      <c r="Y28" s="32" t="s">
        <v>42</v>
      </c>
      <c r="Z28" s="21">
        <v>24.83388888888889</v>
      </c>
      <c r="AA28" s="21">
        <v>67.142777777777781</v>
      </c>
      <c r="AB28" s="24" t="s">
        <v>33</v>
      </c>
      <c r="AC28" s="12" t="s">
        <v>61</v>
      </c>
      <c r="AD28" s="25">
        <v>39769</v>
      </c>
      <c r="AH28" s="11" t="s">
        <v>61</v>
      </c>
    </row>
    <row r="29" spans="1:34">
      <c r="A29" s="1">
        <v>28</v>
      </c>
      <c r="B29" s="14">
        <v>39479</v>
      </c>
      <c r="C29" s="15">
        <v>39493</v>
      </c>
      <c r="E29" s="8" t="s">
        <v>151</v>
      </c>
      <c r="G29" s="11" t="s">
        <v>20</v>
      </c>
      <c r="H29" s="1">
        <v>31</v>
      </c>
      <c r="I29" s="11" t="s">
        <v>152</v>
      </c>
      <c r="J29" s="8" t="s">
        <v>153</v>
      </c>
      <c r="K29" s="8" t="s">
        <v>48</v>
      </c>
      <c r="L29" s="11" t="s">
        <v>24</v>
      </c>
      <c r="M29" s="15">
        <v>39493</v>
      </c>
      <c r="N29" s="1">
        <v>1</v>
      </c>
      <c r="O29" s="11" t="s">
        <v>40</v>
      </c>
      <c r="P29" s="11" t="s">
        <v>72</v>
      </c>
      <c r="Q29" s="11" t="s">
        <v>27</v>
      </c>
      <c r="R29" s="11" t="s">
        <v>42</v>
      </c>
      <c r="S29" s="15">
        <f t="shared" ca="1" si="0"/>
        <v>40470.53652858796</v>
      </c>
      <c r="T29" s="8">
        <f t="shared" ca="1" si="1"/>
        <v>32</v>
      </c>
      <c r="U29" s="11" t="s">
        <v>42</v>
      </c>
      <c r="V29" s="11" t="s">
        <v>42</v>
      </c>
      <c r="W29" s="11" t="s">
        <v>42</v>
      </c>
      <c r="X29" s="11" t="s">
        <v>42</v>
      </c>
      <c r="Y29" s="32" t="s">
        <v>42</v>
      </c>
      <c r="Z29" s="21">
        <v>24.813333333333333</v>
      </c>
      <c r="AA29" s="21">
        <v>67.146388888888893</v>
      </c>
      <c r="AB29" s="24" t="s">
        <v>102</v>
      </c>
      <c r="AC29" s="12" t="s">
        <v>2510</v>
      </c>
      <c r="AD29" s="25">
        <v>39722</v>
      </c>
      <c r="AH29" s="11" t="s">
        <v>44</v>
      </c>
    </row>
    <row r="30" spans="1:34">
      <c r="A30" s="1">
        <v>29</v>
      </c>
      <c r="B30" s="14">
        <v>39493</v>
      </c>
      <c r="C30" s="15">
        <v>39493</v>
      </c>
      <c r="E30" s="8" t="s">
        <v>154</v>
      </c>
      <c r="G30" s="11" t="s">
        <v>37</v>
      </c>
      <c r="H30" s="1">
        <v>55</v>
      </c>
      <c r="I30" s="11" t="s">
        <v>155</v>
      </c>
      <c r="J30" s="8" t="s">
        <v>156</v>
      </c>
      <c r="K30" s="8" t="s">
        <v>59</v>
      </c>
      <c r="L30" s="11" t="s">
        <v>24</v>
      </c>
      <c r="M30" s="15">
        <v>39493</v>
      </c>
      <c r="N30" s="1">
        <v>1</v>
      </c>
      <c r="O30" s="11" t="s">
        <v>40</v>
      </c>
      <c r="P30" s="11" t="s">
        <v>109</v>
      </c>
      <c r="Q30" s="11" t="s">
        <v>49</v>
      </c>
      <c r="R30" s="25" t="s">
        <v>56</v>
      </c>
      <c r="S30" s="15">
        <f t="shared" ca="1" si="0"/>
        <v>40470.53652858796</v>
      </c>
      <c r="T30" s="8">
        <f t="shared" ca="1" si="1"/>
        <v>32</v>
      </c>
      <c r="U30" s="11" t="s">
        <v>42</v>
      </c>
      <c r="V30" s="11" t="s">
        <v>42</v>
      </c>
      <c r="W30" s="11" t="s">
        <v>42</v>
      </c>
      <c r="X30" s="11" t="s">
        <v>42</v>
      </c>
      <c r="Y30" s="32" t="s">
        <v>42</v>
      </c>
      <c r="Z30" s="21">
        <v>24.82798</v>
      </c>
      <c r="AA30" s="21">
        <v>67.173010000000005</v>
      </c>
      <c r="AC30" s="12" t="s">
        <v>157</v>
      </c>
      <c r="AD30" s="25">
        <v>39493</v>
      </c>
      <c r="AH30" s="11" t="s">
        <v>158</v>
      </c>
    </row>
    <row r="31" spans="1:34" ht="12.75" customHeight="1">
      <c r="A31" s="1">
        <v>30</v>
      </c>
      <c r="B31" s="14">
        <v>39479</v>
      </c>
      <c r="C31" s="15">
        <v>39497</v>
      </c>
      <c r="E31" s="8" t="s">
        <v>159</v>
      </c>
      <c r="G31" s="11" t="s">
        <v>20</v>
      </c>
      <c r="H31" s="1">
        <v>19</v>
      </c>
      <c r="I31" s="11" t="s">
        <v>160</v>
      </c>
      <c r="J31" s="8" t="s">
        <v>125</v>
      </c>
      <c r="K31" s="8" t="s">
        <v>48</v>
      </c>
      <c r="L31" s="11" t="s">
        <v>24</v>
      </c>
      <c r="M31" s="15">
        <v>39497</v>
      </c>
      <c r="N31" s="1">
        <v>1</v>
      </c>
      <c r="O31" s="11" t="s">
        <v>25</v>
      </c>
      <c r="P31" s="11" t="s">
        <v>26</v>
      </c>
      <c r="Q31" s="11" t="s">
        <v>27</v>
      </c>
      <c r="R31" s="11" t="s">
        <v>28</v>
      </c>
      <c r="S31" s="15">
        <f t="shared" ca="1" si="0"/>
        <v>40470.53652858796</v>
      </c>
      <c r="T31" s="8">
        <f t="shared" ca="1" si="1"/>
        <v>32</v>
      </c>
      <c r="U31" s="25" t="s">
        <v>56</v>
      </c>
      <c r="V31" s="25" t="s">
        <v>42</v>
      </c>
      <c r="W31" s="25" t="s">
        <v>56</v>
      </c>
      <c r="X31" s="25" t="s">
        <v>42</v>
      </c>
      <c r="Y31" s="32" t="s">
        <v>42</v>
      </c>
      <c r="Z31" s="21">
        <v>24.834166666666668</v>
      </c>
      <c r="AA31" s="21">
        <v>67.128888888888895</v>
      </c>
      <c r="AB31" s="24" t="s">
        <v>33</v>
      </c>
      <c r="AC31" s="12" t="s">
        <v>2514</v>
      </c>
      <c r="AD31" s="25">
        <v>39735</v>
      </c>
      <c r="AH31" s="11" t="s">
        <v>44</v>
      </c>
    </row>
    <row r="32" spans="1:34">
      <c r="A32" s="1">
        <v>31</v>
      </c>
      <c r="B32" s="26">
        <v>39503</v>
      </c>
      <c r="C32" s="27">
        <v>39504</v>
      </c>
      <c r="D32" s="27"/>
      <c r="E32" s="20" t="s">
        <v>161</v>
      </c>
      <c r="F32" s="20"/>
      <c r="G32" s="17" t="s">
        <v>20</v>
      </c>
      <c r="H32" s="28">
        <v>14</v>
      </c>
      <c r="I32" s="17" t="s">
        <v>162</v>
      </c>
      <c r="J32" s="20" t="s">
        <v>163</v>
      </c>
      <c r="K32" s="20" t="s">
        <v>39</v>
      </c>
      <c r="L32" s="11" t="s">
        <v>24</v>
      </c>
      <c r="M32" s="27">
        <v>39504</v>
      </c>
      <c r="N32" s="28">
        <v>1</v>
      </c>
      <c r="O32" s="11" t="s">
        <v>40</v>
      </c>
      <c r="P32" s="11" t="s">
        <v>109</v>
      </c>
      <c r="Q32" s="11" t="s">
        <v>27</v>
      </c>
      <c r="R32" s="11" t="s">
        <v>42</v>
      </c>
      <c r="S32" s="15">
        <f t="shared" ca="1" si="0"/>
        <v>40470.53652858796</v>
      </c>
      <c r="T32" s="8">
        <f t="shared" ca="1" si="1"/>
        <v>32</v>
      </c>
      <c r="U32" s="11" t="s">
        <v>42</v>
      </c>
      <c r="V32" s="11" t="s">
        <v>42</v>
      </c>
      <c r="W32" s="11" t="s">
        <v>42</v>
      </c>
      <c r="X32" s="11" t="s">
        <v>42</v>
      </c>
      <c r="Y32" s="32" t="s">
        <v>42</v>
      </c>
      <c r="Z32" s="21">
        <v>24.836960000000001</v>
      </c>
      <c r="AA32" s="21">
        <v>67.166939999999997</v>
      </c>
      <c r="AB32" s="24" t="s">
        <v>164</v>
      </c>
      <c r="AC32" s="12" t="s">
        <v>2515</v>
      </c>
      <c r="AD32" s="25">
        <v>39504</v>
      </c>
      <c r="AH32" s="11" t="s">
        <v>122</v>
      </c>
    </row>
    <row r="33" spans="1:34" ht="12.75" customHeight="1">
      <c r="A33" s="1">
        <v>32</v>
      </c>
      <c r="B33" s="14">
        <v>39508</v>
      </c>
      <c r="C33" s="15">
        <v>39513</v>
      </c>
      <c r="E33" s="8" t="s">
        <v>202</v>
      </c>
      <c r="G33" s="11" t="s">
        <v>37</v>
      </c>
      <c r="H33" s="1">
        <v>30</v>
      </c>
      <c r="I33" s="11" t="s">
        <v>203</v>
      </c>
      <c r="K33" s="8" t="s">
        <v>39</v>
      </c>
      <c r="L33" s="11" t="s">
        <v>24</v>
      </c>
      <c r="M33" s="15">
        <v>39513</v>
      </c>
      <c r="N33" s="1">
        <v>1</v>
      </c>
      <c r="O33" s="11" t="s">
        <v>25</v>
      </c>
      <c r="P33" s="11" t="s">
        <v>26</v>
      </c>
      <c r="Q33" s="11" t="s">
        <v>27</v>
      </c>
      <c r="R33" s="11" t="s">
        <v>28</v>
      </c>
      <c r="S33" s="15">
        <f t="shared" ca="1" si="0"/>
        <v>40470.53652858796</v>
      </c>
      <c r="T33" s="8">
        <f t="shared" ca="1" si="1"/>
        <v>31</v>
      </c>
      <c r="U33" s="25" t="s">
        <v>42</v>
      </c>
      <c r="V33" s="11" t="s">
        <v>42</v>
      </c>
      <c r="W33" s="11" t="s">
        <v>56</v>
      </c>
      <c r="X33" s="11" t="s">
        <v>56</v>
      </c>
      <c r="Y33" s="32" t="s">
        <v>42</v>
      </c>
      <c r="Z33" s="21">
        <v>24.655000000000001</v>
      </c>
      <c r="AA33" s="21">
        <v>67.084444444444443</v>
      </c>
      <c r="AB33" s="24" t="s">
        <v>33</v>
      </c>
      <c r="AC33" s="12" t="s">
        <v>915</v>
      </c>
      <c r="AD33" s="25">
        <v>39753</v>
      </c>
      <c r="AH33" s="11" t="s">
        <v>61</v>
      </c>
    </row>
    <row r="34" spans="1:34">
      <c r="A34" s="1">
        <v>33</v>
      </c>
      <c r="B34" s="14">
        <v>39508</v>
      </c>
      <c r="C34" s="15">
        <v>39514</v>
      </c>
      <c r="E34" s="8" t="s">
        <v>204</v>
      </c>
      <c r="G34" s="11" t="s">
        <v>37</v>
      </c>
      <c r="H34" s="1">
        <v>32</v>
      </c>
      <c r="I34" s="11" t="s">
        <v>205</v>
      </c>
      <c r="K34" s="8" t="s">
        <v>206</v>
      </c>
      <c r="L34" s="11" t="s">
        <v>24</v>
      </c>
      <c r="M34" s="15">
        <v>39514</v>
      </c>
      <c r="N34" s="1">
        <v>1</v>
      </c>
      <c r="O34" s="11" t="s">
        <v>40</v>
      </c>
      <c r="P34" s="11" t="s">
        <v>72</v>
      </c>
      <c r="Q34" s="11" t="s">
        <v>27</v>
      </c>
      <c r="R34" s="11" t="s">
        <v>42</v>
      </c>
      <c r="S34" s="15">
        <f t="shared" ca="1" si="0"/>
        <v>40470.53652858796</v>
      </c>
      <c r="T34" s="8">
        <f t="shared" ca="1" si="1"/>
        <v>31</v>
      </c>
      <c r="U34" s="11" t="s">
        <v>42</v>
      </c>
      <c r="V34" s="11" t="s">
        <v>42</v>
      </c>
      <c r="W34" s="11" t="s">
        <v>42</v>
      </c>
      <c r="X34" s="11" t="s">
        <v>42</v>
      </c>
      <c r="Y34" s="32" t="s">
        <v>42</v>
      </c>
      <c r="Z34" s="21">
        <v>24.855555555555554</v>
      </c>
      <c r="AA34" s="21">
        <v>67.211944444444441</v>
      </c>
      <c r="AB34" s="24" t="s">
        <v>102</v>
      </c>
      <c r="AC34" s="12" t="s">
        <v>915</v>
      </c>
      <c r="AD34" s="25">
        <v>39763</v>
      </c>
      <c r="AH34" s="11" t="s">
        <v>61</v>
      </c>
    </row>
    <row r="35" spans="1:34">
      <c r="A35" s="1">
        <v>34</v>
      </c>
      <c r="B35" s="14">
        <v>39508</v>
      </c>
      <c r="C35" s="15">
        <v>39518</v>
      </c>
      <c r="E35" s="8" t="s">
        <v>207</v>
      </c>
      <c r="G35" s="11" t="s">
        <v>37</v>
      </c>
      <c r="H35" s="1">
        <v>27</v>
      </c>
      <c r="I35" s="11" t="s">
        <v>208</v>
      </c>
      <c r="J35" s="8" t="s">
        <v>209</v>
      </c>
      <c r="K35" s="8" t="s">
        <v>206</v>
      </c>
      <c r="L35" s="11" t="s">
        <v>24</v>
      </c>
      <c r="M35" s="15">
        <v>39518</v>
      </c>
      <c r="N35" s="1">
        <v>1</v>
      </c>
      <c r="O35" s="11" t="s">
        <v>40</v>
      </c>
      <c r="P35" s="11" t="s">
        <v>72</v>
      </c>
      <c r="Q35" s="11" t="s">
        <v>27</v>
      </c>
      <c r="R35" s="11" t="s">
        <v>42</v>
      </c>
      <c r="S35" s="15">
        <f t="shared" ca="1" si="0"/>
        <v>40470.53652858796</v>
      </c>
      <c r="T35" s="8">
        <f t="shared" ca="1" si="1"/>
        <v>31</v>
      </c>
      <c r="U35" s="11" t="s">
        <v>42</v>
      </c>
      <c r="V35" s="11" t="s">
        <v>42</v>
      </c>
      <c r="W35" s="11" t="s">
        <v>42</v>
      </c>
      <c r="X35" s="11" t="s">
        <v>42</v>
      </c>
      <c r="Y35" s="32" t="s">
        <v>42</v>
      </c>
      <c r="Z35" s="21">
        <v>24.846666666666668</v>
      </c>
      <c r="AA35" s="21">
        <v>67.200555555555553</v>
      </c>
      <c r="AB35" s="24" t="s">
        <v>102</v>
      </c>
      <c r="AC35" s="12" t="s">
        <v>2514</v>
      </c>
      <c r="AD35" s="25">
        <v>39765</v>
      </c>
      <c r="AH35" s="11" t="s">
        <v>44</v>
      </c>
    </row>
    <row r="36" spans="1:34">
      <c r="A36" s="1">
        <v>35</v>
      </c>
      <c r="B36" s="14">
        <v>39508</v>
      </c>
      <c r="C36" s="15">
        <v>39518</v>
      </c>
      <c r="E36" s="8" t="s">
        <v>210</v>
      </c>
      <c r="G36" s="11" t="s">
        <v>37</v>
      </c>
      <c r="H36" s="1">
        <v>14</v>
      </c>
      <c r="I36" s="11" t="s">
        <v>211</v>
      </c>
      <c r="J36" s="8" t="s">
        <v>212</v>
      </c>
      <c r="K36" s="8" t="s">
        <v>106</v>
      </c>
      <c r="L36" s="11" t="s">
        <v>24</v>
      </c>
      <c r="M36" s="15">
        <v>39518</v>
      </c>
      <c r="N36" s="1">
        <v>1</v>
      </c>
      <c r="O36" s="11" t="s">
        <v>40</v>
      </c>
      <c r="P36" s="11" t="s">
        <v>213</v>
      </c>
      <c r="Q36" s="11" t="s">
        <v>27</v>
      </c>
      <c r="R36" s="11" t="s">
        <v>42</v>
      </c>
      <c r="S36" s="15">
        <f t="shared" ca="1" si="0"/>
        <v>40470.53652858796</v>
      </c>
      <c r="T36" s="8">
        <f t="shared" ca="1" si="1"/>
        <v>31</v>
      </c>
      <c r="U36" s="11" t="s">
        <v>42</v>
      </c>
      <c r="V36" s="11" t="s">
        <v>42</v>
      </c>
      <c r="W36" s="11" t="s">
        <v>42</v>
      </c>
      <c r="X36" s="11" t="s">
        <v>42</v>
      </c>
      <c r="Y36" s="32" t="s">
        <v>42</v>
      </c>
      <c r="Z36" s="19">
        <v>24.815833333333334</v>
      </c>
      <c r="AA36" s="19">
        <v>67.155277777777783</v>
      </c>
      <c r="AB36" s="11" t="s">
        <v>33</v>
      </c>
      <c r="AC36" s="12" t="s">
        <v>2510</v>
      </c>
      <c r="AD36" s="25">
        <v>39770</v>
      </c>
      <c r="AH36" s="11" t="s">
        <v>44</v>
      </c>
    </row>
    <row r="37" spans="1:34" ht="12.75" customHeight="1">
      <c r="A37" s="1">
        <v>36</v>
      </c>
      <c r="B37" s="14">
        <v>39508</v>
      </c>
      <c r="C37" s="15">
        <v>39518</v>
      </c>
      <c r="E37" s="8" t="s">
        <v>214</v>
      </c>
      <c r="G37" s="11" t="s">
        <v>37</v>
      </c>
      <c r="H37" s="1">
        <v>33</v>
      </c>
      <c r="I37" s="11" t="s">
        <v>215</v>
      </c>
      <c r="K37" s="8" t="s">
        <v>23</v>
      </c>
      <c r="L37" s="11" t="s">
        <v>24</v>
      </c>
      <c r="M37" s="15">
        <v>39518</v>
      </c>
      <c r="N37" s="1">
        <v>1</v>
      </c>
      <c r="O37" s="11" t="s">
        <v>25</v>
      </c>
      <c r="P37" s="11" t="s">
        <v>26</v>
      </c>
      <c r="Q37" s="11" t="s">
        <v>27</v>
      </c>
      <c r="R37" s="11" t="s">
        <v>60</v>
      </c>
      <c r="S37" s="15">
        <f t="shared" ca="1" si="0"/>
        <v>40470.53652858796</v>
      </c>
      <c r="T37" s="8">
        <f t="shared" ca="1" si="1"/>
        <v>31</v>
      </c>
      <c r="U37" s="25" t="s">
        <v>42</v>
      </c>
      <c r="V37" s="11" t="s">
        <v>42</v>
      </c>
      <c r="W37" s="11" t="s">
        <v>42</v>
      </c>
      <c r="X37" s="11" t="s">
        <v>42</v>
      </c>
      <c r="Y37" s="32" t="s">
        <v>42</v>
      </c>
      <c r="Z37" s="21">
        <v>24.849166666666665</v>
      </c>
      <c r="AA37" s="21">
        <v>67.085555555555558</v>
      </c>
      <c r="AB37" s="24" t="s">
        <v>33</v>
      </c>
      <c r="AC37" s="12" t="s">
        <v>216</v>
      </c>
      <c r="AD37" s="25">
        <v>39553</v>
      </c>
      <c r="AH37" s="11" t="s">
        <v>35</v>
      </c>
    </row>
    <row r="38" spans="1:34" ht="12.75" customHeight="1">
      <c r="A38" s="1">
        <v>37</v>
      </c>
      <c r="B38" s="14">
        <v>39508</v>
      </c>
      <c r="C38" s="15">
        <v>39519</v>
      </c>
      <c r="E38" s="8" t="s">
        <v>217</v>
      </c>
      <c r="G38" s="11" t="s">
        <v>20</v>
      </c>
      <c r="H38" s="1">
        <v>53</v>
      </c>
      <c r="I38" s="11" t="s">
        <v>218</v>
      </c>
      <c r="K38" s="8" t="s">
        <v>71</v>
      </c>
      <c r="L38" s="11" t="s">
        <v>24</v>
      </c>
      <c r="M38" s="15">
        <v>39519</v>
      </c>
      <c r="N38" s="1">
        <v>1</v>
      </c>
      <c r="O38" s="11" t="s">
        <v>25</v>
      </c>
      <c r="P38" s="11" t="s">
        <v>26</v>
      </c>
      <c r="Q38" s="11" t="s">
        <v>27</v>
      </c>
      <c r="R38" s="25" t="s">
        <v>65</v>
      </c>
      <c r="S38" s="15">
        <f t="shared" ca="1" si="0"/>
        <v>40470.53652858796</v>
      </c>
      <c r="T38" s="8">
        <f t="shared" ca="1" si="1"/>
        <v>31</v>
      </c>
      <c r="U38" s="25" t="s">
        <v>42</v>
      </c>
      <c r="V38" s="25" t="s">
        <v>42</v>
      </c>
      <c r="W38" s="25" t="s">
        <v>56</v>
      </c>
      <c r="X38" s="11" t="s">
        <v>56</v>
      </c>
      <c r="Y38" s="32" t="s">
        <v>42</v>
      </c>
      <c r="Z38" s="21">
        <v>24.808299999999999</v>
      </c>
      <c r="AA38" s="21">
        <v>67.148820000000001</v>
      </c>
      <c r="AB38" s="24" t="s">
        <v>33</v>
      </c>
      <c r="AC38" s="12" t="s">
        <v>2510</v>
      </c>
      <c r="AD38" s="25">
        <v>39770</v>
      </c>
      <c r="AH38" s="11" t="s">
        <v>219</v>
      </c>
    </row>
    <row r="39" spans="1:34">
      <c r="A39" s="1">
        <v>38</v>
      </c>
      <c r="B39" s="14">
        <v>39508</v>
      </c>
      <c r="C39" s="15">
        <v>39520</v>
      </c>
      <c r="E39" s="8" t="s">
        <v>220</v>
      </c>
      <c r="G39" s="11" t="s">
        <v>37</v>
      </c>
      <c r="H39" s="1">
        <v>28</v>
      </c>
      <c r="I39" s="11" t="s">
        <v>221</v>
      </c>
      <c r="J39" s="8" t="s">
        <v>222</v>
      </c>
      <c r="K39" s="8" t="s">
        <v>223</v>
      </c>
      <c r="L39" s="11" t="s">
        <v>24</v>
      </c>
      <c r="M39" s="15">
        <v>39520</v>
      </c>
      <c r="N39" s="1">
        <v>1</v>
      </c>
      <c r="O39" s="11" t="s">
        <v>40</v>
      </c>
      <c r="P39" s="11" t="s">
        <v>72</v>
      </c>
      <c r="Q39" s="11" t="s">
        <v>27</v>
      </c>
      <c r="R39" s="11" t="s">
        <v>42</v>
      </c>
      <c r="S39" s="15">
        <f t="shared" ca="1" si="0"/>
        <v>40470.53652858796</v>
      </c>
      <c r="T39" s="8">
        <f t="shared" ca="1" si="1"/>
        <v>31</v>
      </c>
      <c r="U39" s="11" t="s">
        <v>42</v>
      </c>
      <c r="V39" s="11" t="s">
        <v>42</v>
      </c>
      <c r="W39" s="11" t="s">
        <v>42</v>
      </c>
      <c r="X39" s="25" t="s">
        <v>42</v>
      </c>
      <c r="Y39" s="32" t="s">
        <v>42</v>
      </c>
      <c r="Z39" s="21">
        <v>24.826944444444443</v>
      </c>
      <c r="AA39" s="21">
        <v>67.151111111111106</v>
      </c>
      <c r="AB39" s="24" t="s">
        <v>33</v>
      </c>
      <c r="AC39" s="12" t="s">
        <v>2516</v>
      </c>
      <c r="AD39" s="25">
        <v>39766</v>
      </c>
      <c r="AH39" s="11" t="s">
        <v>44</v>
      </c>
    </row>
    <row r="40" spans="1:34" ht="12.75" customHeight="1">
      <c r="A40" s="1">
        <v>39</v>
      </c>
      <c r="B40" s="14">
        <v>39508</v>
      </c>
      <c r="C40" s="15">
        <v>39521</v>
      </c>
      <c r="E40" s="8" t="s">
        <v>225</v>
      </c>
      <c r="G40" s="11" t="s">
        <v>37</v>
      </c>
      <c r="H40" s="1">
        <v>19</v>
      </c>
      <c r="I40" s="11" t="s">
        <v>226</v>
      </c>
      <c r="J40" s="8" t="s">
        <v>227</v>
      </c>
      <c r="K40" s="8" t="s">
        <v>39</v>
      </c>
      <c r="L40" s="11" t="s">
        <v>24</v>
      </c>
      <c r="M40" s="15">
        <v>39521</v>
      </c>
      <c r="N40" s="1">
        <v>1</v>
      </c>
      <c r="O40" s="11" t="s">
        <v>25</v>
      </c>
      <c r="P40" s="11" t="s">
        <v>72</v>
      </c>
      <c r="Q40" s="11" t="s">
        <v>27</v>
      </c>
      <c r="R40" s="11" t="s">
        <v>65</v>
      </c>
      <c r="S40" s="15">
        <f t="shared" ca="1" si="0"/>
        <v>40470.53652858796</v>
      </c>
      <c r="T40" s="8">
        <f t="shared" ca="1" si="1"/>
        <v>31</v>
      </c>
      <c r="U40" s="25" t="s">
        <v>42</v>
      </c>
      <c r="V40" s="11" t="s">
        <v>42</v>
      </c>
      <c r="W40" s="25" t="s">
        <v>56</v>
      </c>
      <c r="X40" s="25" t="s">
        <v>56</v>
      </c>
      <c r="Y40" s="32" t="s">
        <v>42</v>
      </c>
      <c r="Z40" s="21">
        <v>24.821666</v>
      </c>
      <c r="AA40" s="21">
        <v>67.13944444444445</v>
      </c>
      <c r="AB40" s="24" t="s">
        <v>102</v>
      </c>
      <c r="AC40" s="12" t="s">
        <v>915</v>
      </c>
      <c r="AD40" s="25">
        <v>39767</v>
      </c>
      <c r="AH40" s="11" t="s">
        <v>61</v>
      </c>
    </row>
    <row r="41" spans="1:34">
      <c r="A41" s="1">
        <v>40</v>
      </c>
      <c r="B41" s="14">
        <v>39508</v>
      </c>
      <c r="C41" s="15">
        <v>39521</v>
      </c>
      <c r="E41" s="8" t="s">
        <v>228</v>
      </c>
      <c r="G41" s="11" t="s">
        <v>37</v>
      </c>
      <c r="H41" s="1">
        <v>18</v>
      </c>
      <c r="I41" s="11" t="s">
        <v>229</v>
      </c>
      <c r="J41" s="8" t="s">
        <v>230</v>
      </c>
      <c r="K41" s="8" t="s">
        <v>39</v>
      </c>
      <c r="L41" s="11" t="s">
        <v>24</v>
      </c>
      <c r="M41" s="15">
        <v>39521</v>
      </c>
      <c r="N41" s="1">
        <v>1</v>
      </c>
      <c r="O41" s="11" t="s">
        <v>40</v>
      </c>
      <c r="P41" s="11" t="s">
        <v>72</v>
      </c>
      <c r="Q41" s="11" t="s">
        <v>27</v>
      </c>
      <c r="R41" s="25" t="s">
        <v>56</v>
      </c>
      <c r="S41" s="15">
        <f t="shared" ca="1" si="0"/>
        <v>40470.53652858796</v>
      </c>
      <c r="T41" s="8">
        <f t="shared" ca="1" si="1"/>
        <v>31</v>
      </c>
      <c r="U41" s="11" t="s">
        <v>42</v>
      </c>
      <c r="V41" s="11" t="s">
        <v>42</v>
      </c>
      <c r="W41" s="11" t="s">
        <v>42</v>
      </c>
      <c r="X41" s="11" t="s">
        <v>42</v>
      </c>
      <c r="Y41" s="32" t="s">
        <v>42</v>
      </c>
      <c r="Z41" s="21">
        <v>24.823888888888888</v>
      </c>
      <c r="AA41" s="21">
        <v>67.158611111111114</v>
      </c>
      <c r="AB41" s="24" t="s">
        <v>33</v>
      </c>
      <c r="AC41" s="12" t="s">
        <v>2510</v>
      </c>
      <c r="AD41" s="25">
        <v>39753</v>
      </c>
      <c r="AH41" s="11" t="s">
        <v>44</v>
      </c>
    </row>
    <row r="42" spans="1:34" ht="12.75" customHeight="1">
      <c r="A42" s="1">
        <v>41</v>
      </c>
      <c r="B42" s="14">
        <v>39508</v>
      </c>
      <c r="C42" s="15">
        <v>39521</v>
      </c>
      <c r="E42" s="8" t="s">
        <v>231</v>
      </c>
      <c r="G42" s="11" t="s">
        <v>37</v>
      </c>
      <c r="H42" s="1">
        <v>50</v>
      </c>
      <c r="I42" s="11" t="s">
        <v>232</v>
      </c>
      <c r="J42" s="8" t="s">
        <v>233</v>
      </c>
      <c r="K42" s="8" t="s">
        <v>59</v>
      </c>
      <c r="L42" s="11" t="s">
        <v>24</v>
      </c>
      <c r="M42" s="15">
        <v>39521</v>
      </c>
      <c r="N42" s="1">
        <v>1</v>
      </c>
      <c r="O42" s="11" t="s">
        <v>25</v>
      </c>
      <c r="P42" s="11" t="s">
        <v>26</v>
      </c>
      <c r="Q42" s="11" t="s">
        <v>27</v>
      </c>
      <c r="R42" s="11" t="s">
        <v>28</v>
      </c>
      <c r="S42" s="15">
        <f t="shared" ca="1" si="0"/>
        <v>40470.53652858796</v>
      </c>
      <c r="T42" s="8">
        <f t="shared" ca="1" si="1"/>
        <v>31</v>
      </c>
      <c r="U42" s="11" t="s">
        <v>42</v>
      </c>
      <c r="V42" s="11" t="s">
        <v>42</v>
      </c>
      <c r="W42" s="11" t="s">
        <v>42</v>
      </c>
      <c r="X42" s="11" t="s">
        <v>42</v>
      </c>
      <c r="Y42" s="32" t="s">
        <v>42</v>
      </c>
      <c r="Z42" s="21">
        <v>24.849166666666665</v>
      </c>
      <c r="AA42" s="21">
        <v>67.085555555555558</v>
      </c>
      <c r="AB42" s="24" t="s">
        <v>33</v>
      </c>
      <c r="AC42" s="12" t="s">
        <v>2517</v>
      </c>
      <c r="AD42" s="25">
        <v>39539</v>
      </c>
      <c r="AH42" s="11" t="s">
        <v>122</v>
      </c>
    </row>
    <row r="43" spans="1:34" ht="12.75" customHeight="1">
      <c r="A43" s="1">
        <v>42</v>
      </c>
      <c r="B43" s="14">
        <v>39508</v>
      </c>
      <c r="C43" s="15">
        <v>39525</v>
      </c>
      <c r="E43" s="8" t="s">
        <v>234</v>
      </c>
      <c r="G43" s="11" t="s">
        <v>20</v>
      </c>
      <c r="H43" s="1">
        <v>21</v>
      </c>
      <c r="I43" s="11" t="s">
        <v>235</v>
      </c>
      <c r="J43" s="8" t="s">
        <v>236</v>
      </c>
      <c r="K43" s="8" t="s">
        <v>39</v>
      </c>
      <c r="L43" s="11" t="s">
        <v>24</v>
      </c>
      <c r="M43" s="15">
        <v>39525</v>
      </c>
      <c r="N43" s="1">
        <v>1</v>
      </c>
      <c r="O43" s="11" t="s">
        <v>25</v>
      </c>
      <c r="P43" s="11" t="s">
        <v>26</v>
      </c>
      <c r="Q43" s="11" t="s">
        <v>27</v>
      </c>
      <c r="R43" s="11" t="s">
        <v>60</v>
      </c>
      <c r="S43" s="15">
        <f t="shared" ca="1" si="0"/>
        <v>40470.53652858796</v>
      </c>
      <c r="T43" s="8">
        <f t="shared" ca="1" si="1"/>
        <v>31</v>
      </c>
      <c r="U43" s="11" t="s">
        <v>28</v>
      </c>
      <c r="V43" s="11" t="s">
        <v>28</v>
      </c>
      <c r="W43" s="11" t="s">
        <v>51</v>
      </c>
      <c r="X43" s="11" t="s">
        <v>51</v>
      </c>
      <c r="Y43" s="32" t="s">
        <v>42</v>
      </c>
      <c r="Z43" s="21">
        <v>24.808888888888887</v>
      </c>
      <c r="AA43" s="21">
        <v>67.110833333333332</v>
      </c>
      <c r="AB43" s="24" t="s">
        <v>33</v>
      </c>
      <c r="AC43" s="12" t="s">
        <v>915</v>
      </c>
      <c r="AD43" s="25">
        <v>39770</v>
      </c>
      <c r="AH43" s="11" t="s">
        <v>61</v>
      </c>
    </row>
    <row r="44" spans="1:34">
      <c r="A44" s="1">
        <v>43</v>
      </c>
      <c r="B44" s="14">
        <v>39508</v>
      </c>
      <c r="C44" s="15">
        <v>39527</v>
      </c>
      <c r="E44" s="8" t="s">
        <v>237</v>
      </c>
      <c r="G44" s="11" t="s">
        <v>37</v>
      </c>
      <c r="H44" s="1">
        <v>18</v>
      </c>
      <c r="I44" s="11" t="s">
        <v>238</v>
      </c>
      <c r="J44" s="8" t="s">
        <v>239</v>
      </c>
      <c r="K44" s="8" t="s">
        <v>23</v>
      </c>
      <c r="L44" s="11" t="s">
        <v>24</v>
      </c>
      <c r="M44" s="15">
        <v>39527</v>
      </c>
      <c r="N44" s="1">
        <v>1</v>
      </c>
      <c r="O44" s="11" t="s">
        <v>40</v>
      </c>
      <c r="P44" s="11" t="s">
        <v>72</v>
      </c>
      <c r="Q44" s="11" t="s">
        <v>27</v>
      </c>
      <c r="R44" s="11" t="s">
        <v>42</v>
      </c>
      <c r="S44" s="15">
        <f t="shared" ca="1" si="0"/>
        <v>40470.53652858796</v>
      </c>
      <c r="T44" s="8">
        <f t="shared" ca="1" si="1"/>
        <v>31</v>
      </c>
      <c r="U44" s="11" t="s">
        <v>42</v>
      </c>
      <c r="V44" s="11" t="s">
        <v>42</v>
      </c>
      <c r="W44" s="11" t="s">
        <v>42</v>
      </c>
      <c r="X44" s="11" t="s">
        <v>42</v>
      </c>
      <c r="Y44" s="32" t="s">
        <v>42</v>
      </c>
      <c r="Z44" s="21">
        <v>24.822500000000002</v>
      </c>
      <c r="AA44" s="21">
        <v>67.13111111111111</v>
      </c>
      <c r="AB44" s="24" t="s">
        <v>33</v>
      </c>
      <c r="AC44" s="12" t="s">
        <v>2510</v>
      </c>
      <c r="AD44" s="25">
        <v>39777</v>
      </c>
      <c r="AH44" s="11" t="s">
        <v>44</v>
      </c>
    </row>
    <row r="45" spans="1:34">
      <c r="A45" s="1">
        <v>44</v>
      </c>
      <c r="B45" s="14">
        <v>39508</v>
      </c>
      <c r="C45" s="15">
        <v>39527</v>
      </c>
      <c r="E45" s="8" t="s">
        <v>240</v>
      </c>
      <c r="G45" s="11" t="s">
        <v>37</v>
      </c>
      <c r="H45" s="1">
        <v>40</v>
      </c>
      <c r="I45" s="11" t="s">
        <v>241</v>
      </c>
      <c r="J45" s="8" t="s">
        <v>242</v>
      </c>
      <c r="K45" s="8" t="s">
        <v>223</v>
      </c>
      <c r="L45" s="11" t="s">
        <v>24</v>
      </c>
      <c r="M45" s="15">
        <v>39527</v>
      </c>
      <c r="N45" s="1">
        <v>1</v>
      </c>
      <c r="O45" s="11" t="s">
        <v>40</v>
      </c>
      <c r="P45" s="11" t="s">
        <v>72</v>
      </c>
      <c r="Q45" s="11" t="s">
        <v>27</v>
      </c>
      <c r="R45" s="11" t="s">
        <v>42</v>
      </c>
      <c r="S45" s="15">
        <f t="shared" ca="1" si="0"/>
        <v>40470.53652858796</v>
      </c>
      <c r="T45" s="8">
        <f t="shared" ca="1" si="1"/>
        <v>31</v>
      </c>
      <c r="U45" s="11" t="s">
        <v>42</v>
      </c>
      <c r="V45" s="11" t="s">
        <v>42</v>
      </c>
      <c r="W45" s="11" t="s">
        <v>42</v>
      </c>
      <c r="X45" s="11" t="s">
        <v>42</v>
      </c>
      <c r="Y45" s="32" t="s">
        <v>42</v>
      </c>
      <c r="Z45" s="21" t="s">
        <v>243</v>
      </c>
      <c r="AA45" s="21" t="s">
        <v>244</v>
      </c>
      <c r="AB45" s="24"/>
      <c r="AC45" s="12" t="s">
        <v>982</v>
      </c>
      <c r="AD45" s="25">
        <v>39692</v>
      </c>
      <c r="AH45" s="11" t="s">
        <v>122</v>
      </c>
    </row>
    <row r="46" spans="1:34" ht="12.75" customHeight="1">
      <c r="A46" s="1">
        <v>45</v>
      </c>
      <c r="B46" s="14">
        <v>39508</v>
      </c>
      <c r="C46" s="15">
        <v>39534</v>
      </c>
      <c r="E46" s="8" t="s">
        <v>245</v>
      </c>
      <c r="G46" s="11" t="s">
        <v>37</v>
      </c>
      <c r="H46" s="1">
        <v>15</v>
      </c>
      <c r="I46" s="11" t="s">
        <v>246</v>
      </c>
      <c r="J46" s="8" t="s">
        <v>247</v>
      </c>
      <c r="K46" s="8" t="s">
        <v>106</v>
      </c>
      <c r="L46" s="11" t="s">
        <v>24</v>
      </c>
      <c r="M46" s="15">
        <v>39534</v>
      </c>
      <c r="N46" s="1">
        <v>1</v>
      </c>
      <c r="O46" s="11" t="s">
        <v>25</v>
      </c>
      <c r="P46" s="11" t="s">
        <v>26</v>
      </c>
      <c r="Q46" s="11" t="s">
        <v>27</v>
      </c>
      <c r="R46" s="11" t="s">
        <v>101</v>
      </c>
      <c r="S46" s="15">
        <f t="shared" ca="1" si="0"/>
        <v>40470.53652858796</v>
      </c>
      <c r="T46" s="8">
        <f t="shared" ca="1" si="1"/>
        <v>31</v>
      </c>
      <c r="U46" s="25" t="s">
        <v>42</v>
      </c>
      <c r="V46" s="11" t="s">
        <v>42</v>
      </c>
      <c r="W46" s="25" t="s">
        <v>2729</v>
      </c>
      <c r="X46" s="11" t="s">
        <v>224</v>
      </c>
      <c r="Y46" s="32" t="s">
        <v>42</v>
      </c>
      <c r="Z46" s="21">
        <v>24.81111111111111</v>
      </c>
      <c r="AA46" s="21">
        <v>67.106944444444451</v>
      </c>
      <c r="AB46" s="24" t="s">
        <v>33</v>
      </c>
      <c r="AC46" s="12" t="s">
        <v>2510</v>
      </c>
      <c r="AD46" s="25">
        <v>39780</v>
      </c>
      <c r="AH46" s="11" t="s">
        <v>44</v>
      </c>
    </row>
    <row r="47" spans="1:34">
      <c r="A47" s="1">
        <v>46</v>
      </c>
      <c r="B47" s="14">
        <v>39508</v>
      </c>
      <c r="C47" s="15">
        <v>39534</v>
      </c>
      <c r="E47" s="8" t="s">
        <v>248</v>
      </c>
      <c r="G47" s="11" t="s">
        <v>37</v>
      </c>
      <c r="H47" s="1">
        <v>26</v>
      </c>
      <c r="I47" s="11" t="s">
        <v>249</v>
      </c>
      <c r="J47" s="8" t="s">
        <v>250</v>
      </c>
      <c r="K47" s="8" t="s">
        <v>206</v>
      </c>
      <c r="L47" s="11" t="s">
        <v>24</v>
      </c>
      <c r="M47" s="15">
        <v>39534</v>
      </c>
      <c r="N47" s="1">
        <v>1</v>
      </c>
      <c r="O47" s="11" t="s">
        <v>40</v>
      </c>
      <c r="P47" s="11" t="s">
        <v>72</v>
      </c>
      <c r="Q47" s="11" t="s">
        <v>27</v>
      </c>
      <c r="R47" s="25" t="s">
        <v>2729</v>
      </c>
      <c r="S47" s="15">
        <f t="shared" ca="1" si="0"/>
        <v>40470.53652858796</v>
      </c>
      <c r="T47" s="8">
        <f t="shared" ca="1" si="1"/>
        <v>31</v>
      </c>
      <c r="U47" s="11" t="s">
        <v>42</v>
      </c>
      <c r="V47" s="11" t="s">
        <v>42</v>
      </c>
      <c r="W47" s="11" t="s">
        <v>42</v>
      </c>
      <c r="X47" s="11" t="s">
        <v>42</v>
      </c>
      <c r="Y47" s="32" t="s">
        <v>42</v>
      </c>
      <c r="Z47" s="21">
        <v>24.835000000000001</v>
      </c>
      <c r="AA47" s="21">
        <v>67.146388888888893</v>
      </c>
      <c r="AB47" s="24" t="s">
        <v>33</v>
      </c>
      <c r="AC47" s="12" t="s">
        <v>2510</v>
      </c>
      <c r="AD47" s="25">
        <v>39779</v>
      </c>
      <c r="AH47" s="11" t="s">
        <v>44</v>
      </c>
    </row>
    <row r="48" spans="1:34">
      <c r="A48" s="1">
        <v>47</v>
      </c>
      <c r="B48" s="14">
        <v>39508</v>
      </c>
      <c r="C48" s="15">
        <v>39535</v>
      </c>
      <c r="E48" s="8" t="s">
        <v>251</v>
      </c>
      <c r="G48" s="11" t="s">
        <v>20</v>
      </c>
      <c r="H48" s="1">
        <v>38</v>
      </c>
      <c r="I48" s="11" t="s">
        <v>252</v>
      </c>
      <c r="K48" s="8" t="s">
        <v>253</v>
      </c>
      <c r="L48" s="11" t="s">
        <v>24</v>
      </c>
      <c r="M48" s="15">
        <v>39535</v>
      </c>
      <c r="N48" s="1">
        <v>1</v>
      </c>
      <c r="O48" s="11" t="s">
        <v>40</v>
      </c>
      <c r="P48" s="11" t="s">
        <v>213</v>
      </c>
      <c r="Q48" s="11" t="s">
        <v>27</v>
      </c>
      <c r="R48" s="11" t="s">
        <v>42</v>
      </c>
      <c r="S48" s="15">
        <f t="shared" ca="1" si="0"/>
        <v>40470.53652858796</v>
      </c>
      <c r="T48" s="8">
        <f t="shared" ca="1" si="1"/>
        <v>31</v>
      </c>
      <c r="U48" s="11" t="s">
        <v>42</v>
      </c>
      <c r="V48" s="11" t="s">
        <v>42</v>
      </c>
      <c r="W48" s="11" t="s">
        <v>42</v>
      </c>
      <c r="X48" s="11" t="s">
        <v>42</v>
      </c>
      <c r="Y48" s="32" t="s">
        <v>42</v>
      </c>
      <c r="Z48" s="21">
        <v>24.816388888888888</v>
      </c>
      <c r="AA48" s="21">
        <v>67.168888888888887</v>
      </c>
      <c r="AB48" s="24" t="s">
        <v>33</v>
      </c>
      <c r="AC48" s="12" t="s">
        <v>254</v>
      </c>
      <c r="AD48" s="25">
        <v>39576</v>
      </c>
      <c r="AH48" s="11" t="s">
        <v>35</v>
      </c>
    </row>
    <row r="49" spans="1:34" ht="12.75" customHeight="1">
      <c r="A49" s="1">
        <v>48</v>
      </c>
      <c r="B49" s="14">
        <v>39539</v>
      </c>
      <c r="C49" s="15">
        <v>39539</v>
      </c>
      <c r="E49" s="8" t="s">
        <v>255</v>
      </c>
      <c r="G49" s="11" t="s">
        <v>20</v>
      </c>
      <c r="H49" s="1">
        <v>45</v>
      </c>
      <c r="I49" s="11" t="s">
        <v>256</v>
      </c>
      <c r="J49" s="8" t="s">
        <v>257</v>
      </c>
      <c r="K49" s="8" t="s">
        <v>253</v>
      </c>
      <c r="L49" s="11" t="s">
        <v>24</v>
      </c>
      <c r="M49" s="15">
        <v>39539</v>
      </c>
      <c r="N49" s="1">
        <v>1</v>
      </c>
      <c r="O49" s="11" t="s">
        <v>25</v>
      </c>
      <c r="P49" s="11" t="s">
        <v>26</v>
      </c>
      <c r="Q49" s="11" t="s">
        <v>27</v>
      </c>
      <c r="R49" s="11" t="s">
        <v>101</v>
      </c>
      <c r="S49" s="15">
        <f t="shared" ca="1" si="0"/>
        <v>40470.53652858796</v>
      </c>
      <c r="T49" s="8">
        <f t="shared" ca="1" si="1"/>
        <v>30</v>
      </c>
      <c r="U49" s="25" t="s">
        <v>42</v>
      </c>
      <c r="V49" s="11" t="s">
        <v>42</v>
      </c>
      <c r="W49" s="11" t="s">
        <v>224</v>
      </c>
      <c r="X49" s="11" t="s">
        <v>224</v>
      </c>
      <c r="Y49" s="32" t="s">
        <v>42</v>
      </c>
      <c r="Z49" s="21">
        <v>24.831388888888888</v>
      </c>
      <c r="AA49" s="21">
        <v>67.126666666666665</v>
      </c>
      <c r="AB49" s="24" t="s">
        <v>102</v>
      </c>
      <c r="AC49" s="12" t="s">
        <v>2510</v>
      </c>
      <c r="AD49" s="25">
        <v>39784</v>
      </c>
      <c r="AH49" s="11" t="s">
        <v>44</v>
      </c>
    </row>
    <row r="50" spans="1:34">
      <c r="A50" s="1">
        <v>49</v>
      </c>
      <c r="B50" s="14">
        <v>39546</v>
      </c>
      <c r="C50" s="15">
        <v>39539</v>
      </c>
      <c r="E50" s="8" t="s">
        <v>258</v>
      </c>
      <c r="G50" s="11" t="s">
        <v>20</v>
      </c>
      <c r="H50" s="1">
        <v>11</v>
      </c>
      <c r="I50" s="11" t="s">
        <v>259</v>
      </c>
      <c r="K50" s="8" t="s">
        <v>39</v>
      </c>
      <c r="L50" s="11" t="s">
        <v>24</v>
      </c>
      <c r="M50" s="15">
        <v>39539</v>
      </c>
      <c r="N50" s="1">
        <v>1</v>
      </c>
      <c r="O50" s="11" t="s">
        <v>40</v>
      </c>
      <c r="P50" s="11" t="s">
        <v>72</v>
      </c>
      <c r="Q50" s="11" t="s">
        <v>27</v>
      </c>
      <c r="R50" s="11" t="s">
        <v>42</v>
      </c>
      <c r="S50" s="15">
        <f t="shared" ca="1" si="0"/>
        <v>40470.53652858796</v>
      </c>
      <c r="T50" s="8">
        <f t="shared" ca="1" si="1"/>
        <v>30</v>
      </c>
      <c r="U50" s="11" t="s">
        <v>42</v>
      </c>
      <c r="V50" s="11" t="s">
        <v>42</v>
      </c>
      <c r="W50" s="11" t="s">
        <v>42</v>
      </c>
      <c r="X50" s="11" t="s">
        <v>42</v>
      </c>
      <c r="Y50" s="32" t="s">
        <v>42</v>
      </c>
      <c r="Z50" s="21">
        <v>24.83388888888889</v>
      </c>
      <c r="AA50" s="21">
        <v>67.138888888888886</v>
      </c>
      <c r="AB50" s="24" t="s">
        <v>33</v>
      </c>
      <c r="AC50" s="12" t="s">
        <v>2510</v>
      </c>
      <c r="AD50" s="25">
        <v>39783</v>
      </c>
      <c r="AH50" s="11" t="s">
        <v>44</v>
      </c>
    </row>
    <row r="51" spans="1:34" ht="12.75" customHeight="1">
      <c r="A51" s="1">
        <v>50</v>
      </c>
      <c r="B51" s="14">
        <v>39546</v>
      </c>
      <c r="C51" s="15">
        <v>39541</v>
      </c>
      <c r="E51" s="8" t="s">
        <v>260</v>
      </c>
      <c r="G51" s="11" t="s">
        <v>20</v>
      </c>
      <c r="H51" s="1">
        <v>18</v>
      </c>
      <c r="I51" s="11" t="s">
        <v>89</v>
      </c>
      <c r="J51" s="8" t="s">
        <v>90</v>
      </c>
      <c r="K51" s="8" t="s">
        <v>39</v>
      </c>
      <c r="L51" s="11" t="s">
        <v>24</v>
      </c>
      <c r="M51" s="15">
        <v>39541</v>
      </c>
      <c r="N51" s="1">
        <v>1</v>
      </c>
      <c r="O51" s="11" t="s">
        <v>25</v>
      </c>
      <c r="P51" s="11" t="s">
        <v>26</v>
      </c>
      <c r="Q51" s="11" t="s">
        <v>27</v>
      </c>
      <c r="R51" s="11" t="s">
        <v>60</v>
      </c>
      <c r="S51" s="15">
        <f t="shared" ca="1" si="0"/>
        <v>40470.53652858796</v>
      </c>
      <c r="T51" s="8">
        <f t="shared" ca="1" si="1"/>
        <v>30</v>
      </c>
      <c r="U51" s="11" t="s">
        <v>28</v>
      </c>
      <c r="V51" s="11" t="s">
        <v>28</v>
      </c>
      <c r="W51" s="25" t="s">
        <v>2731</v>
      </c>
      <c r="X51" s="11" t="s">
        <v>51</v>
      </c>
      <c r="Y51" s="32" t="s">
        <v>42</v>
      </c>
      <c r="Z51" s="21">
        <v>24.81626</v>
      </c>
      <c r="AA51" s="21">
        <v>67.155119999999997</v>
      </c>
      <c r="AB51" s="24" t="s">
        <v>33</v>
      </c>
      <c r="AC51" s="12" t="s">
        <v>2510</v>
      </c>
      <c r="AD51" s="25">
        <v>39889</v>
      </c>
      <c r="AH51" s="11" t="s">
        <v>219</v>
      </c>
    </row>
    <row r="52" spans="1:34">
      <c r="A52" s="1">
        <v>51</v>
      </c>
      <c r="B52" s="14">
        <v>39546</v>
      </c>
      <c r="C52" s="15">
        <v>39541</v>
      </c>
      <c r="E52" s="8" t="s">
        <v>91</v>
      </c>
      <c r="G52" s="11" t="s">
        <v>20</v>
      </c>
      <c r="H52" s="1">
        <v>18</v>
      </c>
      <c r="I52" s="11" t="s">
        <v>92</v>
      </c>
      <c r="J52" s="8" t="s">
        <v>93</v>
      </c>
      <c r="K52" s="8" t="s">
        <v>106</v>
      </c>
      <c r="L52" s="11" t="s">
        <v>24</v>
      </c>
      <c r="M52" s="15">
        <v>39541</v>
      </c>
      <c r="N52" s="1">
        <v>1</v>
      </c>
      <c r="O52" s="11" t="s">
        <v>40</v>
      </c>
      <c r="P52" s="11" t="s">
        <v>213</v>
      </c>
      <c r="Q52" s="11" t="s">
        <v>27</v>
      </c>
      <c r="R52" s="11" t="s">
        <v>42</v>
      </c>
      <c r="S52" s="15">
        <f t="shared" ca="1" si="0"/>
        <v>40470.53652858796</v>
      </c>
      <c r="T52" s="8">
        <f t="shared" ca="1" si="1"/>
        <v>30</v>
      </c>
      <c r="U52" s="11" t="s">
        <v>42</v>
      </c>
      <c r="V52" s="11" t="s">
        <v>42</v>
      </c>
      <c r="W52" s="11" t="s">
        <v>42</v>
      </c>
      <c r="X52" s="11" t="s">
        <v>42</v>
      </c>
      <c r="Y52" s="32" t="s">
        <v>42</v>
      </c>
      <c r="Z52" s="19" t="s">
        <v>94</v>
      </c>
      <c r="AA52" s="19" t="s">
        <v>95</v>
      </c>
      <c r="AB52" s="11" t="s">
        <v>33</v>
      </c>
      <c r="AC52" s="12" t="s">
        <v>96</v>
      </c>
      <c r="AD52" s="25">
        <v>39541</v>
      </c>
      <c r="AH52" s="11" t="s">
        <v>35</v>
      </c>
    </row>
    <row r="53" spans="1:34" ht="12.75" customHeight="1">
      <c r="A53" s="1">
        <v>52</v>
      </c>
      <c r="B53" s="14">
        <v>39546</v>
      </c>
      <c r="C53" s="15">
        <v>39546</v>
      </c>
      <c r="E53" s="8" t="s">
        <v>97</v>
      </c>
      <c r="G53" s="11" t="s">
        <v>37</v>
      </c>
      <c r="H53" s="1">
        <v>16</v>
      </c>
      <c r="I53" s="11" t="s">
        <v>300</v>
      </c>
      <c r="J53" s="8" t="s">
        <v>301</v>
      </c>
      <c r="K53" s="8" t="s">
        <v>39</v>
      </c>
      <c r="L53" s="11" t="s">
        <v>24</v>
      </c>
      <c r="M53" s="15">
        <v>39546</v>
      </c>
      <c r="N53" s="1">
        <v>1</v>
      </c>
      <c r="O53" s="11" t="s">
        <v>25</v>
      </c>
      <c r="P53" s="11" t="s">
        <v>26</v>
      </c>
      <c r="Q53" s="11" t="s">
        <v>27</v>
      </c>
      <c r="R53" s="11" t="s">
        <v>65</v>
      </c>
      <c r="S53" s="15">
        <f t="shared" ca="1" si="0"/>
        <v>40470.53652858796</v>
      </c>
      <c r="T53" s="8">
        <f t="shared" ca="1" si="1"/>
        <v>30</v>
      </c>
      <c r="U53" s="25" t="s">
        <v>42</v>
      </c>
      <c r="V53" s="11" t="s">
        <v>42</v>
      </c>
      <c r="W53" s="25" t="s">
        <v>56</v>
      </c>
      <c r="X53" s="25" t="s">
        <v>56</v>
      </c>
      <c r="Y53" s="32" t="s">
        <v>42</v>
      </c>
      <c r="Z53" s="21">
        <v>24.814499999999999</v>
      </c>
      <c r="AA53" s="21">
        <v>67.104759999999999</v>
      </c>
      <c r="AB53" s="24"/>
      <c r="AC53" s="12" t="s">
        <v>915</v>
      </c>
      <c r="AD53" s="25">
        <v>39804</v>
      </c>
      <c r="AH53" s="11" t="s">
        <v>61</v>
      </c>
    </row>
    <row r="54" spans="1:34" ht="12.75" customHeight="1">
      <c r="A54" s="1">
        <v>53</v>
      </c>
      <c r="B54" s="14">
        <v>39546</v>
      </c>
      <c r="C54" s="15">
        <v>39546</v>
      </c>
      <c r="E54" s="8" t="s">
        <v>302</v>
      </c>
      <c r="G54" s="11" t="s">
        <v>20</v>
      </c>
      <c r="H54" s="1">
        <v>19</v>
      </c>
      <c r="I54" s="11" t="s">
        <v>303</v>
      </c>
      <c r="J54" s="8" t="s">
        <v>304</v>
      </c>
      <c r="K54" s="8" t="s">
        <v>39</v>
      </c>
      <c r="L54" s="11" t="s">
        <v>24</v>
      </c>
      <c r="M54" s="15">
        <v>39546</v>
      </c>
      <c r="N54" s="1">
        <v>1</v>
      </c>
      <c r="O54" s="11" t="s">
        <v>25</v>
      </c>
      <c r="P54" s="11" t="s">
        <v>26</v>
      </c>
      <c r="Q54" s="11" t="s">
        <v>27</v>
      </c>
      <c r="R54" s="11" t="s">
        <v>60</v>
      </c>
      <c r="S54" s="15">
        <f t="shared" ca="1" si="0"/>
        <v>40470.53652858796</v>
      </c>
      <c r="T54" s="8">
        <f t="shared" ca="1" si="1"/>
        <v>30</v>
      </c>
      <c r="U54" s="25" t="s">
        <v>42</v>
      </c>
      <c r="V54" s="25" t="s">
        <v>56</v>
      </c>
      <c r="W54" s="25" t="s">
        <v>56</v>
      </c>
      <c r="X54" s="25" t="s">
        <v>56</v>
      </c>
      <c r="Y54" s="32" t="s">
        <v>42</v>
      </c>
      <c r="Z54" s="21">
        <v>24.83388888888889</v>
      </c>
      <c r="AA54" s="21">
        <v>67.143055555555549</v>
      </c>
      <c r="AB54" s="24" t="s">
        <v>33</v>
      </c>
      <c r="AC54" s="12" t="s">
        <v>915</v>
      </c>
      <c r="AD54" s="25">
        <v>39805</v>
      </c>
      <c r="AH54" s="11" t="s">
        <v>61</v>
      </c>
    </row>
    <row r="55" spans="1:34" ht="12.75" customHeight="1">
      <c r="A55" s="1">
        <v>54</v>
      </c>
      <c r="B55" s="14">
        <v>39546</v>
      </c>
      <c r="C55" s="15">
        <v>39547</v>
      </c>
      <c r="E55" s="8" t="s">
        <v>305</v>
      </c>
      <c r="G55" s="11" t="s">
        <v>20</v>
      </c>
      <c r="H55" s="1">
        <v>64</v>
      </c>
      <c r="I55" s="11" t="s">
        <v>306</v>
      </c>
      <c r="J55" s="8" t="s">
        <v>307</v>
      </c>
      <c r="K55" s="8" t="s">
        <v>71</v>
      </c>
      <c r="L55" s="11" t="s">
        <v>24</v>
      </c>
      <c r="M55" s="15">
        <v>39547</v>
      </c>
      <c r="N55" s="1">
        <v>1</v>
      </c>
      <c r="O55" s="11" t="s">
        <v>25</v>
      </c>
      <c r="P55" s="11" t="s">
        <v>26</v>
      </c>
      <c r="Q55" s="11" t="s">
        <v>27</v>
      </c>
      <c r="R55" s="25" t="s">
        <v>2732</v>
      </c>
      <c r="S55" s="15">
        <f t="shared" ca="1" si="0"/>
        <v>40470.53652858796</v>
      </c>
      <c r="T55" s="8">
        <f t="shared" ca="1" si="1"/>
        <v>30</v>
      </c>
      <c r="U55" s="25" t="s">
        <v>2729</v>
      </c>
      <c r="V55" s="11" t="s">
        <v>224</v>
      </c>
      <c r="W55" s="11" t="s">
        <v>224</v>
      </c>
      <c r="X55" s="11" t="s">
        <v>308</v>
      </c>
      <c r="Y55" s="32" t="s">
        <v>42</v>
      </c>
      <c r="Z55" s="21" t="s">
        <v>309</v>
      </c>
      <c r="AA55" s="21" t="s">
        <v>310</v>
      </c>
      <c r="AB55" s="24" t="s">
        <v>33</v>
      </c>
      <c r="AC55" s="12" t="s">
        <v>311</v>
      </c>
      <c r="AD55" s="25">
        <v>39590</v>
      </c>
      <c r="AH55" s="11" t="s">
        <v>35</v>
      </c>
    </row>
    <row r="56" spans="1:34">
      <c r="A56" s="1">
        <v>55</v>
      </c>
      <c r="B56" s="14">
        <v>39546</v>
      </c>
      <c r="C56" s="15">
        <v>39547</v>
      </c>
      <c r="E56" s="8" t="s">
        <v>312</v>
      </c>
      <c r="G56" s="11" t="s">
        <v>37</v>
      </c>
      <c r="H56" s="1">
        <v>38</v>
      </c>
      <c r="I56" s="11" t="s">
        <v>313</v>
      </c>
      <c r="J56" s="8" t="s">
        <v>314</v>
      </c>
      <c r="K56" s="8" t="s">
        <v>206</v>
      </c>
      <c r="L56" s="11" t="s">
        <v>24</v>
      </c>
      <c r="M56" s="15">
        <v>39547</v>
      </c>
      <c r="N56" s="1">
        <v>1</v>
      </c>
      <c r="O56" s="11" t="s">
        <v>40</v>
      </c>
      <c r="P56" s="11" t="s">
        <v>315</v>
      </c>
      <c r="Q56" s="11" t="s">
        <v>27</v>
      </c>
      <c r="R56" s="25" t="s">
        <v>56</v>
      </c>
      <c r="S56" s="15">
        <f t="shared" ca="1" si="0"/>
        <v>40470.53652858796</v>
      </c>
      <c r="T56" s="8">
        <f t="shared" ca="1" si="1"/>
        <v>30</v>
      </c>
      <c r="U56" s="11" t="s">
        <v>42</v>
      </c>
      <c r="V56" s="11" t="s">
        <v>42</v>
      </c>
      <c r="W56" s="11" t="s">
        <v>42</v>
      </c>
      <c r="X56" s="11" t="s">
        <v>42</v>
      </c>
      <c r="Y56" s="32" t="s">
        <v>42</v>
      </c>
      <c r="Z56" s="21" t="s">
        <v>316</v>
      </c>
      <c r="AA56" s="21" t="s">
        <v>310</v>
      </c>
      <c r="AB56" s="24" t="s">
        <v>33</v>
      </c>
      <c r="AC56" s="12" t="s">
        <v>2510</v>
      </c>
      <c r="AD56" s="25">
        <v>39798</v>
      </c>
      <c r="AH56" s="11" t="s">
        <v>44</v>
      </c>
    </row>
    <row r="57" spans="1:34">
      <c r="A57" s="1">
        <v>56</v>
      </c>
      <c r="B57" s="14">
        <v>39546</v>
      </c>
      <c r="C57" s="15">
        <v>39549</v>
      </c>
      <c r="E57" s="8" t="s">
        <v>317</v>
      </c>
      <c r="G57" s="11" t="s">
        <v>37</v>
      </c>
      <c r="H57" s="1">
        <v>28</v>
      </c>
      <c r="I57" s="11" t="s">
        <v>318</v>
      </c>
      <c r="J57" s="8" t="s">
        <v>319</v>
      </c>
      <c r="K57" s="8" t="s">
        <v>206</v>
      </c>
      <c r="L57" s="11" t="s">
        <v>24</v>
      </c>
      <c r="M57" s="15">
        <v>39549</v>
      </c>
      <c r="N57" s="1">
        <v>1</v>
      </c>
      <c r="O57" s="11" t="s">
        <v>40</v>
      </c>
      <c r="P57" s="11" t="s">
        <v>109</v>
      </c>
      <c r="Q57" s="11" t="s">
        <v>27</v>
      </c>
      <c r="R57" s="25" t="s">
        <v>56</v>
      </c>
      <c r="S57" s="15">
        <f t="shared" ca="1" si="0"/>
        <v>40470.53652858796</v>
      </c>
      <c r="T57" s="8">
        <f t="shared" ca="1" si="1"/>
        <v>30</v>
      </c>
      <c r="U57" s="11" t="s">
        <v>42</v>
      </c>
      <c r="V57" s="11" t="s">
        <v>42</v>
      </c>
      <c r="W57" s="11" t="s">
        <v>42</v>
      </c>
      <c r="X57" s="11" t="s">
        <v>42</v>
      </c>
      <c r="Y57" s="32" t="s">
        <v>42</v>
      </c>
      <c r="Z57" s="21">
        <v>24.830939999999998</v>
      </c>
      <c r="AA57" s="21">
        <v>67.13382</v>
      </c>
      <c r="AB57" s="24"/>
      <c r="AC57" s="12" t="s">
        <v>2510</v>
      </c>
      <c r="AD57" s="25">
        <v>39798</v>
      </c>
      <c r="AH57" s="11" t="s">
        <v>44</v>
      </c>
    </row>
    <row r="58" spans="1:34">
      <c r="A58" s="1">
        <v>57</v>
      </c>
      <c r="B58" s="14">
        <v>39546</v>
      </c>
      <c r="C58" s="15">
        <v>39553</v>
      </c>
      <c r="E58" s="8" t="s">
        <v>320</v>
      </c>
      <c r="G58" s="11" t="s">
        <v>20</v>
      </c>
      <c r="H58" s="1">
        <v>32</v>
      </c>
      <c r="I58" s="11" t="s">
        <v>321</v>
      </c>
      <c r="J58" s="8" t="s">
        <v>322</v>
      </c>
      <c r="K58" s="8" t="s">
        <v>23</v>
      </c>
      <c r="L58" s="11" t="s">
        <v>24</v>
      </c>
      <c r="M58" s="15">
        <v>39553</v>
      </c>
      <c r="N58" s="1">
        <v>1</v>
      </c>
      <c r="O58" s="11" t="s">
        <v>40</v>
      </c>
      <c r="P58" s="11" t="s">
        <v>213</v>
      </c>
      <c r="Q58" s="11" t="s">
        <v>27</v>
      </c>
      <c r="R58" s="11" t="s">
        <v>42</v>
      </c>
      <c r="S58" s="15">
        <f t="shared" ca="1" si="0"/>
        <v>40470.53652858796</v>
      </c>
      <c r="T58" s="8">
        <f t="shared" ca="1" si="1"/>
        <v>30</v>
      </c>
      <c r="U58" s="11" t="s">
        <v>42</v>
      </c>
      <c r="V58" s="11" t="s">
        <v>42</v>
      </c>
      <c r="W58" s="11" t="s">
        <v>42</v>
      </c>
      <c r="X58" s="11" t="s">
        <v>42</v>
      </c>
      <c r="Y58" s="32" t="s">
        <v>42</v>
      </c>
      <c r="Z58" s="21">
        <v>24.84104</v>
      </c>
      <c r="AA58" s="21">
        <v>67.073849999999993</v>
      </c>
      <c r="AB58" s="24" t="s">
        <v>33</v>
      </c>
      <c r="AC58" s="12" t="s">
        <v>44</v>
      </c>
      <c r="AD58" s="25">
        <v>39934</v>
      </c>
      <c r="AH58" s="11" t="s">
        <v>44</v>
      </c>
    </row>
    <row r="59" spans="1:34" ht="12.75" customHeight="1">
      <c r="A59" s="1">
        <v>58</v>
      </c>
      <c r="B59" s="14">
        <v>39546</v>
      </c>
      <c r="C59" s="15">
        <v>39553</v>
      </c>
      <c r="E59" s="8" t="s">
        <v>323</v>
      </c>
      <c r="G59" s="11" t="s">
        <v>37</v>
      </c>
      <c r="H59" s="1">
        <v>15</v>
      </c>
      <c r="I59" s="11" t="s">
        <v>324</v>
      </c>
      <c r="K59" s="8" t="s">
        <v>39</v>
      </c>
      <c r="L59" s="11" t="s">
        <v>24</v>
      </c>
      <c r="M59" s="15">
        <v>39553</v>
      </c>
      <c r="N59" s="1">
        <v>1</v>
      </c>
      <c r="O59" s="11" t="s">
        <v>25</v>
      </c>
      <c r="P59" s="11" t="s">
        <v>26</v>
      </c>
      <c r="Q59" s="11" t="s">
        <v>27</v>
      </c>
      <c r="R59" s="25" t="s">
        <v>42</v>
      </c>
      <c r="S59" s="15">
        <f t="shared" ca="1" si="0"/>
        <v>40470.53652858796</v>
      </c>
      <c r="T59" s="8">
        <f t="shared" ca="1" si="1"/>
        <v>30</v>
      </c>
      <c r="U59" s="25" t="s">
        <v>42</v>
      </c>
      <c r="V59" s="11" t="s">
        <v>42</v>
      </c>
      <c r="W59" s="25" t="s">
        <v>56</v>
      </c>
      <c r="X59" s="25" t="s">
        <v>56</v>
      </c>
      <c r="Y59" s="32" t="s">
        <v>42</v>
      </c>
      <c r="Z59" s="21">
        <v>24.823139999999999</v>
      </c>
      <c r="AA59" s="21">
        <v>67.129490000000004</v>
      </c>
      <c r="AB59" s="24" t="s">
        <v>33</v>
      </c>
      <c r="AC59" s="12" t="s">
        <v>2510</v>
      </c>
      <c r="AD59" s="25">
        <v>39797</v>
      </c>
      <c r="AH59" s="11" t="s">
        <v>44</v>
      </c>
    </row>
    <row r="60" spans="1:34" ht="12.75" customHeight="1">
      <c r="A60" s="1">
        <v>59</v>
      </c>
      <c r="B60" s="14">
        <v>39546</v>
      </c>
      <c r="C60" s="15">
        <v>39554</v>
      </c>
      <c r="E60" s="8" t="s">
        <v>325</v>
      </c>
      <c r="G60" s="11" t="s">
        <v>20</v>
      </c>
      <c r="H60" s="1">
        <v>34</v>
      </c>
      <c r="I60" s="11" t="s">
        <v>326</v>
      </c>
      <c r="J60" s="8" t="s">
        <v>327</v>
      </c>
      <c r="K60" s="8" t="s">
        <v>253</v>
      </c>
      <c r="L60" s="11" t="s">
        <v>24</v>
      </c>
      <c r="M60" s="15">
        <v>39554</v>
      </c>
      <c r="N60" s="1">
        <v>1</v>
      </c>
      <c r="O60" s="11" t="s">
        <v>25</v>
      </c>
      <c r="P60" s="11" t="s">
        <v>26</v>
      </c>
      <c r="Q60" s="11" t="s">
        <v>27</v>
      </c>
      <c r="R60" s="11" t="s">
        <v>65</v>
      </c>
      <c r="S60" s="15">
        <f t="shared" ca="1" si="0"/>
        <v>40470.53652858796</v>
      </c>
      <c r="T60" s="8">
        <f t="shared" ca="1" si="1"/>
        <v>30</v>
      </c>
      <c r="U60" s="11" t="s">
        <v>28</v>
      </c>
      <c r="V60" s="11" t="s">
        <v>28</v>
      </c>
      <c r="W60" s="25" t="s">
        <v>56</v>
      </c>
      <c r="X60" s="25" t="s">
        <v>42</v>
      </c>
      <c r="Y60" s="32" t="s">
        <v>42</v>
      </c>
      <c r="Z60" s="21">
        <v>24.825009999999999</v>
      </c>
      <c r="AA60" s="21">
        <v>67.135260000000002</v>
      </c>
      <c r="AB60" s="24" t="s">
        <v>33</v>
      </c>
      <c r="AC60" s="12" t="s">
        <v>2510</v>
      </c>
      <c r="AD60" s="25" t="s">
        <v>2535</v>
      </c>
      <c r="AH60" s="11" t="s">
        <v>44</v>
      </c>
    </row>
    <row r="61" spans="1:34" ht="12.75" customHeight="1">
      <c r="A61" s="1">
        <v>60</v>
      </c>
      <c r="B61" s="14">
        <v>39546</v>
      </c>
      <c r="C61" s="15">
        <v>39554</v>
      </c>
      <c r="E61" s="8" t="s">
        <v>328</v>
      </c>
      <c r="G61" s="11" t="s">
        <v>20</v>
      </c>
      <c r="H61" s="1">
        <v>19</v>
      </c>
      <c r="I61" s="11" t="s">
        <v>329</v>
      </c>
      <c r="J61" s="8" t="s">
        <v>330</v>
      </c>
      <c r="K61" s="8" t="s">
        <v>48</v>
      </c>
      <c r="L61" s="11" t="s">
        <v>24</v>
      </c>
      <c r="M61" s="15">
        <v>39554</v>
      </c>
      <c r="N61" s="1">
        <v>1</v>
      </c>
      <c r="O61" s="11" t="s">
        <v>25</v>
      </c>
      <c r="P61" s="11" t="s">
        <v>26</v>
      </c>
      <c r="Q61" s="11" t="s">
        <v>27</v>
      </c>
      <c r="R61" s="11" t="s">
        <v>28</v>
      </c>
      <c r="S61" s="15">
        <f t="shared" ca="1" si="0"/>
        <v>40470.53652858796</v>
      </c>
      <c r="T61" s="8">
        <f t="shared" ca="1" si="1"/>
        <v>30</v>
      </c>
      <c r="U61" s="11" t="s">
        <v>42</v>
      </c>
      <c r="V61" s="11" t="s">
        <v>42</v>
      </c>
      <c r="W61" s="11" t="s">
        <v>42</v>
      </c>
      <c r="X61" s="11" t="s">
        <v>42</v>
      </c>
      <c r="Y61" s="32" t="s">
        <v>42</v>
      </c>
      <c r="Z61" s="21" t="s">
        <v>331</v>
      </c>
      <c r="AA61" s="21" t="s">
        <v>332</v>
      </c>
      <c r="AB61" s="24" t="s">
        <v>333</v>
      </c>
      <c r="AC61" s="12" t="s">
        <v>334</v>
      </c>
      <c r="AD61" s="25">
        <v>39554</v>
      </c>
      <c r="AH61" s="11" t="s">
        <v>122</v>
      </c>
    </row>
    <row r="62" spans="1:34" ht="12.75" customHeight="1">
      <c r="A62" s="1">
        <v>61</v>
      </c>
      <c r="B62" s="14">
        <v>39546</v>
      </c>
      <c r="C62" s="15">
        <v>39559</v>
      </c>
      <c r="E62" s="8" t="s">
        <v>335</v>
      </c>
      <c r="G62" s="11" t="s">
        <v>37</v>
      </c>
      <c r="H62" s="1">
        <v>15</v>
      </c>
      <c r="I62" s="11" t="s">
        <v>336</v>
      </c>
      <c r="J62" s="8" t="s">
        <v>337</v>
      </c>
      <c r="K62" s="8" t="s">
        <v>39</v>
      </c>
      <c r="L62" s="11" t="s">
        <v>24</v>
      </c>
      <c r="M62" s="15">
        <v>39559</v>
      </c>
      <c r="N62" s="1">
        <v>1</v>
      </c>
      <c r="O62" s="11" t="s">
        <v>25</v>
      </c>
      <c r="P62" s="11" t="s">
        <v>26</v>
      </c>
      <c r="Q62" s="11" t="s">
        <v>27</v>
      </c>
      <c r="R62" s="11" t="s">
        <v>60</v>
      </c>
      <c r="S62" s="15">
        <f t="shared" ca="1" si="0"/>
        <v>40470.53652858796</v>
      </c>
      <c r="T62" s="8">
        <f t="shared" ca="1" si="1"/>
        <v>30</v>
      </c>
      <c r="U62" s="25" t="s">
        <v>56</v>
      </c>
      <c r="V62" s="11" t="s">
        <v>42</v>
      </c>
      <c r="W62" s="25" t="s">
        <v>56</v>
      </c>
      <c r="X62" s="25" t="s">
        <v>2729</v>
      </c>
      <c r="Y62" s="32" t="s">
        <v>42</v>
      </c>
      <c r="Z62" s="21">
        <v>24.844940000000001</v>
      </c>
      <c r="AA62" s="21">
        <v>67.188810000000004</v>
      </c>
      <c r="AB62" s="24" t="s">
        <v>33</v>
      </c>
      <c r="AC62" s="12" t="s">
        <v>2510</v>
      </c>
      <c r="AD62" s="25">
        <v>39815</v>
      </c>
      <c r="AH62" s="11" t="s">
        <v>44</v>
      </c>
    </row>
    <row r="63" spans="1:34" ht="12.75" customHeight="1">
      <c r="A63" s="1">
        <v>62</v>
      </c>
      <c r="B63" s="14">
        <v>39546</v>
      </c>
      <c r="C63" s="15">
        <v>39560</v>
      </c>
      <c r="E63" s="8" t="s">
        <v>338</v>
      </c>
      <c r="G63" s="11" t="s">
        <v>20</v>
      </c>
      <c r="H63" s="1">
        <v>15</v>
      </c>
      <c r="I63" s="11" t="s">
        <v>339</v>
      </c>
      <c r="J63" s="8" t="s">
        <v>340</v>
      </c>
      <c r="K63" s="8" t="s">
        <v>106</v>
      </c>
      <c r="L63" s="11" t="s">
        <v>24</v>
      </c>
      <c r="M63" s="15">
        <v>39560</v>
      </c>
      <c r="N63" s="1">
        <v>1</v>
      </c>
      <c r="O63" s="11" t="s">
        <v>25</v>
      </c>
      <c r="P63" s="11" t="s">
        <v>26</v>
      </c>
      <c r="Q63" s="11" t="s">
        <v>27</v>
      </c>
      <c r="R63" s="25" t="s">
        <v>56</v>
      </c>
      <c r="S63" s="15">
        <f t="shared" ca="1" si="0"/>
        <v>40470.53652858796</v>
      </c>
      <c r="T63" s="8">
        <f t="shared" ca="1" si="1"/>
        <v>30</v>
      </c>
      <c r="U63" s="25" t="s">
        <v>42</v>
      </c>
      <c r="V63" s="11" t="s">
        <v>42</v>
      </c>
      <c r="W63" s="25" t="s">
        <v>2729</v>
      </c>
      <c r="X63" s="11" t="s">
        <v>224</v>
      </c>
      <c r="Y63" s="32" t="s">
        <v>42</v>
      </c>
      <c r="Z63" s="21" t="s">
        <v>341</v>
      </c>
      <c r="AA63" s="21" t="s">
        <v>342</v>
      </c>
      <c r="AB63" s="24" t="s">
        <v>164</v>
      </c>
      <c r="AC63" s="12" t="s">
        <v>2510</v>
      </c>
      <c r="AD63" s="25">
        <v>39804</v>
      </c>
      <c r="AH63" s="11" t="s">
        <v>44</v>
      </c>
    </row>
    <row r="64" spans="1:34">
      <c r="A64" s="1">
        <v>63</v>
      </c>
      <c r="B64" s="14">
        <v>39546</v>
      </c>
      <c r="C64" s="15">
        <v>39560</v>
      </c>
      <c r="E64" s="8" t="s">
        <v>343</v>
      </c>
      <c r="G64" s="11" t="s">
        <v>20</v>
      </c>
      <c r="H64" s="1">
        <v>18</v>
      </c>
      <c r="I64" s="11" t="s">
        <v>344</v>
      </c>
      <c r="J64" s="8" t="s">
        <v>175</v>
      </c>
      <c r="K64" s="8" t="s">
        <v>39</v>
      </c>
      <c r="L64" s="11" t="s">
        <v>24</v>
      </c>
      <c r="M64" s="15">
        <v>39560</v>
      </c>
      <c r="N64" s="1">
        <v>1</v>
      </c>
      <c r="O64" s="11" t="s">
        <v>40</v>
      </c>
      <c r="P64" s="11" t="s">
        <v>176</v>
      </c>
      <c r="Q64" s="11" t="s">
        <v>27</v>
      </c>
      <c r="R64" s="25" t="s">
        <v>56</v>
      </c>
      <c r="S64" s="15">
        <f t="shared" ca="1" si="0"/>
        <v>40470.53652858796</v>
      </c>
      <c r="T64" s="8">
        <f t="shared" ca="1" si="1"/>
        <v>30</v>
      </c>
      <c r="U64" s="11" t="s">
        <v>42</v>
      </c>
      <c r="V64" s="11" t="s">
        <v>42</v>
      </c>
      <c r="W64" s="11" t="s">
        <v>42</v>
      </c>
      <c r="X64" s="11" t="s">
        <v>42</v>
      </c>
      <c r="Y64" s="32" t="s">
        <v>42</v>
      </c>
      <c r="Z64" s="21" t="s">
        <v>177</v>
      </c>
      <c r="AA64" s="21" t="s">
        <v>178</v>
      </c>
      <c r="AB64" s="24" t="s">
        <v>164</v>
      </c>
      <c r="AC64" s="12" t="s">
        <v>2510</v>
      </c>
      <c r="AD64" s="25">
        <v>39825</v>
      </c>
      <c r="AH64" s="11" t="s">
        <v>44</v>
      </c>
    </row>
    <row r="65" spans="1:34">
      <c r="A65" s="1">
        <v>64</v>
      </c>
      <c r="B65" s="14">
        <v>39546</v>
      </c>
      <c r="C65" s="15">
        <v>39560</v>
      </c>
      <c r="E65" s="8" t="s">
        <v>179</v>
      </c>
      <c r="G65" s="11" t="s">
        <v>37</v>
      </c>
      <c r="H65" s="1">
        <v>17</v>
      </c>
      <c r="I65" s="11" t="s">
        <v>180</v>
      </c>
      <c r="J65" s="8" t="s">
        <v>181</v>
      </c>
      <c r="K65" s="8" t="s">
        <v>39</v>
      </c>
      <c r="L65" s="11" t="s">
        <v>24</v>
      </c>
      <c r="M65" s="15">
        <v>39560</v>
      </c>
      <c r="N65" s="1">
        <v>1</v>
      </c>
      <c r="O65" s="11" t="s">
        <v>40</v>
      </c>
      <c r="P65" s="11" t="s">
        <v>72</v>
      </c>
      <c r="Q65" s="11" t="s">
        <v>27</v>
      </c>
      <c r="R65" s="25" t="s">
        <v>56</v>
      </c>
      <c r="S65" s="15">
        <f t="shared" ca="1" si="0"/>
        <v>40470.53652858796</v>
      </c>
      <c r="T65" s="8">
        <f t="shared" ca="1" si="1"/>
        <v>30</v>
      </c>
      <c r="U65" s="11" t="s">
        <v>42</v>
      </c>
      <c r="V65" s="11" t="s">
        <v>42</v>
      </c>
      <c r="W65" s="11" t="s">
        <v>42</v>
      </c>
      <c r="X65" s="11" t="s">
        <v>42</v>
      </c>
      <c r="Y65" s="32" t="s">
        <v>42</v>
      </c>
      <c r="Z65" s="21">
        <v>24.81898</v>
      </c>
      <c r="AA65" s="21">
        <v>67.133120000000005</v>
      </c>
      <c r="AB65" s="24" t="s">
        <v>164</v>
      </c>
      <c r="AC65" s="12" t="s">
        <v>2510</v>
      </c>
      <c r="AD65" s="25">
        <v>39804</v>
      </c>
      <c r="AH65" s="11" t="s">
        <v>44</v>
      </c>
    </row>
    <row r="66" spans="1:34" ht="12.75" customHeight="1">
      <c r="A66" s="1">
        <v>65</v>
      </c>
      <c r="B66" s="14">
        <v>39546</v>
      </c>
      <c r="C66" s="15">
        <v>39561</v>
      </c>
      <c r="E66" s="8" t="s">
        <v>182</v>
      </c>
      <c r="G66" s="11" t="s">
        <v>20</v>
      </c>
      <c r="H66" s="1">
        <v>25</v>
      </c>
      <c r="I66" s="11" t="s">
        <v>183</v>
      </c>
      <c r="J66" s="8" t="s">
        <v>184</v>
      </c>
      <c r="K66" s="8" t="s">
        <v>223</v>
      </c>
      <c r="L66" s="11" t="s">
        <v>24</v>
      </c>
      <c r="M66" s="15">
        <v>39561</v>
      </c>
      <c r="N66" s="1">
        <v>1</v>
      </c>
      <c r="O66" s="11" t="s">
        <v>25</v>
      </c>
      <c r="P66" s="11" t="s">
        <v>26</v>
      </c>
      <c r="Q66" s="11" t="s">
        <v>27</v>
      </c>
      <c r="R66" s="11" t="s">
        <v>28</v>
      </c>
      <c r="S66" s="15">
        <f t="shared" ref="S66:S129" ca="1" si="2">NOW()</f>
        <v>40470.53652858796</v>
      </c>
      <c r="T66" s="8">
        <f t="shared" ref="T66:T103" ca="1" si="3">(YEAR(S66)-YEAR(M66))*12+MONTH(S66)-MONTH(M66)</f>
        <v>30</v>
      </c>
      <c r="U66" s="25" t="s">
        <v>42</v>
      </c>
      <c r="V66" s="25" t="s">
        <v>2729</v>
      </c>
      <c r="W66" s="11" t="s">
        <v>224</v>
      </c>
      <c r="X66" s="11" t="s">
        <v>308</v>
      </c>
      <c r="Y66" s="32" t="s">
        <v>42</v>
      </c>
      <c r="Z66" s="21">
        <v>24.825659999999999</v>
      </c>
      <c r="AA66" s="21">
        <v>67.124319999999997</v>
      </c>
      <c r="AB66" s="24" t="s">
        <v>164</v>
      </c>
      <c r="AC66" s="12" t="s">
        <v>982</v>
      </c>
      <c r="AD66" s="25" t="s">
        <v>2536</v>
      </c>
      <c r="AH66" s="11" t="s">
        <v>122</v>
      </c>
    </row>
    <row r="67" spans="1:34">
      <c r="A67" s="1">
        <v>66</v>
      </c>
      <c r="B67" s="14">
        <v>39546</v>
      </c>
      <c r="C67" s="15">
        <v>39561</v>
      </c>
      <c r="E67" s="8" t="s">
        <v>185</v>
      </c>
      <c r="G67" s="11" t="s">
        <v>37</v>
      </c>
      <c r="H67" s="1">
        <v>14</v>
      </c>
      <c r="I67" s="11" t="s">
        <v>186</v>
      </c>
      <c r="J67" s="8" t="s">
        <v>187</v>
      </c>
      <c r="K67" s="8" t="s">
        <v>39</v>
      </c>
      <c r="L67" s="11" t="s">
        <v>24</v>
      </c>
      <c r="M67" s="15">
        <v>39561</v>
      </c>
      <c r="N67" s="1">
        <v>1</v>
      </c>
      <c r="O67" s="11" t="s">
        <v>40</v>
      </c>
      <c r="P67" s="11" t="s">
        <v>176</v>
      </c>
      <c r="Q67" s="11" t="s">
        <v>27</v>
      </c>
      <c r="R67" s="11" t="s">
        <v>42</v>
      </c>
      <c r="S67" s="15">
        <f t="shared" ca="1" si="2"/>
        <v>40470.53652858796</v>
      </c>
      <c r="T67" s="8">
        <f t="shared" ca="1" si="3"/>
        <v>30</v>
      </c>
      <c r="U67" s="11" t="s">
        <v>42</v>
      </c>
      <c r="V67" s="11" t="s">
        <v>42</v>
      </c>
      <c r="W67" s="11" t="s">
        <v>42</v>
      </c>
      <c r="X67" s="11" t="s">
        <v>42</v>
      </c>
      <c r="Y67" s="32" t="s">
        <v>42</v>
      </c>
      <c r="Z67" s="21">
        <v>24.837389999999999</v>
      </c>
      <c r="AA67" s="21">
        <v>67.077430000000007</v>
      </c>
      <c r="AB67" s="24" t="s">
        <v>164</v>
      </c>
      <c r="AC67" s="12" t="s">
        <v>2510</v>
      </c>
      <c r="AD67" s="25">
        <v>39805</v>
      </c>
      <c r="AH67" s="11" t="s">
        <v>44</v>
      </c>
    </row>
    <row r="68" spans="1:34">
      <c r="A68" s="1">
        <v>67</v>
      </c>
      <c r="B68" s="14">
        <v>39546</v>
      </c>
      <c r="C68" s="15">
        <v>39568</v>
      </c>
      <c r="E68" s="8" t="s">
        <v>188</v>
      </c>
      <c r="G68" s="11" t="s">
        <v>20</v>
      </c>
      <c r="H68" s="1">
        <v>27</v>
      </c>
      <c r="I68" s="11" t="s">
        <v>189</v>
      </c>
      <c r="J68" s="8" t="s">
        <v>190</v>
      </c>
      <c r="K68" s="8" t="s">
        <v>23</v>
      </c>
      <c r="L68" s="11" t="s">
        <v>24</v>
      </c>
      <c r="M68" s="15">
        <v>39568</v>
      </c>
      <c r="N68" s="1">
        <v>1</v>
      </c>
      <c r="O68" s="11" t="s">
        <v>40</v>
      </c>
      <c r="P68" s="11" t="s">
        <v>176</v>
      </c>
      <c r="Q68" s="11" t="s">
        <v>27</v>
      </c>
      <c r="R68" s="25" t="s">
        <v>56</v>
      </c>
      <c r="S68" s="15">
        <f t="shared" ca="1" si="2"/>
        <v>40470.53652858796</v>
      </c>
      <c r="T68" s="8">
        <f t="shared" ca="1" si="3"/>
        <v>30</v>
      </c>
      <c r="U68" s="11" t="s">
        <v>42</v>
      </c>
      <c r="V68" s="11" t="s">
        <v>42</v>
      </c>
      <c r="W68" s="11" t="s">
        <v>42</v>
      </c>
      <c r="X68" s="11" t="s">
        <v>42</v>
      </c>
      <c r="Y68" s="32" t="s">
        <v>42</v>
      </c>
      <c r="Z68" s="21" t="s">
        <v>191</v>
      </c>
      <c r="AA68" s="21" t="s">
        <v>192</v>
      </c>
      <c r="AB68" s="24" t="s">
        <v>164</v>
      </c>
      <c r="AC68" s="12" t="s">
        <v>2518</v>
      </c>
      <c r="AD68" s="25">
        <v>39783</v>
      </c>
      <c r="AH68" s="11" t="s">
        <v>122</v>
      </c>
    </row>
    <row r="69" spans="1:34" ht="12.75" customHeight="1">
      <c r="A69" s="1">
        <v>68</v>
      </c>
      <c r="B69" s="14">
        <v>39546</v>
      </c>
      <c r="C69" s="15">
        <v>39568</v>
      </c>
      <c r="E69" s="8" t="s">
        <v>193</v>
      </c>
      <c r="G69" s="11" t="s">
        <v>20</v>
      </c>
      <c r="H69" s="1">
        <v>62</v>
      </c>
      <c r="I69" s="11" t="s">
        <v>194</v>
      </c>
      <c r="J69" s="8" t="s">
        <v>195</v>
      </c>
      <c r="K69" s="8" t="s">
        <v>71</v>
      </c>
      <c r="L69" s="11" t="s">
        <v>24</v>
      </c>
      <c r="M69" s="15">
        <v>39568</v>
      </c>
      <c r="N69" s="1">
        <v>1</v>
      </c>
      <c r="O69" s="11" t="s">
        <v>25</v>
      </c>
      <c r="P69" s="11" t="s">
        <v>26</v>
      </c>
      <c r="Q69" s="11" t="s">
        <v>27</v>
      </c>
      <c r="R69" s="11" t="s">
        <v>28</v>
      </c>
      <c r="S69" s="15">
        <f t="shared" ca="1" si="2"/>
        <v>40470.53652858796</v>
      </c>
      <c r="T69" s="8">
        <f t="shared" ca="1" si="3"/>
        <v>30</v>
      </c>
      <c r="U69" s="25" t="s">
        <v>28</v>
      </c>
      <c r="V69" s="11" t="s">
        <v>42</v>
      </c>
      <c r="W69" s="11" t="s">
        <v>224</v>
      </c>
      <c r="X69" s="11" t="s">
        <v>224</v>
      </c>
      <c r="Y69" s="32" t="s">
        <v>42</v>
      </c>
      <c r="Z69" s="21" t="s">
        <v>196</v>
      </c>
      <c r="AA69" s="21" t="s">
        <v>197</v>
      </c>
      <c r="AB69" s="24" t="s">
        <v>164</v>
      </c>
      <c r="AC69" s="12" t="s">
        <v>157</v>
      </c>
      <c r="AH69" s="11" t="s">
        <v>158</v>
      </c>
    </row>
    <row r="70" spans="1:34" ht="12.75" customHeight="1">
      <c r="A70" s="1">
        <v>69</v>
      </c>
      <c r="B70" s="14">
        <v>39569</v>
      </c>
      <c r="C70" s="15">
        <v>39570</v>
      </c>
      <c r="E70" s="8" t="s">
        <v>198</v>
      </c>
      <c r="G70" s="11" t="s">
        <v>37</v>
      </c>
      <c r="H70" s="1">
        <v>17</v>
      </c>
      <c r="I70" s="11" t="s">
        <v>199</v>
      </c>
      <c r="J70" s="8" t="s">
        <v>200</v>
      </c>
      <c r="K70" s="8" t="s">
        <v>23</v>
      </c>
      <c r="L70" s="11" t="s">
        <v>24</v>
      </c>
      <c r="M70" s="15">
        <v>39570</v>
      </c>
      <c r="N70" s="1">
        <v>1</v>
      </c>
      <c r="O70" s="11" t="s">
        <v>25</v>
      </c>
      <c r="P70" s="11" t="s">
        <v>26</v>
      </c>
      <c r="Q70" s="11" t="s">
        <v>27</v>
      </c>
      <c r="R70" s="25" t="s">
        <v>2732</v>
      </c>
      <c r="S70" s="15">
        <f t="shared" ca="1" si="2"/>
        <v>40470.53652858796</v>
      </c>
      <c r="T70" s="8">
        <f t="shared" ca="1" si="3"/>
        <v>29</v>
      </c>
      <c r="U70" s="25" t="s">
        <v>2729</v>
      </c>
      <c r="V70" s="11" t="s">
        <v>224</v>
      </c>
      <c r="W70" s="11" t="s">
        <v>224</v>
      </c>
      <c r="X70" s="11" t="s">
        <v>224</v>
      </c>
      <c r="Y70" s="32" t="s">
        <v>42</v>
      </c>
      <c r="Z70" s="19">
        <v>24.828620000000001</v>
      </c>
      <c r="AA70" s="19">
        <v>67.170069999999996</v>
      </c>
      <c r="AC70" s="12" t="s">
        <v>2510</v>
      </c>
      <c r="AD70" s="25">
        <v>39815</v>
      </c>
      <c r="AH70" s="11" t="s">
        <v>44</v>
      </c>
    </row>
    <row r="71" spans="1:34" ht="12.75" customHeight="1">
      <c r="A71" s="1">
        <v>70</v>
      </c>
      <c r="B71" s="14">
        <v>39570</v>
      </c>
      <c r="C71" s="15">
        <v>39570</v>
      </c>
      <c r="E71" s="8" t="s">
        <v>201</v>
      </c>
      <c r="G71" s="11" t="s">
        <v>20</v>
      </c>
      <c r="H71" s="1">
        <v>42</v>
      </c>
      <c r="I71" s="11" t="s">
        <v>402</v>
      </c>
      <c r="J71" s="8" t="s">
        <v>403</v>
      </c>
      <c r="K71" s="8" t="s">
        <v>48</v>
      </c>
      <c r="L71" s="11" t="s">
        <v>24</v>
      </c>
      <c r="M71" s="15">
        <v>39570</v>
      </c>
      <c r="N71" s="1">
        <v>1</v>
      </c>
      <c r="O71" s="11" t="s">
        <v>25</v>
      </c>
      <c r="P71" s="11" t="s">
        <v>26</v>
      </c>
      <c r="Q71" s="11" t="s">
        <v>27</v>
      </c>
      <c r="R71" s="25" t="s">
        <v>2732</v>
      </c>
      <c r="S71" s="15">
        <f t="shared" ca="1" si="2"/>
        <v>40470.53652858796</v>
      </c>
      <c r="T71" s="8">
        <f t="shared" ca="1" si="3"/>
        <v>29</v>
      </c>
      <c r="U71" s="25" t="s">
        <v>42</v>
      </c>
      <c r="V71" s="25" t="s">
        <v>56</v>
      </c>
      <c r="W71" s="11" t="s">
        <v>224</v>
      </c>
      <c r="X71" s="25" t="s">
        <v>42</v>
      </c>
      <c r="Y71" s="32" t="s">
        <v>42</v>
      </c>
      <c r="Z71" s="19">
        <v>24.90484</v>
      </c>
      <c r="AA71" s="19">
        <v>67.068460000000002</v>
      </c>
      <c r="AC71" s="12" t="s">
        <v>2510</v>
      </c>
      <c r="AD71" s="25">
        <v>39815</v>
      </c>
      <c r="AH71" s="11" t="s">
        <v>44</v>
      </c>
    </row>
    <row r="72" spans="1:34" ht="12.75" customHeight="1">
      <c r="A72" s="1">
        <v>71</v>
      </c>
      <c r="B72" s="14">
        <v>39569</v>
      </c>
      <c r="C72" s="15">
        <v>39575</v>
      </c>
      <c r="E72" s="8" t="s">
        <v>404</v>
      </c>
      <c r="G72" s="11" t="s">
        <v>37</v>
      </c>
      <c r="H72" s="1">
        <v>23</v>
      </c>
      <c r="I72" s="11" t="s">
        <v>405</v>
      </c>
      <c r="J72" s="8" t="s">
        <v>406</v>
      </c>
      <c r="K72" s="8" t="s">
        <v>48</v>
      </c>
      <c r="L72" s="11" t="s">
        <v>24</v>
      </c>
      <c r="M72" s="15">
        <v>39567</v>
      </c>
      <c r="N72" s="1">
        <v>2</v>
      </c>
      <c r="O72" s="11" t="s">
        <v>25</v>
      </c>
      <c r="P72" s="11" t="s">
        <v>26</v>
      </c>
      <c r="Q72" s="11" t="s">
        <v>407</v>
      </c>
      <c r="R72" s="25" t="s">
        <v>28</v>
      </c>
      <c r="S72" s="15">
        <f t="shared" ca="1" si="2"/>
        <v>40470.53652858796</v>
      </c>
      <c r="T72" s="8">
        <f t="shared" ca="1" si="3"/>
        <v>30</v>
      </c>
      <c r="U72" s="11" t="s">
        <v>28</v>
      </c>
      <c r="V72" s="11" t="s">
        <v>28</v>
      </c>
      <c r="W72" s="25" t="s">
        <v>56</v>
      </c>
      <c r="X72" s="25" t="s">
        <v>56</v>
      </c>
      <c r="Y72" s="32" t="s">
        <v>42</v>
      </c>
      <c r="Z72" s="21" t="s">
        <v>408</v>
      </c>
      <c r="AA72" s="21" t="s">
        <v>409</v>
      </c>
      <c r="AB72" s="24" t="s">
        <v>164</v>
      </c>
      <c r="AC72" s="12" t="s">
        <v>915</v>
      </c>
      <c r="AD72" s="25">
        <v>39811</v>
      </c>
      <c r="AH72" s="11" t="s">
        <v>61</v>
      </c>
    </row>
    <row r="73" spans="1:34" ht="12.75" customHeight="1">
      <c r="A73" s="1">
        <v>72</v>
      </c>
      <c r="B73" s="14">
        <v>39570</v>
      </c>
      <c r="C73" s="15">
        <v>39575</v>
      </c>
      <c r="E73" s="8" t="s">
        <v>410</v>
      </c>
      <c r="G73" s="11" t="s">
        <v>20</v>
      </c>
      <c r="H73" s="1">
        <v>40</v>
      </c>
      <c r="I73" s="11" t="s">
        <v>411</v>
      </c>
      <c r="K73" s="8" t="s">
        <v>253</v>
      </c>
      <c r="L73" s="11" t="s">
        <v>24</v>
      </c>
      <c r="M73" s="15">
        <v>39575</v>
      </c>
      <c r="N73" s="1">
        <v>1</v>
      </c>
      <c r="O73" s="11" t="s">
        <v>25</v>
      </c>
      <c r="P73" s="11" t="s">
        <v>26</v>
      </c>
      <c r="Q73" s="11" t="s">
        <v>27</v>
      </c>
      <c r="R73" s="25" t="s">
        <v>2732</v>
      </c>
      <c r="S73" s="15">
        <f t="shared" ca="1" si="2"/>
        <v>40470.53652858796</v>
      </c>
      <c r="T73" s="8">
        <f t="shared" ca="1" si="3"/>
        <v>29</v>
      </c>
      <c r="U73" s="25" t="s">
        <v>42</v>
      </c>
      <c r="V73" s="25" t="s">
        <v>56</v>
      </c>
      <c r="W73" s="25" t="s">
        <v>56</v>
      </c>
      <c r="X73" s="25" t="s">
        <v>56</v>
      </c>
      <c r="Y73" s="32" t="s">
        <v>42</v>
      </c>
      <c r="Z73" s="21">
        <v>24.813099999999999</v>
      </c>
      <c r="AA73" s="21">
        <v>67.144729999999996</v>
      </c>
      <c r="AB73" s="24" t="s">
        <v>333</v>
      </c>
      <c r="AC73" s="12" t="s">
        <v>915</v>
      </c>
      <c r="AD73" s="25">
        <v>39826</v>
      </c>
      <c r="AH73" s="11" t="s">
        <v>61</v>
      </c>
    </row>
    <row r="74" spans="1:34">
      <c r="A74" s="1">
        <v>73</v>
      </c>
      <c r="B74" s="14">
        <v>39570</v>
      </c>
      <c r="C74" s="15">
        <v>39577</v>
      </c>
      <c r="E74" s="8" t="s">
        <v>412</v>
      </c>
      <c r="G74" s="11" t="s">
        <v>37</v>
      </c>
      <c r="H74" s="1">
        <v>28</v>
      </c>
      <c r="I74" s="11" t="s">
        <v>413</v>
      </c>
      <c r="J74" s="8" t="s">
        <v>414</v>
      </c>
      <c r="K74" s="8" t="s">
        <v>223</v>
      </c>
      <c r="L74" s="11" t="s">
        <v>24</v>
      </c>
      <c r="M74" s="15">
        <v>39577</v>
      </c>
      <c r="N74" s="1">
        <v>1</v>
      </c>
      <c r="O74" s="11" t="s">
        <v>40</v>
      </c>
      <c r="P74" s="11" t="s">
        <v>72</v>
      </c>
      <c r="Q74" s="11" t="s">
        <v>27</v>
      </c>
      <c r="R74" s="11" t="s">
        <v>42</v>
      </c>
      <c r="S74" s="15">
        <f t="shared" ca="1" si="2"/>
        <v>40470.53652858796</v>
      </c>
      <c r="T74" s="8">
        <f t="shared" ca="1" si="3"/>
        <v>29</v>
      </c>
      <c r="U74" s="11" t="s">
        <v>42</v>
      </c>
      <c r="V74" s="11" t="s">
        <v>42</v>
      </c>
      <c r="W74" s="11" t="s">
        <v>42</v>
      </c>
      <c r="X74" s="11" t="s">
        <v>42</v>
      </c>
      <c r="Y74" s="32" t="s">
        <v>42</v>
      </c>
      <c r="Z74" s="19">
        <v>24.844280000000001</v>
      </c>
      <c r="AA74" s="19">
        <v>67.16825</v>
      </c>
      <c r="AC74" s="12" t="s">
        <v>2510</v>
      </c>
      <c r="AD74" s="25">
        <v>39826</v>
      </c>
      <c r="AH74" s="11" t="s">
        <v>44</v>
      </c>
    </row>
    <row r="75" spans="1:34">
      <c r="A75" s="1">
        <v>74</v>
      </c>
      <c r="B75" s="14">
        <v>39570</v>
      </c>
      <c r="C75" s="15">
        <v>39583</v>
      </c>
      <c r="E75" s="8" t="s">
        <v>415</v>
      </c>
      <c r="G75" s="11" t="s">
        <v>20</v>
      </c>
      <c r="H75" s="1">
        <v>15</v>
      </c>
      <c r="I75" s="11" t="s">
        <v>416</v>
      </c>
      <c r="J75" s="8" t="s">
        <v>417</v>
      </c>
      <c r="K75" s="8" t="s">
        <v>39</v>
      </c>
      <c r="L75" s="11" t="s">
        <v>24</v>
      </c>
      <c r="M75" s="15">
        <v>39583</v>
      </c>
      <c r="N75" s="1">
        <v>1</v>
      </c>
      <c r="O75" s="11" t="s">
        <v>40</v>
      </c>
      <c r="P75" s="11" t="s">
        <v>72</v>
      </c>
      <c r="Q75" s="11" t="s">
        <v>27</v>
      </c>
      <c r="R75" s="25" t="s">
        <v>56</v>
      </c>
      <c r="S75" s="15">
        <f t="shared" ca="1" si="2"/>
        <v>40470.53652858796</v>
      </c>
      <c r="T75" s="8">
        <f t="shared" ca="1" si="3"/>
        <v>29</v>
      </c>
      <c r="U75" s="11" t="s">
        <v>42</v>
      </c>
      <c r="V75" s="11" t="s">
        <v>42</v>
      </c>
      <c r="W75" s="11" t="s">
        <v>42</v>
      </c>
      <c r="X75" s="11" t="s">
        <v>42</v>
      </c>
      <c r="Y75" s="32" t="s">
        <v>42</v>
      </c>
      <c r="AC75" s="12" t="s">
        <v>418</v>
      </c>
      <c r="AD75" s="25">
        <v>39653</v>
      </c>
      <c r="AH75" s="11" t="s">
        <v>122</v>
      </c>
    </row>
    <row r="76" spans="1:34">
      <c r="A76" s="1">
        <v>75</v>
      </c>
      <c r="B76" s="14">
        <v>39570</v>
      </c>
      <c r="C76" s="15">
        <v>39584</v>
      </c>
      <c r="E76" s="8" t="s">
        <v>419</v>
      </c>
      <c r="G76" s="11" t="s">
        <v>20</v>
      </c>
      <c r="H76" s="1">
        <v>40</v>
      </c>
      <c r="I76" s="11" t="s">
        <v>420</v>
      </c>
      <c r="J76" s="8" t="s">
        <v>421</v>
      </c>
      <c r="K76" s="8" t="s">
        <v>48</v>
      </c>
      <c r="L76" s="11" t="s">
        <v>24</v>
      </c>
      <c r="M76" s="15">
        <v>39584</v>
      </c>
      <c r="N76" s="1">
        <v>1</v>
      </c>
      <c r="O76" s="11" t="s">
        <v>40</v>
      </c>
      <c r="P76" s="11" t="s">
        <v>41</v>
      </c>
      <c r="Q76" s="11" t="s">
        <v>27</v>
      </c>
      <c r="R76" s="25" t="s">
        <v>2729</v>
      </c>
      <c r="S76" s="15">
        <f t="shared" ca="1" si="2"/>
        <v>40470.53652858796</v>
      </c>
      <c r="T76" s="8">
        <f t="shared" ca="1" si="3"/>
        <v>29</v>
      </c>
      <c r="U76" s="11" t="s">
        <v>42</v>
      </c>
      <c r="V76" s="11" t="s">
        <v>42</v>
      </c>
      <c r="W76" s="11" t="s">
        <v>42</v>
      </c>
      <c r="X76" s="11" t="s">
        <v>42</v>
      </c>
      <c r="Y76" s="32" t="s">
        <v>42</v>
      </c>
      <c r="Z76" s="21">
        <v>24.824829999999999</v>
      </c>
      <c r="AA76" s="21">
        <v>67.129419999999996</v>
      </c>
      <c r="AB76" s="24" t="s">
        <v>33</v>
      </c>
      <c r="AC76" s="12" t="s">
        <v>2510</v>
      </c>
      <c r="AD76" s="25">
        <v>39863</v>
      </c>
      <c r="AH76" s="11" t="s">
        <v>44</v>
      </c>
    </row>
    <row r="77" spans="1:34">
      <c r="A77" s="1">
        <v>76</v>
      </c>
      <c r="B77" s="14">
        <v>39570</v>
      </c>
      <c r="C77" s="15">
        <v>39588</v>
      </c>
      <c r="E77" s="8" t="s">
        <v>422</v>
      </c>
      <c r="G77" s="11" t="s">
        <v>20</v>
      </c>
      <c r="H77" s="1">
        <v>20</v>
      </c>
      <c r="I77" s="11" t="s">
        <v>423</v>
      </c>
      <c r="K77" s="8" t="s">
        <v>48</v>
      </c>
      <c r="L77" s="11" t="s">
        <v>24</v>
      </c>
      <c r="M77" s="15">
        <v>39588</v>
      </c>
      <c r="N77" s="1">
        <v>1</v>
      </c>
      <c r="O77" s="11" t="s">
        <v>40</v>
      </c>
      <c r="P77" s="11" t="s">
        <v>72</v>
      </c>
      <c r="Q77" s="11" t="s">
        <v>27</v>
      </c>
      <c r="R77" s="11" t="s">
        <v>42</v>
      </c>
      <c r="S77" s="15">
        <f t="shared" ca="1" si="2"/>
        <v>40470.53652858796</v>
      </c>
      <c r="T77" s="8">
        <f t="shared" ca="1" si="3"/>
        <v>29</v>
      </c>
      <c r="U77" s="11" t="s">
        <v>42</v>
      </c>
      <c r="V77" s="11" t="s">
        <v>42</v>
      </c>
      <c r="W77" s="11" t="s">
        <v>42</v>
      </c>
      <c r="X77" s="11" t="s">
        <v>42</v>
      </c>
      <c r="Y77" s="32" t="s">
        <v>42</v>
      </c>
      <c r="AC77" s="12" t="s">
        <v>2510</v>
      </c>
      <c r="AD77" s="25">
        <v>39833</v>
      </c>
      <c r="AH77" s="11" t="s">
        <v>44</v>
      </c>
    </row>
    <row r="78" spans="1:34">
      <c r="A78" s="1">
        <v>77</v>
      </c>
      <c r="B78" s="14">
        <v>39570</v>
      </c>
      <c r="C78" s="15">
        <v>39590</v>
      </c>
      <c r="E78" s="8" t="s">
        <v>424</v>
      </c>
      <c r="G78" s="11" t="s">
        <v>37</v>
      </c>
      <c r="H78" s="1">
        <v>15</v>
      </c>
      <c r="I78" s="11" t="s">
        <v>425</v>
      </c>
      <c r="J78" s="8" t="s">
        <v>426</v>
      </c>
      <c r="K78" s="8" t="s">
        <v>39</v>
      </c>
      <c r="L78" s="11" t="s">
        <v>24</v>
      </c>
      <c r="M78" s="15">
        <v>39595</v>
      </c>
      <c r="N78" s="1">
        <v>1</v>
      </c>
      <c r="O78" s="11" t="s">
        <v>40</v>
      </c>
      <c r="P78" s="11" t="s">
        <v>72</v>
      </c>
      <c r="Q78" s="11" t="s">
        <v>27</v>
      </c>
      <c r="R78" s="25" t="s">
        <v>2729</v>
      </c>
      <c r="S78" s="15">
        <f t="shared" ca="1" si="2"/>
        <v>40470.53652858796</v>
      </c>
      <c r="T78" s="8">
        <f t="shared" ca="1" si="3"/>
        <v>29</v>
      </c>
      <c r="U78" s="11" t="s">
        <v>42</v>
      </c>
      <c r="V78" s="11" t="s">
        <v>42</v>
      </c>
      <c r="W78" s="11" t="s">
        <v>42</v>
      </c>
      <c r="X78" s="11" t="s">
        <v>42</v>
      </c>
      <c r="Y78" s="32" t="s">
        <v>42</v>
      </c>
      <c r="Z78" s="21">
        <v>24.813289999999999</v>
      </c>
      <c r="AA78" s="21">
        <v>67.103859999999997</v>
      </c>
      <c r="AB78" s="24" t="s">
        <v>33</v>
      </c>
      <c r="AC78" s="12" t="s">
        <v>2510</v>
      </c>
      <c r="AD78" s="25">
        <v>39835</v>
      </c>
      <c r="AH78" s="11" t="s">
        <v>44</v>
      </c>
    </row>
    <row r="79" spans="1:34" ht="12.75" customHeight="1">
      <c r="A79" s="1">
        <v>78</v>
      </c>
      <c r="B79" s="14">
        <v>39598</v>
      </c>
      <c r="C79" s="15">
        <v>39590</v>
      </c>
      <c r="E79" s="8" t="s">
        <v>427</v>
      </c>
      <c r="G79" s="11" t="s">
        <v>20</v>
      </c>
      <c r="H79" s="1">
        <v>22</v>
      </c>
      <c r="I79" s="11" t="s">
        <v>326</v>
      </c>
      <c r="J79" s="8" t="s">
        <v>261</v>
      </c>
      <c r="K79" s="8" t="s">
        <v>48</v>
      </c>
      <c r="L79" s="11" t="s">
        <v>24</v>
      </c>
      <c r="M79" s="15">
        <v>39590</v>
      </c>
      <c r="N79" s="1">
        <v>1</v>
      </c>
      <c r="O79" s="11" t="s">
        <v>25</v>
      </c>
      <c r="P79" s="11" t="s">
        <v>26</v>
      </c>
      <c r="Q79" s="11" t="s">
        <v>27</v>
      </c>
      <c r="R79" s="25" t="s">
        <v>2731</v>
      </c>
      <c r="S79" s="15">
        <f t="shared" ca="1" si="2"/>
        <v>40470.53652858796</v>
      </c>
      <c r="T79" s="8">
        <f t="shared" ca="1" si="3"/>
        <v>29</v>
      </c>
      <c r="U79" s="11" t="s">
        <v>56</v>
      </c>
      <c r="V79" s="11" t="s">
        <v>42</v>
      </c>
      <c r="W79" s="25" t="s">
        <v>56</v>
      </c>
      <c r="X79" s="11" t="s">
        <v>224</v>
      </c>
      <c r="Y79" s="32" t="s">
        <v>42</v>
      </c>
      <c r="Z79" s="21">
        <v>24.825009999999999</v>
      </c>
      <c r="AA79" s="21">
        <v>67.135260000000002</v>
      </c>
      <c r="AB79" s="24" t="s">
        <v>33</v>
      </c>
      <c r="AC79" s="12" t="s">
        <v>2519</v>
      </c>
      <c r="AD79" s="25">
        <v>39814</v>
      </c>
      <c r="AH79" s="11" t="s">
        <v>158</v>
      </c>
    </row>
    <row r="80" spans="1:34">
      <c r="A80" s="1">
        <v>79</v>
      </c>
      <c r="B80" s="14">
        <v>39590</v>
      </c>
      <c r="C80" s="15">
        <v>39590</v>
      </c>
      <c r="E80" s="8" t="s">
        <v>262</v>
      </c>
      <c r="G80" s="11" t="s">
        <v>37</v>
      </c>
      <c r="H80" s="1">
        <v>23</v>
      </c>
      <c r="I80" s="11" t="s">
        <v>263</v>
      </c>
      <c r="J80" s="8" t="s">
        <v>264</v>
      </c>
      <c r="K80" s="8" t="s">
        <v>106</v>
      </c>
      <c r="L80" s="11" t="s">
        <v>24</v>
      </c>
      <c r="M80" s="15">
        <v>39590</v>
      </c>
      <c r="N80" s="1">
        <v>1</v>
      </c>
      <c r="O80" s="11" t="s">
        <v>40</v>
      </c>
      <c r="P80" s="11" t="s">
        <v>265</v>
      </c>
      <c r="Q80" s="11" t="s">
        <v>27</v>
      </c>
      <c r="R80" s="11" t="s">
        <v>42</v>
      </c>
      <c r="S80" s="15">
        <f t="shared" ca="1" si="2"/>
        <v>40470.53652858796</v>
      </c>
      <c r="T80" s="8">
        <f t="shared" ca="1" si="3"/>
        <v>29</v>
      </c>
      <c r="U80" s="11" t="s">
        <v>42</v>
      </c>
      <c r="V80" s="11" t="s">
        <v>42</v>
      </c>
      <c r="W80" s="11" t="s">
        <v>42</v>
      </c>
      <c r="X80" s="11" t="s">
        <v>42</v>
      </c>
      <c r="Y80" s="32" t="s">
        <v>42</v>
      </c>
      <c r="Z80" s="19">
        <v>24.836919999999999</v>
      </c>
      <c r="AA80" s="19">
        <v>67.158119999999997</v>
      </c>
      <c r="AC80" s="12" t="s">
        <v>2510</v>
      </c>
      <c r="AD80" s="25">
        <v>39833</v>
      </c>
      <c r="AH80" s="11" t="s">
        <v>44</v>
      </c>
    </row>
    <row r="81" spans="1:34" ht="12.75" customHeight="1">
      <c r="A81" s="1">
        <v>80</v>
      </c>
      <c r="B81" s="14">
        <v>39569</v>
      </c>
      <c r="C81" s="15">
        <v>39595</v>
      </c>
      <c r="E81" s="8" t="s">
        <v>266</v>
      </c>
      <c r="G81" s="11" t="s">
        <v>37</v>
      </c>
      <c r="H81" s="1">
        <v>16</v>
      </c>
      <c r="I81" s="11" t="s">
        <v>267</v>
      </c>
      <c r="J81" s="8" t="s">
        <v>268</v>
      </c>
      <c r="K81" s="8" t="s">
        <v>39</v>
      </c>
      <c r="L81" s="11" t="s">
        <v>24</v>
      </c>
      <c r="M81" s="15">
        <v>39595</v>
      </c>
      <c r="N81" s="1">
        <v>1</v>
      </c>
      <c r="O81" s="25" t="s">
        <v>40</v>
      </c>
      <c r="P81" s="25" t="s">
        <v>431</v>
      </c>
      <c r="Q81" s="11" t="s">
        <v>27</v>
      </c>
      <c r="R81" s="25" t="s">
        <v>56</v>
      </c>
      <c r="S81" s="15">
        <f t="shared" ca="1" si="2"/>
        <v>40470.53652858796</v>
      </c>
      <c r="T81" s="8">
        <f t="shared" ca="1" si="3"/>
        <v>29</v>
      </c>
      <c r="U81" s="11" t="s">
        <v>42</v>
      </c>
      <c r="V81" s="11" t="s">
        <v>42</v>
      </c>
      <c r="W81" s="11" t="s">
        <v>42</v>
      </c>
      <c r="X81" s="11" t="s">
        <v>42</v>
      </c>
      <c r="Y81" s="32" t="s">
        <v>42</v>
      </c>
      <c r="Z81" s="19">
        <v>24.86788</v>
      </c>
      <c r="AA81" s="19">
        <v>66.983739999999997</v>
      </c>
      <c r="AC81" s="12" t="s">
        <v>2510</v>
      </c>
      <c r="AD81" s="25">
        <v>39840</v>
      </c>
      <c r="AH81" s="11" t="s">
        <v>44</v>
      </c>
    </row>
    <row r="82" spans="1:34" ht="12.75" customHeight="1">
      <c r="A82" s="1">
        <v>81</v>
      </c>
      <c r="B82" s="14">
        <v>39569</v>
      </c>
      <c r="C82" s="15" t="s">
        <v>269</v>
      </c>
      <c r="E82" s="8" t="s">
        <v>270</v>
      </c>
      <c r="G82" s="11" t="s">
        <v>37</v>
      </c>
      <c r="H82" s="28">
        <v>60</v>
      </c>
      <c r="I82" s="11" t="s">
        <v>271</v>
      </c>
      <c r="J82" s="8" t="s">
        <v>272</v>
      </c>
      <c r="K82" s="8" t="s">
        <v>206</v>
      </c>
      <c r="L82" s="11" t="s">
        <v>24</v>
      </c>
      <c r="M82" s="15">
        <v>39595</v>
      </c>
      <c r="N82" s="28">
        <v>1</v>
      </c>
      <c r="O82" s="11" t="s">
        <v>25</v>
      </c>
      <c r="P82" s="11" t="s">
        <v>26</v>
      </c>
      <c r="Q82" s="11" t="s">
        <v>27</v>
      </c>
      <c r="R82" s="25" t="s">
        <v>2731</v>
      </c>
      <c r="S82" s="15">
        <f t="shared" ca="1" si="2"/>
        <v>40470.53652858796</v>
      </c>
      <c r="T82" s="8">
        <f t="shared" ca="1" si="3"/>
        <v>29</v>
      </c>
      <c r="U82" s="11" t="s">
        <v>308</v>
      </c>
      <c r="V82" s="11" t="s">
        <v>42</v>
      </c>
      <c r="W82" s="11" t="s">
        <v>224</v>
      </c>
      <c r="X82" s="11" t="s">
        <v>224</v>
      </c>
      <c r="Y82" s="32" t="s">
        <v>42</v>
      </c>
      <c r="Z82" s="19" t="s">
        <v>273</v>
      </c>
      <c r="AA82" s="19" t="s">
        <v>172</v>
      </c>
      <c r="AC82" s="12" t="s">
        <v>274</v>
      </c>
      <c r="AD82" s="25">
        <v>39595</v>
      </c>
      <c r="AH82" s="11" t="s">
        <v>122</v>
      </c>
    </row>
    <row r="83" spans="1:34">
      <c r="A83" s="1">
        <v>82</v>
      </c>
      <c r="B83" s="14">
        <v>39569</v>
      </c>
      <c r="C83" s="15">
        <v>39595</v>
      </c>
      <c r="E83" s="8" t="s">
        <v>275</v>
      </c>
      <c r="G83" s="11" t="s">
        <v>37</v>
      </c>
      <c r="H83" s="1">
        <v>60</v>
      </c>
      <c r="I83" s="11" t="s">
        <v>276</v>
      </c>
      <c r="J83" s="8" t="s">
        <v>277</v>
      </c>
      <c r="K83" s="8" t="s">
        <v>71</v>
      </c>
      <c r="L83" s="11" t="s">
        <v>24</v>
      </c>
      <c r="M83" s="15">
        <v>39595</v>
      </c>
      <c r="N83" s="1">
        <v>1</v>
      </c>
      <c r="O83" s="11" t="s">
        <v>40</v>
      </c>
      <c r="P83" s="11" t="s">
        <v>176</v>
      </c>
      <c r="Q83" s="11" t="s">
        <v>27</v>
      </c>
      <c r="R83" s="11" t="s">
        <v>42</v>
      </c>
      <c r="S83" s="15">
        <f t="shared" ca="1" si="2"/>
        <v>40470.53652858796</v>
      </c>
      <c r="T83" s="8">
        <f t="shared" ca="1" si="3"/>
        <v>29</v>
      </c>
      <c r="U83" s="11" t="s">
        <v>42</v>
      </c>
      <c r="V83" s="11" t="s">
        <v>42</v>
      </c>
      <c r="W83" s="11" t="s">
        <v>42</v>
      </c>
      <c r="X83" s="11" t="s">
        <v>42</v>
      </c>
      <c r="Y83" s="32" t="s">
        <v>42</v>
      </c>
      <c r="Z83" s="19">
        <v>24.897120000000001</v>
      </c>
      <c r="AA83" s="19">
        <v>67.020349999999993</v>
      </c>
      <c r="AC83" s="12" t="s">
        <v>2510</v>
      </c>
      <c r="AD83" s="25">
        <v>39814</v>
      </c>
      <c r="AH83" s="11" t="s">
        <v>44</v>
      </c>
    </row>
    <row r="84" spans="1:34" ht="12.75" customHeight="1">
      <c r="A84" s="1">
        <v>83</v>
      </c>
      <c r="B84" s="14">
        <v>39576</v>
      </c>
      <c r="C84" s="15">
        <v>39596</v>
      </c>
      <c r="E84" s="8" t="s">
        <v>278</v>
      </c>
      <c r="G84" s="11" t="s">
        <v>37</v>
      </c>
      <c r="H84" s="28">
        <v>10</v>
      </c>
      <c r="I84" s="11" t="s">
        <v>279</v>
      </c>
      <c r="J84" s="8" t="s">
        <v>280</v>
      </c>
      <c r="K84" s="8" t="s">
        <v>39</v>
      </c>
      <c r="L84" s="11" t="s">
        <v>24</v>
      </c>
      <c r="M84" s="15">
        <v>39596</v>
      </c>
      <c r="N84" s="28">
        <v>1</v>
      </c>
      <c r="O84" s="11" t="s">
        <v>25</v>
      </c>
      <c r="P84" s="11" t="s">
        <v>26</v>
      </c>
      <c r="Q84" s="11" t="s">
        <v>27</v>
      </c>
      <c r="R84" s="11" t="s">
        <v>60</v>
      </c>
      <c r="S84" s="15">
        <f t="shared" ca="1" si="2"/>
        <v>40470.53652858796</v>
      </c>
      <c r="T84" s="8">
        <f t="shared" ca="1" si="3"/>
        <v>29</v>
      </c>
      <c r="U84" s="11" t="s">
        <v>28</v>
      </c>
      <c r="V84" s="11" t="s">
        <v>28</v>
      </c>
      <c r="W84" s="11" t="s">
        <v>56</v>
      </c>
      <c r="X84" s="25" t="s">
        <v>2729</v>
      </c>
      <c r="Y84" s="32" t="s">
        <v>42</v>
      </c>
      <c r="Z84" s="19">
        <v>24.816610000000001</v>
      </c>
      <c r="AA84" s="19">
        <v>67.121769999999998</v>
      </c>
      <c r="AC84" s="12" t="s">
        <v>2510</v>
      </c>
      <c r="AD84" s="25">
        <v>39869</v>
      </c>
      <c r="AH84" s="11" t="s">
        <v>44</v>
      </c>
    </row>
    <row r="85" spans="1:34" ht="12.75" customHeight="1">
      <c r="A85" s="1">
        <v>84</v>
      </c>
      <c r="B85" s="14">
        <v>39576</v>
      </c>
      <c r="C85" s="15">
        <v>39598</v>
      </c>
      <c r="E85" s="8" t="s">
        <v>281</v>
      </c>
      <c r="G85" s="11" t="s">
        <v>20</v>
      </c>
      <c r="H85" s="1">
        <v>70</v>
      </c>
      <c r="I85" s="11" t="s">
        <v>282</v>
      </c>
      <c r="J85" s="8" t="s">
        <v>283</v>
      </c>
      <c r="K85" s="8" t="s">
        <v>71</v>
      </c>
      <c r="L85" s="11" t="s">
        <v>24</v>
      </c>
      <c r="M85" s="15">
        <v>39598</v>
      </c>
      <c r="N85" s="1">
        <v>1</v>
      </c>
      <c r="O85" s="11" t="s">
        <v>25</v>
      </c>
      <c r="P85" s="11" t="s">
        <v>26</v>
      </c>
      <c r="Q85" s="11" t="s">
        <v>27</v>
      </c>
      <c r="R85" s="25" t="s">
        <v>2732</v>
      </c>
      <c r="S85" s="15">
        <f t="shared" ca="1" si="2"/>
        <v>40470.53652858796</v>
      </c>
      <c r="T85" s="8">
        <f t="shared" ca="1" si="3"/>
        <v>29</v>
      </c>
      <c r="U85" s="11" t="s">
        <v>42</v>
      </c>
      <c r="V85" s="11" t="s">
        <v>42</v>
      </c>
      <c r="W85" s="11" t="s">
        <v>224</v>
      </c>
      <c r="X85" s="11" t="s">
        <v>224</v>
      </c>
      <c r="Y85" s="32" t="s">
        <v>42</v>
      </c>
      <c r="Z85" s="21">
        <v>24.896380000000001</v>
      </c>
      <c r="AA85" s="21">
        <v>67.020979999999994</v>
      </c>
      <c r="AC85" s="12" t="s">
        <v>284</v>
      </c>
      <c r="AD85" s="25">
        <v>39640</v>
      </c>
      <c r="AH85" s="11" t="s">
        <v>35</v>
      </c>
    </row>
    <row r="86" spans="1:34" ht="12.75" customHeight="1">
      <c r="A86" s="1">
        <v>85</v>
      </c>
      <c r="B86" s="14">
        <v>39607</v>
      </c>
      <c r="C86" s="15">
        <v>39604</v>
      </c>
      <c r="E86" s="8" t="s">
        <v>285</v>
      </c>
      <c r="G86" s="11" t="s">
        <v>20</v>
      </c>
      <c r="H86" s="28">
        <v>50</v>
      </c>
      <c r="I86" s="11" t="s">
        <v>286</v>
      </c>
      <c r="J86" s="8" t="s">
        <v>287</v>
      </c>
      <c r="K86" s="8" t="s">
        <v>59</v>
      </c>
      <c r="L86" s="11" t="s">
        <v>24</v>
      </c>
      <c r="M86" s="15">
        <v>39604</v>
      </c>
      <c r="N86" s="28">
        <v>2</v>
      </c>
      <c r="O86" s="11" t="s">
        <v>25</v>
      </c>
      <c r="P86" s="11" t="s">
        <v>109</v>
      </c>
      <c r="Q86" s="11" t="s">
        <v>49</v>
      </c>
      <c r="R86" s="25" t="s">
        <v>2731</v>
      </c>
      <c r="S86" s="15">
        <f t="shared" ca="1" si="2"/>
        <v>40470.53652858796</v>
      </c>
      <c r="T86" s="8">
        <f t="shared" ca="1" si="3"/>
        <v>28</v>
      </c>
      <c r="U86" s="25" t="s">
        <v>28</v>
      </c>
      <c r="V86" s="11" t="s">
        <v>42</v>
      </c>
      <c r="W86" s="25" t="s">
        <v>56</v>
      </c>
      <c r="X86" s="11" t="s">
        <v>42</v>
      </c>
      <c r="Y86" s="32" t="s">
        <v>42</v>
      </c>
      <c r="Z86" s="21">
        <v>24.815809999999999</v>
      </c>
      <c r="AA86" s="21">
        <v>67.121729999999999</v>
      </c>
      <c r="AC86" s="12" t="s">
        <v>2510</v>
      </c>
      <c r="AD86" s="25">
        <v>39877</v>
      </c>
      <c r="AH86" s="11" t="s">
        <v>44</v>
      </c>
    </row>
    <row r="87" spans="1:34">
      <c r="A87" s="1">
        <v>86</v>
      </c>
      <c r="B87" s="14">
        <v>39607</v>
      </c>
      <c r="C87" s="15">
        <v>39611</v>
      </c>
      <c r="E87" s="8" t="s">
        <v>288</v>
      </c>
      <c r="G87" s="11" t="s">
        <v>20</v>
      </c>
      <c r="H87" s="1">
        <v>50</v>
      </c>
      <c r="I87" s="11" t="s">
        <v>289</v>
      </c>
      <c r="J87" s="8" t="s">
        <v>290</v>
      </c>
      <c r="K87" s="8" t="s">
        <v>291</v>
      </c>
      <c r="L87" s="11" t="s">
        <v>24</v>
      </c>
      <c r="M87" s="15">
        <v>39611</v>
      </c>
      <c r="N87" s="1">
        <v>1</v>
      </c>
      <c r="O87" s="11" t="s">
        <v>40</v>
      </c>
      <c r="P87" s="11" t="s">
        <v>109</v>
      </c>
      <c r="Q87" s="11" t="s">
        <v>27</v>
      </c>
      <c r="R87" s="11" t="s">
        <v>42</v>
      </c>
      <c r="S87" s="15">
        <f t="shared" ca="1" si="2"/>
        <v>40470.53652858796</v>
      </c>
      <c r="T87" s="8">
        <f t="shared" ca="1" si="3"/>
        <v>28</v>
      </c>
      <c r="U87" s="11" t="s">
        <v>42</v>
      </c>
      <c r="V87" s="11" t="s">
        <v>42</v>
      </c>
      <c r="W87" s="11" t="s">
        <v>42</v>
      </c>
      <c r="X87" s="11" t="s">
        <v>42</v>
      </c>
      <c r="Y87" s="32" t="s">
        <v>42</v>
      </c>
      <c r="Z87" s="19">
        <v>24.807400000000001</v>
      </c>
      <c r="AA87" s="19">
        <v>67.161490000000001</v>
      </c>
      <c r="AC87" s="12" t="s">
        <v>2510</v>
      </c>
      <c r="AD87" s="25">
        <v>39856</v>
      </c>
      <c r="AH87" s="11" t="s">
        <v>44</v>
      </c>
    </row>
    <row r="88" spans="1:34">
      <c r="A88" s="1">
        <v>87</v>
      </c>
      <c r="B88" s="14">
        <v>39607</v>
      </c>
      <c r="C88" s="15">
        <v>39611</v>
      </c>
      <c r="E88" s="8" t="s">
        <v>292</v>
      </c>
      <c r="G88" s="11" t="s">
        <v>37</v>
      </c>
      <c r="H88" s="28">
        <v>15</v>
      </c>
      <c r="I88" s="11" t="s">
        <v>293</v>
      </c>
      <c r="K88" s="8" t="s">
        <v>39</v>
      </c>
      <c r="L88" s="11" t="s">
        <v>24</v>
      </c>
      <c r="M88" s="15">
        <v>39611</v>
      </c>
      <c r="N88" s="28">
        <v>1</v>
      </c>
      <c r="O88" s="11" t="s">
        <v>40</v>
      </c>
      <c r="P88" s="11" t="s">
        <v>213</v>
      </c>
      <c r="Q88" s="11" t="s">
        <v>27</v>
      </c>
      <c r="R88" s="25" t="s">
        <v>56</v>
      </c>
      <c r="S88" s="15">
        <f t="shared" ca="1" si="2"/>
        <v>40470.53652858796</v>
      </c>
      <c r="T88" s="8">
        <f t="shared" ca="1" si="3"/>
        <v>28</v>
      </c>
      <c r="U88" s="11" t="s">
        <v>42</v>
      </c>
      <c r="V88" s="11" t="s">
        <v>42</v>
      </c>
      <c r="W88" s="11" t="s">
        <v>42</v>
      </c>
      <c r="X88" s="11" t="s">
        <v>42</v>
      </c>
      <c r="Y88" s="32" t="s">
        <v>42</v>
      </c>
      <c r="Z88" s="19">
        <v>24.839970000000001</v>
      </c>
      <c r="AA88" s="19">
        <v>67.169129999999996</v>
      </c>
      <c r="AC88" s="12" t="s">
        <v>2510</v>
      </c>
      <c r="AD88" s="25">
        <v>39870</v>
      </c>
      <c r="AH88" s="11" t="s">
        <v>44</v>
      </c>
    </row>
    <row r="89" spans="1:34">
      <c r="A89" s="1">
        <v>88</v>
      </c>
      <c r="B89" s="14">
        <v>39607</v>
      </c>
      <c r="C89" s="15">
        <v>39611</v>
      </c>
      <c r="E89" s="8" t="s">
        <v>294</v>
      </c>
      <c r="G89" s="11" t="s">
        <v>37</v>
      </c>
      <c r="H89" s="1">
        <v>26</v>
      </c>
      <c r="I89" s="11" t="s">
        <v>295</v>
      </c>
      <c r="K89" s="8" t="s">
        <v>291</v>
      </c>
      <c r="L89" s="11" t="s">
        <v>24</v>
      </c>
      <c r="M89" s="15">
        <v>39611</v>
      </c>
      <c r="N89" s="1">
        <v>1</v>
      </c>
      <c r="O89" s="11" t="s">
        <v>40</v>
      </c>
      <c r="P89" s="11" t="s">
        <v>72</v>
      </c>
      <c r="Q89" s="11" t="s">
        <v>27</v>
      </c>
      <c r="R89" s="25" t="s">
        <v>56</v>
      </c>
      <c r="S89" s="15">
        <f t="shared" ca="1" si="2"/>
        <v>40470.53652858796</v>
      </c>
      <c r="T89" s="8">
        <f t="shared" ca="1" si="3"/>
        <v>28</v>
      </c>
      <c r="U89" s="11" t="s">
        <v>42</v>
      </c>
      <c r="V89" s="11" t="s">
        <v>42</v>
      </c>
      <c r="W89" s="11" t="s">
        <v>42</v>
      </c>
      <c r="X89" s="11" t="s">
        <v>42</v>
      </c>
      <c r="Y89" s="32" t="s">
        <v>42</v>
      </c>
      <c r="Z89" s="19">
        <v>24.815339999999999</v>
      </c>
      <c r="AA89" s="19">
        <v>67.102320000000006</v>
      </c>
      <c r="AC89" s="12" t="s">
        <v>2510</v>
      </c>
      <c r="AD89" s="25">
        <v>39863</v>
      </c>
      <c r="AH89" s="11" t="s">
        <v>44</v>
      </c>
    </row>
    <row r="90" spans="1:34">
      <c r="A90" s="1">
        <v>89</v>
      </c>
      <c r="B90" s="14">
        <v>39607</v>
      </c>
      <c r="C90" s="15">
        <v>39611</v>
      </c>
      <c r="E90" s="8" t="s">
        <v>296</v>
      </c>
      <c r="G90" s="11" t="s">
        <v>37</v>
      </c>
      <c r="H90" s="28">
        <v>28</v>
      </c>
      <c r="I90" s="11" t="s">
        <v>297</v>
      </c>
      <c r="J90" s="8" t="s">
        <v>298</v>
      </c>
      <c r="K90" s="8" t="s">
        <v>291</v>
      </c>
      <c r="L90" s="11" t="s">
        <v>24</v>
      </c>
      <c r="M90" s="15">
        <v>39611</v>
      </c>
      <c r="N90" s="28">
        <v>1</v>
      </c>
      <c r="O90" s="11" t="s">
        <v>40</v>
      </c>
      <c r="P90" s="11" t="s">
        <v>176</v>
      </c>
      <c r="Q90" s="11" t="s">
        <v>27</v>
      </c>
      <c r="R90" s="11" t="s">
        <v>42</v>
      </c>
      <c r="S90" s="15">
        <f t="shared" ca="1" si="2"/>
        <v>40470.53652858796</v>
      </c>
      <c r="T90" s="8">
        <f t="shared" ca="1" si="3"/>
        <v>28</v>
      </c>
      <c r="U90" s="11" t="s">
        <v>42</v>
      </c>
      <c r="V90" s="11" t="s">
        <v>42</v>
      </c>
      <c r="W90" s="11" t="s">
        <v>42</v>
      </c>
      <c r="X90" s="11" t="s">
        <v>42</v>
      </c>
      <c r="Y90" s="32" t="s">
        <v>42</v>
      </c>
      <c r="Z90" s="19">
        <v>24.843070000000001</v>
      </c>
      <c r="AA90" s="19">
        <v>67.075620000000001</v>
      </c>
      <c r="AC90" s="12" t="s">
        <v>2510</v>
      </c>
      <c r="AD90" s="25">
        <v>39861</v>
      </c>
      <c r="AH90" s="11" t="s">
        <v>44</v>
      </c>
    </row>
    <row r="91" spans="1:34" ht="12.75" customHeight="1">
      <c r="A91" s="1">
        <v>90</v>
      </c>
      <c r="B91" s="14">
        <v>39607</v>
      </c>
      <c r="C91" s="15">
        <v>39616</v>
      </c>
      <c r="E91" s="8" t="s">
        <v>299</v>
      </c>
      <c r="G91" s="11" t="s">
        <v>37</v>
      </c>
      <c r="H91" s="1">
        <v>40</v>
      </c>
      <c r="I91" s="11" t="s">
        <v>500</v>
      </c>
      <c r="J91" s="8" t="s">
        <v>501</v>
      </c>
      <c r="K91" s="8" t="s">
        <v>206</v>
      </c>
      <c r="L91" s="11" t="s">
        <v>24</v>
      </c>
      <c r="M91" s="15">
        <v>39616</v>
      </c>
      <c r="N91" s="1">
        <v>1</v>
      </c>
      <c r="O91" s="11" t="s">
        <v>25</v>
      </c>
      <c r="P91" s="11" t="s">
        <v>26</v>
      </c>
      <c r="Q91" s="11" t="s">
        <v>27</v>
      </c>
      <c r="R91" s="11" t="s">
        <v>28</v>
      </c>
      <c r="S91" s="15">
        <f t="shared" ca="1" si="2"/>
        <v>40470.53652858796</v>
      </c>
      <c r="T91" s="8">
        <f t="shared" ca="1" si="3"/>
        <v>28</v>
      </c>
      <c r="U91" s="11" t="s">
        <v>56</v>
      </c>
      <c r="V91" s="11" t="s">
        <v>42</v>
      </c>
      <c r="W91" s="11" t="s">
        <v>56</v>
      </c>
      <c r="X91" s="11" t="s">
        <v>56</v>
      </c>
      <c r="Y91" s="32" t="s">
        <v>42</v>
      </c>
      <c r="Z91" s="19">
        <v>24.82977</v>
      </c>
      <c r="AA91" s="19">
        <v>67.125699999999995</v>
      </c>
      <c r="AC91" s="12" t="s">
        <v>915</v>
      </c>
      <c r="AD91" s="25">
        <v>39861</v>
      </c>
      <c r="AH91" s="11" t="s">
        <v>61</v>
      </c>
    </row>
    <row r="92" spans="1:34" ht="12.75" customHeight="1">
      <c r="A92" s="1">
        <v>91</v>
      </c>
      <c r="B92" s="14">
        <v>39607</v>
      </c>
      <c r="C92" s="15">
        <v>39616</v>
      </c>
      <c r="E92" s="8" t="s">
        <v>502</v>
      </c>
      <c r="G92" s="11" t="s">
        <v>37</v>
      </c>
      <c r="H92" s="28">
        <v>15</v>
      </c>
      <c r="I92" s="11" t="s">
        <v>503</v>
      </c>
      <c r="J92" s="8" t="s">
        <v>504</v>
      </c>
      <c r="K92" s="8" t="s">
        <v>48</v>
      </c>
      <c r="L92" s="11" t="s">
        <v>24</v>
      </c>
      <c r="M92" s="15">
        <v>39616</v>
      </c>
      <c r="N92" s="28">
        <v>1</v>
      </c>
      <c r="O92" s="11" t="s">
        <v>25</v>
      </c>
      <c r="P92" s="11" t="s">
        <v>26</v>
      </c>
      <c r="Q92" s="11" t="s">
        <v>27</v>
      </c>
      <c r="R92" s="11" t="s">
        <v>60</v>
      </c>
      <c r="S92" s="15">
        <f t="shared" ca="1" si="2"/>
        <v>40470.53652858796</v>
      </c>
      <c r="T92" s="8">
        <f t="shared" ca="1" si="3"/>
        <v>28</v>
      </c>
      <c r="U92" s="11" t="s">
        <v>56</v>
      </c>
      <c r="V92" s="11" t="s">
        <v>42</v>
      </c>
      <c r="W92" s="11" t="s">
        <v>56</v>
      </c>
      <c r="X92" s="11" t="s">
        <v>56</v>
      </c>
      <c r="Y92" s="32" t="s">
        <v>42</v>
      </c>
      <c r="Z92" s="19">
        <v>24.815280000000001</v>
      </c>
      <c r="AA92" s="19">
        <v>67.163550000000001</v>
      </c>
      <c r="AC92" s="12" t="s">
        <v>915</v>
      </c>
      <c r="AD92" s="25">
        <v>39861</v>
      </c>
      <c r="AH92" s="11" t="s">
        <v>61</v>
      </c>
    </row>
    <row r="93" spans="1:34">
      <c r="A93" s="1">
        <v>92</v>
      </c>
      <c r="B93" s="14">
        <v>39607</v>
      </c>
      <c r="C93" s="15">
        <v>39618</v>
      </c>
      <c r="E93" s="8" t="s">
        <v>505</v>
      </c>
      <c r="G93" s="11" t="s">
        <v>37</v>
      </c>
      <c r="H93" s="1">
        <v>30</v>
      </c>
      <c r="I93" s="11" t="s">
        <v>506</v>
      </c>
      <c r="J93" s="8" t="s">
        <v>507</v>
      </c>
      <c r="K93" s="8" t="s">
        <v>206</v>
      </c>
      <c r="L93" s="11" t="s">
        <v>24</v>
      </c>
      <c r="M93" s="15">
        <v>39618</v>
      </c>
      <c r="N93" s="1">
        <v>1</v>
      </c>
      <c r="O93" s="11" t="s">
        <v>40</v>
      </c>
      <c r="P93" s="11" t="s">
        <v>72</v>
      </c>
      <c r="Q93" s="11" t="s">
        <v>27</v>
      </c>
      <c r="R93" s="11" t="s">
        <v>42</v>
      </c>
      <c r="S93" s="15">
        <f t="shared" ca="1" si="2"/>
        <v>40470.53652858796</v>
      </c>
      <c r="T93" s="8">
        <f t="shared" ca="1" si="3"/>
        <v>28</v>
      </c>
      <c r="U93" s="11" t="s">
        <v>42</v>
      </c>
      <c r="V93" s="11" t="s">
        <v>42</v>
      </c>
      <c r="W93" s="11" t="s">
        <v>42</v>
      </c>
      <c r="X93" s="11" t="s">
        <v>42</v>
      </c>
      <c r="Y93" s="32" t="s">
        <v>42</v>
      </c>
      <c r="Z93" s="19">
        <v>24.831769999999999</v>
      </c>
      <c r="AA93" s="19">
        <v>67.133669999999995</v>
      </c>
      <c r="AC93" s="12" t="s">
        <v>2510</v>
      </c>
      <c r="AD93" s="25">
        <v>39875</v>
      </c>
      <c r="AH93" s="11" t="s">
        <v>44</v>
      </c>
    </row>
    <row r="94" spans="1:34" ht="12.75" customHeight="1">
      <c r="A94" s="1">
        <v>93</v>
      </c>
      <c r="B94" s="14">
        <v>39607</v>
      </c>
      <c r="C94" s="15">
        <v>39619</v>
      </c>
      <c r="E94" s="8" t="s">
        <v>508</v>
      </c>
      <c r="G94" s="11" t="s">
        <v>20</v>
      </c>
      <c r="H94" s="28">
        <v>40</v>
      </c>
      <c r="I94" s="11" t="s">
        <v>345</v>
      </c>
      <c r="K94" s="8" t="s">
        <v>291</v>
      </c>
      <c r="L94" s="11" t="s">
        <v>24</v>
      </c>
      <c r="M94" s="15">
        <v>39619</v>
      </c>
      <c r="N94" s="28">
        <v>1</v>
      </c>
      <c r="O94" s="11" t="s">
        <v>25</v>
      </c>
      <c r="P94" s="11" t="s">
        <v>26</v>
      </c>
      <c r="Q94" s="11" t="s">
        <v>27</v>
      </c>
      <c r="R94" s="25" t="s">
        <v>2732</v>
      </c>
      <c r="S94" s="15">
        <f t="shared" ca="1" si="2"/>
        <v>40470.53652858796</v>
      </c>
      <c r="T94" s="8">
        <f t="shared" ca="1" si="3"/>
        <v>28</v>
      </c>
      <c r="U94" s="11" t="s">
        <v>308</v>
      </c>
      <c r="V94" s="11" t="s">
        <v>224</v>
      </c>
      <c r="W94" s="11" t="s">
        <v>224</v>
      </c>
      <c r="X94" s="11" t="s">
        <v>224</v>
      </c>
      <c r="Y94" s="32" t="s">
        <v>42</v>
      </c>
      <c r="Z94" s="19">
        <v>24.849150000000002</v>
      </c>
      <c r="AA94" s="19">
        <v>67.135760000000005</v>
      </c>
      <c r="AC94" s="12" t="s">
        <v>1310</v>
      </c>
      <c r="AD94" s="25">
        <v>39600</v>
      </c>
      <c r="AH94" s="11" t="s">
        <v>122</v>
      </c>
    </row>
    <row r="95" spans="1:34" ht="12.75" customHeight="1">
      <c r="A95" s="1">
        <v>94</v>
      </c>
      <c r="B95" s="14">
        <v>39607</v>
      </c>
      <c r="C95" s="15">
        <v>39619</v>
      </c>
      <c r="E95" s="8" t="s">
        <v>346</v>
      </c>
      <c r="G95" s="11" t="s">
        <v>37</v>
      </c>
      <c r="H95" s="1">
        <v>22</v>
      </c>
      <c r="I95" s="11" t="s">
        <v>347</v>
      </c>
      <c r="J95" s="8" t="s">
        <v>348</v>
      </c>
      <c r="K95" s="8" t="s">
        <v>48</v>
      </c>
      <c r="L95" s="11" t="s">
        <v>24</v>
      </c>
      <c r="M95" s="15">
        <v>39619</v>
      </c>
      <c r="N95" s="1">
        <v>1</v>
      </c>
      <c r="O95" s="11" t="s">
        <v>25</v>
      </c>
      <c r="P95" s="11" t="s">
        <v>26</v>
      </c>
      <c r="Q95" s="11" t="s">
        <v>27</v>
      </c>
      <c r="R95" s="11" t="s">
        <v>28</v>
      </c>
      <c r="S95" s="15">
        <f t="shared" ca="1" si="2"/>
        <v>40470.53652858796</v>
      </c>
      <c r="T95" s="8">
        <f t="shared" ca="1" si="3"/>
        <v>28</v>
      </c>
      <c r="U95" s="11" t="s">
        <v>56</v>
      </c>
      <c r="V95" s="11" t="s">
        <v>224</v>
      </c>
      <c r="W95" s="25" t="s">
        <v>56</v>
      </c>
      <c r="X95" s="25" t="s">
        <v>51</v>
      </c>
      <c r="Y95" s="32" t="s">
        <v>42</v>
      </c>
      <c r="Z95" s="21">
        <v>24.830269999999999</v>
      </c>
      <c r="AA95" s="21">
        <v>67.126220000000004</v>
      </c>
      <c r="AB95" s="17"/>
      <c r="AC95" s="12" t="s">
        <v>915</v>
      </c>
      <c r="AD95" s="25">
        <v>39870</v>
      </c>
      <c r="AH95" s="11" t="s">
        <v>61</v>
      </c>
    </row>
    <row r="96" spans="1:34">
      <c r="A96" s="1">
        <v>95</v>
      </c>
      <c r="B96" s="14">
        <v>39607</v>
      </c>
      <c r="C96" s="15">
        <v>39619</v>
      </c>
      <c r="E96" s="8" t="s">
        <v>349</v>
      </c>
      <c r="G96" s="11" t="s">
        <v>37</v>
      </c>
      <c r="H96" s="28">
        <v>27</v>
      </c>
      <c r="I96" s="11" t="s">
        <v>350</v>
      </c>
      <c r="J96" s="8" t="s">
        <v>351</v>
      </c>
      <c r="K96" s="8" t="s">
        <v>39</v>
      </c>
      <c r="L96" s="11" t="s">
        <v>24</v>
      </c>
      <c r="M96" s="15">
        <v>39619</v>
      </c>
      <c r="N96" s="28">
        <v>1</v>
      </c>
      <c r="O96" s="11" t="s">
        <v>40</v>
      </c>
      <c r="P96" s="11" t="s">
        <v>109</v>
      </c>
      <c r="Q96" s="11" t="s">
        <v>27</v>
      </c>
      <c r="R96" s="25" t="s">
        <v>56</v>
      </c>
      <c r="S96" s="15">
        <f t="shared" ca="1" si="2"/>
        <v>40470.53652858796</v>
      </c>
      <c r="T96" s="8">
        <f t="shared" ca="1" si="3"/>
        <v>28</v>
      </c>
      <c r="U96" s="11" t="s">
        <v>42</v>
      </c>
      <c r="V96" s="11" t="s">
        <v>42</v>
      </c>
      <c r="W96" s="11" t="s">
        <v>42</v>
      </c>
      <c r="X96" s="11" t="s">
        <v>42</v>
      </c>
      <c r="Y96" s="32" t="s">
        <v>42</v>
      </c>
      <c r="Z96" s="21">
        <v>24.82762</v>
      </c>
      <c r="AA96" s="21">
        <v>67.124549999999999</v>
      </c>
      <c r="AC96" s="12" t="s">
        <v>2510</v>
      </c>
      <c r="AD96" s="25">
        <v>39872</v>
      </c>
      <c r="AH96" s="11" t="s">
        <v>44</v>
      </c>
    </row>
    <row r="97" spans="1:34">
      <c r="A97" s="1">
        <v>96</v>
      </c>
      <c r="B97" s="14">
        <v>39607</v>
      </c>
      <c r="C97" s="15">
        <v>39619</v>
      </c>
      <c r="E97" s="8" t="s">
        <v>352</v>
      </c>
      <c r="G97" s="11" t="s">
        <v>20</v>
      </c>
      <c r="H97" s="1">
        <v>37</v>
      </c>
      <c r="I97" s="11" t="s">
        <v>353</v>
      </c>
      <c r="J97" s="8" t="s">
        <v>354</v>
      </c>
      <c r="K97" s="8" t="s">
        <v>48</v>
      </c>
      <c r="L97" s="11" t="s">
        <v>24</v>
      </c>
      <c r="M97" s="15">
        <v>39619</v>
      </c>
      <c r="N97" s="1">
        <v>1</v>
      </c>
      <c r="O97" s="11" t="s">
        <v>40</v>
      </c>
      <c r="P97" s="11" t="s">
        <v>72</v>
      </c>
      <c r="Q97" s="11" t="s">
        <v>27</v>
      </c>
      <c r="R97" s="11" t="s">
        <v>42</v>
      </c>
      <c r="S97" s="15">
        <f t="shared" ca="1" si="2"/>
        <v>40470.53652858796</v>
      </c>
      <c r="T97" s="8">
        <f t="shared" ca="1" si="3"/>
        <v>28</v>
      </c>
      <c r="U97" s="11" t="s">
        <v>42</v>
      </c>
      <c r="V97" s="11" t="s">
        <v>42</v>
      </c>
      <c r="W97" s="11" t="s">
        <v>42</v>
      </c>
      <c r="X97" s="11" t="s">
        <v>42</v>
      </c>
      <c r="Y97" s="32" t="s">
        <v>42</v>
      </c>
      <c r="Z97" s="16">
        <v>24.848459999999999</v>
      </c>
      <c r="AA97" s="16">
        <v>67.142060000000001</v>
      </c>
      <c r="AB97" s="17"/>
      <c r="AC97" s="12" t="s">
        <v>2510</v>
      </c>
      <c r="AD97" s="25">
        <v>39864</v>
      </c>
      <c r="AH97" s="11" t="s">
        <v>44</v>
      </c>
    </row>
    <row r="98" spans="1:34" ht="12.75" customHeight="1">
      <c r="A98" s="1">
        <v>97</v>
      </c>
      <c r="B98" s="14">
        <v>39607</v>
      </c>
      <c r="C98" s="15">
        <v>39622</v>
      </c>
      <c r="E98" s="8" t="s">
        <v>355</v>
      </c>
      <c r="G98" s="11" t="s">
        <v>20</v>
      </c>
      <c r="H98" s="28">
        <v>80</v>
      </c>
      <c r="I98" s="11" t="s">
        <v>356</v>
      </c>
      <c r="J98" s="8" t="s">
        <v>357</v>
      </c>
      <c r="K98" s="8" t="s">
        <v>291</v>
      </c>
      <c r="L98" s="11" t="s">
        <v>24</v>
      </c>
      <c r="M98" s="15">
        <v>39622</v>
      </c>
      <c r="N98" s="28">
        <v>2</v>
      </c>
      <c r="O98" s="11" t="s">
        <v>25</v>
      </c>
      <c r="P98" s="11" t="s">
        <v>26</v>
      </c>
      <c r="Q98" s="11" t="s">
        <v>49</v>
      </c>
      <c r="R98" s="11" t="s">
        <v>60</v>
      </c>
      <c r="S98" s="15">
        <f t="shared" ca="1" si="2"/>
        <v>40470.53652858796</v>
      </c>
      <c r="T98" s="8">
        <f t="shared" ca="1" si="3"/>
        <v>28</v>
      </c>
      <c r="U98" s="11" t="s">
        <v>42</v>
      </c>
      <c r="V98" s="25" t="s">
        <v>56</v>
      </c>
      <c r="W98" s="25" t="s">
        <v>56</v>
      </c>
      <c r="X98" s="11" t="s">
        <v>42</v>
      </c>
      <c r="Y98" s="32" t="s">
        <v>42</v>
      </c>
      <c r="Z98" s="19">
        <v>24.838100000000001</v>
      </c>
      <c r="AA98" s="19">
        <v>67.155619999999999</v>
      </c>
      <c r="AC98" s="12" t="s">
        <v>44</v>
      </c>
      <c r="AD98" s="25">
        <v>39916</v>
      </c>
      <c r="AH98" s="11" t="s">
        <v>44</v>
      </c>
    </row>
    <row r="99" spans="1:34">
      <c r="A99" s="1">
        <v>98</v>
      </c>
      <c r="B99" s="14">
        <v>39607</v>
      </c>
      <c r="C99" s="15">
        <v>39623</v>
      </c>
      <c r="E99" s="8" t="s">
        <v>358</v>
      </c>
      <c r="G99" s="11" t="s">
        <v>20</v>
      </c>
      <c r="H99" s="1">
        <v>31</v>
      </c>
      <c r="I99" s="11" t="s">
        <v>359</v>
      </c>
      <c r="J99" s="8" t="s">
        <v>360</v>
      </c>
      <c r="K99" s="8" t="s">
        <v>48</v>
      </c>
      <c r="L99" s="11" t="s">
        <v>24</v>
      </c>
      <c r="M99" s="15">
        <v>39623</v>
      </c>
      <c r="N99" s="1">
        <v>1</v>
      </c>
      <c r="O99" s="11" t="s">
        <v>40</v>
      </c>
      <c r="P99" s="11" t="s">
        <v>176</v>
      </c>
      <c r="Q99" s="11" t="s">
        <v>27</v>
      </c>
      <c r="R99" s="11" t="s">
        <v>42</v>
      </c>
      <c r="S99" s="15">
        <f t="shared" ca="1" si="2"/>
        <v>40470.53652858796</v>
      </c>
      <c r="T99" s="8">
        <f t="shared" ca="1" si="3"/>
        <v>28</v>
      </c>
      <c r="U99" s="11" t="s">
        <v>42</v>
      </c>
      <c r="V99" s="11" t="s">
        <v>42</v>
      </c>
      <c r="W99" s="11" t="s">
        <v>42</v>
      </c>
      <c r="X99" s="11" t="s">
        <v>42</v>
      </c>
      <c r="Y99" s="32" t="s">
        <v>42</v>
      </c>
      <c r="Z99" s="19" t="s">
        <v>361</v>
      </c>
      <c r="AC99" s="12" t="s">
        <v>2510</v>
      </c>
      <c r="AD99" s="25">
        <v>39868</v>
      </c>
      <c r="AH99" s="11" t="s">
        <v>44</v>
      </c>
    </row>
    <row r="100" spans="1:34">
      <c r="A100" s="1">
        <v>99</v>
      </c>
      <c r="B100" s="14">
        <v>39607</v>
      </c>
      <c r="C100" s="15">
        <v>39624</v>
      </c>
      <c r="E100" s="8" t="s">
        <v>362</v>
      </c>
      <c r="G100" s="11" t="s">
        <v>37</v>
      </c>
      <c r="H100" s="28">
        <v>17</v>
      </c>
      <c r="I100" s="11" t="s">
        <v>363</v>
      </c>
      <c r="J100" s="8" t="s">
        <v>364</v>
      </c>
      <c r="K100" s="8" t="s">
        <v>39</v>
      </c>
      <c r="L100" s="11" t="s">
        <v>24</v>
      </c>
      <c r="M100" s="15">
        <v>39624</v>
      </c>
      <c r="N100" s="28">
        <v>1</v>
      </c>
      <c r="O100" s="11" t="s">
        <v>40</v>
      </c>
      <c r="P100" s="11" t="s">
        <v>213</v>
      </c>
      <c r="Q100" s="11" t="s">
        <v>27</v>
      </c>
      <c r="R100" s="25" t="s">
        <v>56</v>
      </c>
      <c r="S100" s="15">
        <f t="shared" ca="1" si="2"/>
        <v>40470.53652858796</v>
      </c>
      <c r="T100" s="8">
        <f t="shared" ca="1" si="3"/>
        <v>28</v>
      </c>
      <c r="U100" s="11" t="s">
        <v>42</v>
      </c>
      <c r="V100" s="11" t="s">
        <v>42</v>
      </c>
      <c r="W100" s="11" t="s">
        <v>42</v>
      </c>
      <c r="X100" s="11" t="s">
        <v>42</v>
      </c>
      <c r="Y100" s="32" t="s">
        <v>42</v>
      </c>
      <c r="Z100" s="19">
        <v>24.828420000000001</v>
      </c>
      <c r="AA100" s="19">
        <v>67.143569999999997</v>
      </c>
      <c r="AC100" s="12" t="s">
        <v>2510</v>
      </c>
      <c r="AD100" s="25">
        <v>39875</v>
      </c>
      <c r="AH100" s="11" t="s">
        <v>44</v>
      </c>
    </row>
    <row r="101" spans="1:34" ht="12.75" customHeight="1">
      <c r="A101" s="1">
        <v>100</v>
      </c>
      <c r="B101" s="14">
        <v>39607</v>
      </c>
      <c r="C101" s="15">
        <v>39625</v>
      </c>
      <c r="E101" s="8" t="s">
        <v>365</v>
      </c>
      <c r="G101" s="11" t="s">
        <v>37</v>
      </c>
      <c r="H101" s="1">
        <v>41</v>
      </c>
      <c r="I101" s="11" t="s">
        <v>366</v>
      </c>
      <c r="K101" s="8" t="s">
        <v>223</v>
      </c>
      <c r="L101" s="11" t="s">
        <v>24</v>
      </c>
      <c r="M101" s="15">
        <v>39625</v>
      </c>
      <c r="N101" s="1">
        <v>2</v>
      </c>
      <c r="O101" s="11" t="s">
        <v>25</v>
      </c>
      <c r="P101" s="11" t="s">
        <v>26</v>
      </c>
      <c r="Q101" s="11" t="s">
        <v>407</v>
      </c>
      <c r="R101" s="11" t="s">
        <v>28</v>
      </c>
      <c r="S101" s="15">
        <f t="shared" ca="1" si="2"/>
        <v>40470.53652858796</v>
      </c>
      <c r="T101" s="8">
        <f t="shared" ca="1" si="3"/>
        <v>28</v>
      </c>
      <c r="U101" s="11" t="s">
        <v>42</v>
      </c>
      <c r="V101" s="11" t="s">
        <v>56</v>
      </c>
      <c r="W101" s="11" t="s">
        <v>224</v>
      </c>
      <c r="X101" s="11" t="s">
        <v>224</v>
      </c>
      <c r="Y101" s="32" t="s">
        <v>42</v>
      </c>
      <c r="Z101" s="19">
        <v>24.822120000000002</v>
      </c>
      <c r="AA101" s="19">
        <v>67.141379999999998</v>
      </c>
      <c r="AC101" s="12" t="s">
        <v>2510</v>
      </c>
      <c r="AD101" s="25" t="s">
        <v>367</v>
      </c>
      <c r="AH101" s="11" t="s">
        <v>367</v>
      </c>
    </row>
    <row r="102" spans="1:34" ht="12.75" customHeight="1">
      <c r="A102" s="1">
        <v>101</v>
      </c>
      <c r="B102" s="14">
        <v>39607</v>
      </c>
      <c r="C102" s="15">
        <v>39626</v>
      </c>
      <c r="E102" s="8" t="s">
        <v>368</v>
      </c>
      <c r="G102" s="11" t="s">
        <v>37</v>
      </c>
      <c r="H102" s="28">
        <v>22</v>
      </c>
      <c r="I102" s="11" t="s">
        <v>369</v>
      </c>
      <c r="J102" s="8" t="s">
        <v>370</v>
      </c>
      <c r="K102" s="8" t="s">
        <v>39</v>
      </c>
      <c r="L102" s="11" t="s">
        <v>24</v>
      </c>
      <c r="M102" s="15">
        <v>39626</v>
      </c>
      <c r="N102" s="28">
        <v>1</v>
      </c>
      <c r="O102" s="11" t="s">
        <v>25</v>
      </c>
      <c r="P102" s="11" t="s">
        <v>26</v>
      </c>
      <c r="Q102" s="11" t="s">
        <v>27</v>
      </c>
      <c r="R102" s="11" t="s">
        <v>60</v>
      </c>
      <c r="S102" s="15">
        <f t="shared" ca="1" si="2"/>
        <v>40470.53652858796</v>
      </c>
      <c r="T102" s="8">
        <f t="shared" ca="1" si="3"/>
        <v>28</v>
      </c>
      <c r="U102" s="25" t="s">
        <v>42</v>
      </c>
      <c r="V102" s="25" t="s">
        <v>56</v>
      </c>
      <c r="W102" s="11" t="s">
        <v>51</v>
      </c>
      <c r="X102" s="11" t="s">
        <v>51</v>
      </c>
      <c r="Y102" s="32" t="s">
        <v>42</v>
      </c>
      <c r="Z102" s="21">
        <v>24.825389999999999</v>
      </c>
      <c r="AA102" s="21">
        <v>67.125969999999995</v>
      </c>
      <c r="AC102" s="12" t="s">
        <v>915</v>
      </c>
      <c r="AD102" s="25">
        <v>39890</v>
      </c>
      <c r="AH102" s="11" t="s">
        <v>61</v>
      </c>
    </row>
    <row r="103" spans="1:34" ht="12.75" customHeight="1">
      <c r="A103" s="1">
        <v>102</v>
      </c>
      <c r="B103" s="14">
        <v>39607</v>
      </c>
      <c r="C103" s="15">
        <v>39626</v>
      </c>
      <c r="E103" s="8" t="s">
        <v>371</v>
      </c>
      <c r="G103" s="11" t="s">
        <v>20</v>
      </c>
      <c r="H103" s="1">
        <v>33</v>
      </c>
      <c r="I103" s="11" t="s">
        <v>372</v>
      </c>
      <c r="J103" s="8" t="s">
        <v>373</v>
      </c>
      <c r="K103" s="8" t="s">
        <v>291</v>
      </c>
      <c r="L103" s="11" t="s">
        <v>24</v>
      </c>
      <c r="M103" s="15">
        <v>39626</v>
      </c>
      <c r="N103" s="1">
        <v>1</v>
      </c>
      <c r="O103" s="11" t="s">
        <v>25</v>
      </c>
      <c r="P103" s="11" t="s">
        <v>26</v>
      </c>
      <c r="Q103" s="11" t="s">
        <v>27</v>
      </c>
      <c r="R103" s="11" t="s">
        <v>374</v>
      </c>
      <c r="S103" s="15">
        <f t="shared" ca="1" si="2"/>
        <v>40470.53652858796</v>
      </c>
      <c r="T103" s="8">
        <f t="shared" ca="1" si="3"/>
        <v>28</v>
      </c>
      <c r="U103" s="11" t="s">
        <v>56</v>
      </c>
      <c r="V103" s="11" t="s">
        <v>42</v>
      </c>
      <c r="W103" s="11" t="s">
        <v>56</v>
      </c>
      <c r="X103" s="11" t="s">
        <v>56</v>
      </c>
      <c r="Y103" s="32" t="s">
        <v>42</v>
      </c>
      <c r="Z103" s="21">
        <v>24.82451</v>
      </c>
      <c r="AA103" s="21">
        <v>67.084100000000007</v>
      </c>
      <c r="AC103" s="12" t="s">
        <v>915</v>
      </c>
      <c r="AD103" s="25">
        <v>39877</v>
      </c>
      <c r="AH103" s="11" t="s">
        <v>61</v>
      </c>
    </row>
    <row r="104" spans="1:34" ht="12.75" customHeight="1">
      <c r="A104" s="1">
        <v>103</v>
      </c>
      <c r="B104" s="14">
        <v>39637</v>
      </c>
      <c r="C104" s="15">
        <v>39630</v>
      </c>
      <c r="E104" s="8" t="s">
        <v>375</v>
      </c>
      <c r="G104" s="11" t="s">
        <v>37</v>
      </c>
      <c r="H104" s="28">
        <v>18</v>
      </c>
      <c r="I104" s="11" t="s">
        <v>376</v>
      </c>
      <c r="J104" s="8" t="s">
        <v>377</v>
      </c>
      <c r="K104" s="8" t="s">
        <v>39</v>
      </c>
      <c r="L104" s="11" t="s">
        <v>24</v>
      </c>
      <c r="M104" s="15">
        <v>39630</v>
      </c>
      <c r="N104" s="28">
        <v>1</v>
      </c>
      <c r="O104" s="11" t="s">
        <v>25</v>
      </c>
      <c r="P104" s="11" t="s">
        <v>26</v>
      </c>
      <c r="Q104" s="11" t="s">
        <v>27</v>
      </c>
      <c r="R104" s="25" t="s">
        <v>2729</v>
      </c>
      <c r="S104" s="15">
        <f t="shared" ca="1" si="2"/>
        <v>40470.53652858796</v>
      </c>
      <c r="T104" s="8">
        <f ca="1">(YEAR(S103)-YEAR(M103))*12+MONTH(S103)-MONTH(M103)</f>
        <v>28</v>
      </c>
      <c r="U104" s="25" t="s">
        <v>42</v>
      </c>
      <c r="V104" s="11" t="s">
        <v>42</v>
      </c>
      <c r="W104" s="25" t="s">
        <v>42</v>
      </c>
      <c r="X104" s="25" t="s">
        <v>42</v>
      </c>
      <c r="Y104" s="32" t="s">
        <v>42</v>
      </c>
      <c r="Z104" s="19">
        <v>24.81399</v>
      </c>
      <c r="AA104" s="19">
        <v>67.146780000000007</v>
      </c>
      <c r="AC104" s="12" t="s">
        <v>2510</v>
      </c>
      <c r="AD104" s="25">
        <v>39873</v>
      </c>
      <c r="AH104" s="11" t="s">
        <v>44</v>
      </c>
    </row>
    <row r="105" spans="1:34" ht="12.75" customHeight="1">
      <c r="A105" s="1">
        <v>104</v>
      </c>
      <c r="B105" s="14">
        <v>39637</v>
      </c>
      <c r="C105" s="15">
        <v>39631</v>
      </c>
      <c r="E105" s="8" t="s">
        <v>378</v>
      </c>
      <c r="G105" s="11" t="s">
        <v>37</v>
      </c>
      <c r="H105" s="28">
        <v>38</v>
      </c>
      <c r="I105" s="11" t="s">
        <v>379</v>
      </c>
      <c r="J105" s="8" t="s">
        <v>380</v>
      </c>
      <c r="K105" s="8" t="s">
        <v>223</v>
      </c>
      <c r="L105" s="11" t="s">
        <v>24</v>
      </c>
      <c r="M105" s="15">
        <v>39630</v>
      </c>
      <c r="N105" s="28">
        <v>2</v>
      </c>
      <c r="O105" s="11" t="s">
        <v>25</v>
      </c>
      <c r="P105" s="11" t="s">
        <v>26</v>
      </c>
      <c r="Q105" s="11" t="s">
        <v>381</v>
      </c>
      <c r="R105" s="25" t="s">
        <v>2731</v>
      </c>
      <c r="S105" s="15">
        <f t="shared" ca="1" si="2"/>
        <v>40470.53652858796</v>
      </c>
      <c r="T105" s="8">
        <f ca="1">(YEAR(S104)-YEAR(M104))*12+MONTH(S104)-MONTH(M104)</f>
        <v>27</v>
      </c>
      <c r="U105" s="11" t="s">
        <v>56</v>
      </c>
      <c r="V105" s="11" t="s">
        <v>42</v>
      </c>
      <c r="W105" s="11" t="s">
        <v>56</v>
      </c>
      <c r="X105" s="11" t="s">
        <v>56</v>
      </c>
      <c r="Y105" s="32" t="s">
        <v>42</v>
      </c>
      <c r="Z105" s="19">
        <v>24.83211</v>
      </c>
      <c r="AA105" s="19">
        <v>67.158770000000004</v>
      </c>
      <c r="AB105" s="19">
        <v>24.83803</v>
      </c>
      <c r="AC105" s="12" t="s">
        <v>915</v>
      </c>
      <c r="AD105" s="25">
        <v>39876</v>
      </c>
      <c r="AH105" s="11" t="s">
        <v>61</v>
      </c>
    </row>
    <row r="106" spans="1:34">
      <c r="A106" s="1">
        <v>105</v>
      </c>
      <c r="B106" s="14">
        <v>39637</v>
      </c>
      <c r="C106" s="15">
        <v>39632</v>
      </c>
      <c r="E106" s="8" t="s">
        <v>382</v>
      </c>
      <c r="G106" s="11" t="s">
        <v>37</v>
      </c>
      <c r="H106" s="1">
        <v>21</v>
      </c>
      <c r="I106" s="11" t="s">
        <v>383</v>
      </c>
      <c r="J106" s="8" t="s">
        <v>384</v>
      </c>
      <c r="K106" s="8" t="s">
        <v>48</v>
      </c>
      <c r="L106" s="11" t="s">
        <v>24</v>
      </c>
      <c r="M106" s="15">
        <v>39632</v>
      </c>
      <c r="N106" s="1">
        <v>1</v>
      </c>
      <c r="O106" s="11" t="s">
        <v>40</v>
      </c>
      <c r="P106" s="11" t="s">
        <v>213</v>
      </c>
      <c r="Q106" s="11" t="s">
        <v>27</v>
      </c>
      <c r="R106" s="11" t="s">
        <v>42</v>
      </c>
      <c r="S106" s="15">
        <f t="shared" ca="1" si="2"/>
        <v>40470.53652858796</v>
      </c>
      <c r="T106" s="8">
        <f t="shared" ref="T106:T116" ca="1" si="4">(YEAR(S105)-YEAR(M105))*12+MONTH(S105)-MONTH(M105)</f>
        <v>27</v>
      </c>
      <c r="U106" s="11" t="s">
        <v>42</v>
      </c>
      <c r="V106" s="11" t="s">
        <v>42</v>
      </c>
      <c r="W106" s="11" t="s">
        <v>42</v>
      </c>
      <c r="X106" s="11" t="s">
        <v>42</v>
      </c>
      <c r="Y106" s="32" t="s">
        <v>42</v>
      </c>
      <c r="Z106" s="19">
        <v>24.829529999999998</v>
      </c>
      <c r="AA106" s="19">
        <v>67.136539999999997</v>
      </c>
      <c r="AC106" s="12" t="s">
        <v>2510</v>
      </c>
      <c r="AD106" s="25">
        <v>39875</v>
      </c>
      <c r="AH106" s="11" t="s">
        <v>44</v>
      </c>
    </row>
    <row r="107" spans="1:34">
      <c r="A107" s="1">
        <v>106</v>
      </c>
      <c r="B107" s="14">
        <v>39637</v>
      </c>
      <c r="C107" s="15">
        <v>39632</v>
      </c>
      <c r="E107" s="8" t="s">
        <v>385</v>
      </c>
      <c r="G107" s="11" t="s">
        <v>37</v>
      </c>
      <c r="H107" s="28">
        <v>28</v>
      </c>
      <c r="I107" s="11" t="s">
        <v>386</v>
      </c>
      <c r="J107" s="8" t="s">
        <v>387</v>
      </c>
      <c r="K107" s="8" t="s">
        <v>206</v>
      </c>
      <c r="L107" s="11" t="s">
        <v>24</v>
      </c>
      <c r="M107" s="15">
        <v>39632</v>
      </c>
      <c r="N107" s="28">
        <v>2</v>
      </c>
      <c r="O107" s="11" t="s">
        <v>40</v>
      </c>
      <c r="P107" s="11" t="s">
        <v>213</v>
      </c>
      <c r="Q107" s="11" t="s">
        <v>381</v>
      </c>
      <c r="R107" s="11" t="s">
        <v>42</v>
      </c>
      <c r="S107" s="15">
        <f t="shared" ca="1" si="2"/>
        <v>40470.53652858796</v>
      </c>
      <c r="T107" s="8">
        <f t="shared" ca="1" si="4"/>
        <v>27</v>
      </c>
      <c r="U107" s="11" t="s">
        <v>42</v>
      </c>
      <c r="V107" s="11" t="s">
        <v>42</v>
      </c>
      <c r="W107" s="11" t="s">
        <v>42</v>
      </c>
      <c r="X107" s="11" t="s">
        <v>42</v>
      </c>
      <c r="Y107" s="32" t="s">
        <v>42</v>
      </c>
      <c r="Z107" s="19">
        <v>24.82199</v>
      </c>
      <c r="AA107" s="19">
        <v>67.137209999999996</v>
      </c>
      <c r="AC107" s="12" t="s">
        <v>2510</v>
      </c>
      <c r="AD107" s="25">
        <v>39875</v>
      </c>
      <c r="AH107" s="11" t="s">
        <v>44</v>
      </c>
    </row>
    <row r="108" spans="1:34">
      <c r="A108" s="1">
        <v>107</v>
      </c>
      <c r="B108" s="14">
        <v>39637</v>
      </c>
      <c r="C108" s="15">
        <v>39632</v>
      </c>
      <c r="E108" s="8" t="s">
        <v>388</v>
      </c>
      <c r="G108" s="11" t="s">
        <v>20</v>
      </c>
      <c r="H108" s="1">
        <v>38</v>
      </c>
      <c r="I108" s="11" t="s">
        <v>389</v>
      </c>
      <c r="J108" s="8" t="s">
        <v>390</v>
      </c>
      <c r="K108" s="8" t="s">
        <v>291</v>
      </c>
      <c r="L108" s="11" t="s">
        <v>24</v>
      </c>
      <c r="M108" s="15">
        <v>39632</v>
      </c>
      <c r="N108" s="1">
        <v>1</v>
      </c>
      <c r="O108" s="11" t="s">
        <v>40</v>
      </c>
      <c r="P108" s="11" t="s">
        <v>109</v>
      </c>
      <c r="Q108" s="11" t="s">
        <v>27</v>
      </c>
      <c r="R108" s="11" t="s">
        <v>42</v>
      </c>
      <c r="S108" s="15">
        <f t="shared" ca="1" si="2"/>
        <v>40470.53652858796</v>
      </c>
      <c r="T108" s="8">
        <f t="shared" ca="1" si="4"/>
        <v>27</v>
      </c>
      <c r="U108" s="11" t="s">
        <v>42</v>
      </c>
      <c r="V108" s="11" t="s">
        <v>42</v>
      </c>
      <c r="W108" s="11" t="s">
        <v>42</v>
      </c>
      <c r="X108" s="11" t="s">
        <v>42</v>
      </c>
      <c r="Y108" s="32" t="s">
        <v>42</v>
      </c>
      <c r="Z108" s="19">
        <v>24.849630000000001</v>
      </c>
      <c r="AA108" s="19">
        <v>67.114909999999995</v>
      </c>
      <c r="AC108" s="12" t="s">
        <v>982</v>
      </c>
      <c r="AD108" s="25">
        <v>39783</v>
      </c>
      <c r="AH108" s="11" t="s">
        <v>122</v>
      </c>
    </row>
    <row r="109" spans="1:34" ht="12.75" customHeight="1">
      <c r="A109" s="1">
        <v>108</v>
      </c>
      <c r="B109" s="14">
        <v>39637</v>
      </c>
      <c r="C109" s="15">
        <v>39632</v>
      </c>
      <c r="E109" s="8" t="s">
        <v>391</v>
      </c>
      <c r="G109" s="11" t="s">
        <v>20</v>
      </c>
      <c r="H109" s="28">
        <v>16</v>
      </c>
      <c r="I109" s="11" t="s">
        <v>392</v>
      </c>
      <c r="J109" s="8" t="s">
        <v>393</v>
      </c>
      <c r="K109" s="8" t="s">
        <v>48</v>
      </c>
      <c r="L109" s="11" t="s">
        <v>24</v>
      </c>
      <c r="M109" s="15">
        <v>39632</v>
      </c>
      <c r="N109" s="28">
        <v>1</v>
      </c>
      <c r="O109" s="11" t="s">
        <v>25</v>
      </c>
      <c r="P109" s="11" t="s">
        <v>26</v>
      </c>
      <c r="Q109" s="11" t="s">
        <v>27</v>
      </c>
      <c r="R109" s="11" t="s">
        <v>65</v>
      </c>
      <c r="S109" s="15">
        <f t="shared" ca="1" si="2"/>
        <v>40470.53652858796</v>
      </c>
      <c r="T109" s="8">
        <f t="shared" ca="1" si="4"/>
        <v>27</v>
      </c>
      <c r="U109" s="25" t="s">
        <v>42</v>
      </c>
      <c r="V109" s="25" t="s">
        <v>56</v>
      </c>
      <c r="W109" s="25" t="s">
        <v>42</v>
      </c>
      <c r="X109" s="11" t="s">
        <v>56</v>
      </c>
      <c r="Y109" s="32" t="s">
        <v>42</v>
      </c>
      <c r="Z109" s="21">
        <v>24.814350000000001</v>
      </c>
      <c r="AA109" s="21">
        <v>67.107240000000004</v>
      </c>
      <c r="AC109" s="12" t="s">
        <v>915</v>
      </c>
      <c r="AD109" s="25">
        <v>39856</v>
      </c>
      <c r="AH109" s="11" t="s">
        <v>61</v>
      </c>
    </row>
    <row r="110" spans="1:34" ht="12.75" customHeight="1">
      <c r="A110" s="1">
        <v>109</v>
      </c>
      <c r="B110" s="14">
        <v>39637</v>
      </c>
      <c r="C110" s="15">
        <v>39633</v>
      </c>
      <c r="E110" s="8" t="s">
        <v>394</v>
      </c>
      <c r="G110" s="11" t="s">
        <v>37</v>
      </c>
      <c r="H110" s="1">
        <v>22</v>
      </c>
      <c r="I110" s="11" t="s">
        <v>395</v>
      </c>
      <c r="K110" s="8" t="s">
        <v>39</v>
      </c>
      <c r="L110" s="11" t="s">
        <v>24</v>
      </c>
      <c r="M110" s="15">
        <v>39633</v>
      </c>
      <c r="N110" s="1">
        <v>2</v>
      </c>
      <c r="O110" s="11" t="s">
        <v>25</v>
      </c>
      <c r="P110" s="11" t="s">
        <v>26</v>
      </c>
      <c r="Q110" s="11" t="s">
        <v>110</v>
      </c>
      <c r="R110" s="25" t="s">
        <v>2731</v>
      </c>
      <c r="S110" s="15">
        <f t="shared" ca="1" si="2"/>
        <v>40470.53652858796</v>
      </c>
      <c r="T110" s="8">
        <f t="shared" ca="1" si="4"/>
        <v>27</v>
      </c>
      <c r="U110" s="11" t="s">
        <v>42</v>
      </c>
      <c r="V110" s="11" t="s">
        <v>224</v>
      </c>
      <c r="W110" s="11" t="s">
        <v>224</v>
      </c>
      <c r="X110" s="11" t="s">
        <v>224</v>
      </c>
      <c r="Y110" s="32" t="s">
        <v>42</v>
      </c>
      <c r="Z110" s="19">
        <v>24.828700000000001</v>
      </c>
      <c r="AA110" s="19">
        <v>67.172290000000004</v>
      </c>
      <c r="AC110" s="12" t="s">
        <v>34</v>
      </c>
      <c r="AD110" s="25">
        <v>39633</v>
      </c>
      <c r="AH110" s="11" t="s">
        <v>35</v>
      </c>
    </row>
    <row r="111" spans="1:34" ht="12.75" customHeight="1">
      <c r="A111" s="1">
        <v>110</v>
      </c>
      <c r="B111" s="14">
        <v>39639</v>
      </c>
      <c r="C111" s="15">
        <v>39639</v>
      </c>
      <c r="E111" s="8" t="s">
        <v>396</v>
      </c>
      <c r="G111" s="11" t="s">
        <v>37</v>
      </c>
      <c r="H111" s="1">
        <v>15</v>
      </c>
      <c r="I111" s="11" t="s">
        <v>397</v>
      </c>
      <c r="J111" s="8" t="s">
        <v>398</v>
      </c>
      <c r="K111" s="8" t="s">
        <v>39</v>
      </c>
      <c r="L111" s="11" t="s">
        <v>24</v>
      </c>
      <c r="M111" s="15">
        <v>39639</v>
      </c>
      <c r="N111" s="1">
        <v>1</v>
      </c>
      <c r="O111" s="11" t="s">
        <v>25</v>
      </c>
      <c r="P111" s="11" t="s">
        <v>26</v>
      </c>
      <c r="Q111" s="11" t="s">
        <v>27</v>
      </c>
      <c r="R111" s="11" t="s">
        <v>28</v>
      </c>
      <c r="S111" s="15">
        <f t="shared" ca="1" si="2"/>
        <v>40470.53652858796</v>
      </c>
      <c r="T111" s="8">
        <f t="shared" ca="1" si="4"/>
        <v>27</v>
      </c>
      <c r="U111" s="25" t="s">
        <v>42</v>
      </c>
      <c r="V111" s="11" t="s">
        <v>51</v>
      </c>
      <c r="W111" s="11" t="s">
        <v>56</v>
      </c>
      <c r="X111" s="11" t="s">
        <v>56</v>
      </c>
      <c r="Y111" s="32" t="s">
        <v>42</v>
      </c>
      <c r="Z111" s="21">
        <v>24.844290000000001</v>
      </c>
      <c r="AA111" s="21">
        <v>67.070509999999999</v>
      </c>
      <c r="AC111" s="12" t="s">
        <v>915</v>
      </c>
      <c r="AD111" s="25">
        <v>39885</v>
      </c>
      <c r="AH111" s="11" t="s">
        <v>61</v>
      </c>
    </row>
    <row r="112" spans="1:34" ht="12.75" customHeight="1">
      <c r="A112" s="1">
        <v>111</v>
      </c>
      <c r="B112" s="14">
        <v>39639</v>
      </c>
      <c r="C112" s="15">
        <v>39639</v>
      </c>
      <c r="E112" s="8" t="s">
        <v>399</v>
      </c>
      <c r="G112" s="11" t="s">
        <v>20</v>
      </c>
      <c r="H112" s="1">
        <v>80</v>
      </c>
      <c r="I112" s="11" t="s">
        <v>400</v>
      </c>
      <c r="K112" s="8" t="s">
        <v>71</v>
      </c>
      <c r="L112" s="11" t="s">
        <v>24</v>
      </c>
      <c r="M112" s="15">
        <v>39639</v>
      </c>
      <c r="N112" s="1">
        <v>2</v>
      </c>
      <c r="O112" s="11" t="s">
        <v>25</v>
      </c>
      <c r="P112" s="11" t="s">
        <v>26</v>
      </c>
      <c r="Q112" s="11" t="s">
        <v>49</v>
      </c>
      <c r="R112" s="11" t="s">
        <v>60</v>
      </c>
      <c r="S112" s="15">
        <f t="shared" ca="1" si="2"/>
        <v>40470.53652858796</v>
      </c>
      <c r="T112" s="8">
        <f t="shared" ca="1" si="4"/>
        <v>27</v>
      </c>
      <c r="U112" s="11" t="s">
        <v>42</v>
      </c>
      <c r="V112" s="11" t="s">
        <v>224</v>
      </c>
      <c r="W112" s="11" t="s">
        <v>224</v>
      </c>
      <c r="X112" s="11" t="s">
        <v>224</v>
      </c>
      <c r="Y112" s="32" t="s">
        <v>42</v>
      </c>
      <c r="Z112" s="19">
        <v>24.82762</v>
      </c>
      <c r="AA112" s="19">
        <v>67.137129999999999</v>
      </c>
      <c r="AC112" s="12" t="s">
        <v>157</v>
      </c>
      <c r="AH112" s="11" t="s">
        <v>158</v>
      </c>
    </row>
    <row r="113" spans="1:34">
      <c r="A113" s="1">
        <v>112</v>
      </c>
      <c r="B113" s="14">
        <v>39637</v>
      </c>
      <c r="C113" s="15">
        <v>39640</v>
      </c>
      <c r="E113" s="8" t="s">
        <v>401</v>
      </c>
      <c r="G113" s="11" t="s">
        <v>37</v>
      </c>
      <c r="H113" s="1">
        <v>25</v>
      </c>
      <c r="I113" s="11" t="s">
        <v>435</v>
      </c>
      <c r="J113" s="8" t="s">
        <v>436</v>
      </c>
      <c r="K113" s="8" t="s">
        <v>39</v>
      </c>
      <c r="L113" s="11" t="s">
        <v>24</v>
      </c>
      <c r="M113" s="15">
        <v>39640</v>
      </c>
      <c r="N113" s="1">
        <v>1</v>
      </c>
      <c r="O113" s="11" t="s">
        <v>40</v>
      </c>
      <c r="P113" s="11" t="s">
        <v>72</v>
      </c>
      <c r="Q113" s="11" t="s">
        <v>27</v>
      </c>
      <c r="R113" s="11" t="s">
        <v>42</v>
      </c>
      <c r="S113" s="15">
        <f t="shared" ca="1" si="2"/>
        <v>40470.53652858796</v>
      </c>
      <c r="T113" s="8">
        <f t="shared" ca="1" si="4"/>
        <v>27</v>
      </c>
      <c r="U113" s="11" t="s">
        <v>42</v>
      </c>
      <c r="V113" s="11" t="s">
        <v>42</v>
      </c>
      <c r="W113" s="11" t="s">
        <v>42</v>
      </c>
      <c r="X113" s="11" t="s">
        <v>42</v>
      </c>
      <c r="Y113" s="32" t="s">
        <v>42</v>
      </c>
      <c r="Z113" s="19">
        <v>24.821560000000002</v>
      </c>
      <c r="AA113" s="19">
        <v>67.136840000000007</v>
      </c>
      <c r="AC113" s="12" t="s">
        <v>44</v>
      </c>
      <c r="AD113" s="25">
        <v>39749</v>
      </c>
      <c r="AH113" s="11" t="s">
        <v>44</v>
      </c>
    </row>
    <row r="114" spans="1:34" ht="12.75" customHeight="1">
      <c r="A114" s="1">
        <v>113</v>
      </c>
      <c r="B114" s="14">
        <v>39637</v>
      </c>
      <c r="C114" s="15">
        <v>39640</v>
      </c>
      <c r="E114" s="8" t="s">
        <v>437</v>
      </c>
      <c r="G114" s="11" t="s">
        <v>20</v>
      </c>
      <c r="H114" s="1">
        <v>12</v>
      </c>
      <c r="I114" s="11" t="s">
        <v>438</v>
      </c>
      <c r="J114" s="8" t="s">
        <v>439</v>
      </c>
      <c r="K114" s="8" t="s">
        <v>106</v>
      </c>
      <c r="L114" s="11" t="s">
        <v>24</v>
      </c>
      <c r="M114" s="15">
        <v>39640</v>
      </c>
      <c r="N114" s="1">
        <v>1</v>
      </c>
      <c r="O114" s="11" t="s">
        <v>25</v>
      </c>
      <c r="P114" s="11" t="s">
        <v>26</v>
      </c>
      <c r="Q114" s="11" t="s">
        <v>27</v>
      </c>
      <c r="R114" s="25" t="s">
        <v>2731</v>
      </c>
      <c r="S114" s="15">
        <f t="shared" ca="1" si="2"/>
        <v>40470.53652858796</v>
      </c>
      <c r="T114" s="8">
        <f t="shared" ca="1" si="4"/>
        <v>27</v>
      </c>
      <c r="U114" s="25" t="s">
        <v>42</v>
      </c>
      <c r="V114" s="25" t="s">
        <v>56</v>
      </c>
      <c r="W114" s="11" t="s">
        <v>56</v>
      </c>
      <c r="X114" s="25" t="s">
        <v>2729</v>
      </c>
      <c r="Y114" s="32" t="s">
        <v>42</v>
      </c>
      <c r="Z114" s="19">
        <v>24.826799999999999</v>
      </c>
      <c r="AA114" s="19">
        <v>67.137649999999994</v>
      </c>
      <c r="AC114" s="12" t="s">
        <v>2510</v>
      </c>
      <c r="AD114" s="25">
        <v>39889</v>
      </c>
      <c r="AH114" s="11" t="s">
        <v>44</v>
      </c>
    </row>
    <row r="115" spans="1:34" ht="12.75" customHeight="1">
      <c r="A115" s="1">
        <v>114</v>
      </c>
      <c r="B115" s="14">
        <v>39637</v>
      </c>
      <c r="C115" s="15">
        <v>39640</v>
      </c>
      <c r="E115" s="8" t="s">
        <v>440</v>
      </c>
      <c r="G115" s="11" t="s">
        <v>37</v>
      </c>
      <c r="H115" s="1">
        <v>28</v>
      </c>
      <c r="I115" s="11" t="s">
        <v>441</v>
      </c>
      <c r="J115" s="8" t="s">
        <v>442</v>
      </c>
      <c r="K115" s="8" t="s">
        <v>39</v>
      </c>
      <c r="L115" s="11" t="s">
        <v>24</v>
      </c>
      <c r="M115" s="15">
        <v>39641</v>
      </c>
      <c r="N115" s="1">
        <v>1</v>
      </c>
      <c r="O115" s="11" t="s">
        <v>25</v>
      </c>
      <c r="P115" s="11" t="s">
        <v>26</v>
      </c>
      <c r="Q115" s="11" t="s">
        <v>27</v>
      </c>
      <c r="R115" s="11" t="s">
        <v>28</v>
      </c>
      <c r="S115" s="15">
        <f t="shared" ca="1" si="2"/>
        <v>40470.53652858796</v>
      </c>
      <c r="T115" s="8">
        <f t="shared" ca="1" si="4"/>
        <v>27</v>
      </c>
      <c r="U115" s="11" t="s">
        <v>56</v>
      </c>
      <c r="V115" s="11" t="s">
        <v>42</v>
      </c>
      <c r="W115" s="11" t="s">
        <v>56</v>
      </c>
      <c r="X115" s="11" t="s">
        <v>224</v>
      </c>
      <c r="Y115" s="32" t="s">
        <v>42</v>
      </c>
      <c r="Z115" s="19">
        <v>24.83756</v>
      </c>
      <c r="AA115" s="19">
        <v>67.18468</v>
      </c>
      <c r="AC115" s="12" t="s">
        <v>2511</v>
      </c>
      <c r="AD115" s="25">
        <v>39753</v>
      </c>
      <c r="AH115" s="11" t="s">
        <v>122</v>
      </c>
    </row>
    <row r="116" spans="1:34" ht="12.75" customHeight="1">
      <c r="A116" s="1">
        <v>115</v>
      </c>
      <c r="B116" s="14">
        <v>39637</v>
      </c>
      <c r="C116" s="15">
        <v>39653</v>
      </c>
      <c r="E116" s="8" t="s">
        <v>443</v>
      </c>
      <c r="G116" s="11" t="s">
        <v>37</v>
      </c>
      <c r="H116" s="1">
        <v>26</v>
      </c>
      <c r="I116" s="11" t="s">
        <v>444</v>
      </c>
      <c r="J116" s="8" t="s">
        <v>445</v>
      </c>
      <c r="K116" s="8" t="s">
        <v>206</v>
      </c>
      <c r="L116" s="11" t="s">
        <v>24</v>
      </c>
      <c r="M116" s="15">
        <v>39653</v>
      </c>
      <c r="N116" s="1">
        <v>2</v>
      </c>
      <c r="O116" s="11" t="s">
        <v>25</v>
      </c>
      <c r="P116" s="11" t="s">
        <v>26</v>
      </c>
      <c r="Q116" s="11" t="s">
        <v>49</v>
      </c>
      <c r="R116" s="11" t="s">
        <v>60</v>
      </c>
      <c r="S116" s="15">
        <f t="shared" ca="1" si="2"/>
        <v>40470.53652858796</v>
      </c>
      <c r="T116" s="8">
        <f t="shared" ca="1" si="4"/>
        <v>27</v>
      </c>
      <c r="U116" s="11" t="s">
        <v>42</v>
      </c>
      <c r="V116" s="11" t="s">
        <v>56</v>
      </c>
      <c r="W116" s="11" t="s">
        <v>56</v>
      </c>
      <c r="X116" s="25" t="s">
        <v>56</v>
      </c>
      <c r="Y116" s="32" t="s">
        <v>42</v>
      </c>
      <c r="Z116" s="19">
        <v>24.82245</v>
      </c>
      <c r="AA116" s="19">
        <v>67.155640000000005</v>
      </c>
      <c r="AC116" s="12" t="s">
        <v>915</v>
      </c>
      <c r="AD116" s="25">
        <v>39924</v>
      </c>
      <c r="AH116" s="11" t="s">
        <v>61</v>
      </c>
    </row>
    <row r="117" spans="1:34">
      <c r="A117" s="1">
        <v>116</v>
      </c>
      <c r="B117" s="14">
        <v>39668</v>
      </c>
      <c r="C117" s="15">
        <v>39661</v>
      </c>
      <c r="E117" s="8" t="s">
        <v>446</v>
      </c>
      <c r="G117" s="11" t="s">
        <v>20</v>
      </c>
      <c r="H117" s="1">
        <v>25</v>
      </c>
      <c r="I117" s="11" t="s">
        <v>447</v>
      </c>
      <c r="J117" s="8" t="s">
        <v>448</v>
      </c>
      <c r="K117" s="8" t="s">
        <v>100</v>
      </c>
      <c r="L117" s="11" t="s">
        <v>24</v>
      </c>
      <c r="M117" s="15">
        <v>39661</v>
      </c>
      <c r="N117" s="1">
        <v>1</v>
      </c>
      <c r="O117" s="11" t="s">
        <v>40</v>
      </c>
      <c r="P117" s="11" t="s">
        <v>213</v>
      </c>
      <c r="Q117" s="11" t="s">
        <v>27</v>
      </c>
      <c r="R117" s="25" t="s">
        <v>56</v>
      </c>
      <c r="S117" s="15">
        <f t="shared" ca="1" si="2"/>
        <v>40470.53652858796</v>
      </c>
      <c r="T117" s="8">
        <f t="shared" ref="T117:T127" ca="1" si="5">(YEAR(S117)-YEAR(M117))*12+MONTH(S117)-MONTH(M117)</f>
        <v>26</v>
      </c>
      <c r="U117" s="11" t="s">
        <v>42</v>
      </c>
      <c r="V117" s="11" t="s">
        <v>42</v>
      </c>
      <c r="W117" s="11" t="s">
        <v>42</v>
      </c>
      <c r="X117" s="11" t="s">
        <v>42</v>
      </c>
      <c r="Y117" s="32" t="s">
        <v>42</v>
      </c>
      <c r="Z117" s="19">
        <v>24.821079999999998</v>
      </c>
      <c r="AA117" s="19">
        <v>67.142409999999998</v>
      </c>
      <c r="AC117" s="12" t="s">
        <v>2510</v>
      </c>
      <c r="AD117" s="25">
        <v>39909</v>
      </c>
      <c r="AH117" s="11" t="s">
        <v>44</v>
      </c>
    </row>
    <row r="118" spans="1:34" ht="12.75" customHeight="1">
      <c r="A118" s="1">
        <v>117</v>
      </c>
      <c r="B118" s="14">
        <v>39668</v>
      </c>
      <c r="C118" s="15">
        <v>39661</v>
      </c>
      <c r="E118" s="8" t="s">
        <v>449</v>
      </c>
      <c r="G118" s="11" t="s">
        <v>37</v>
      </c>
      <c r="H118" s="1">
        <v>30</v>
      </c>
      <c r="I118" s="11" t="s">
        <v>450</v>
      </c>
      <c r="J118" s="8" t="s">
        <v>451</v>
      </c>
      <c r="K118" s="8" t="s">
        <v>206</v>
      </c>
      <c r="L118" s="11" t="s">
        <v>24</v>
      </c>
      <c r="M118" s="15">
        <v>39661</v>
      </c>
      <c r="N118" s="1">
        <v>1</v>
      </c>
      <c r="O118" s="11" t="s">
        <v>25</v>
      </c>
      <c r="P118" s="11" t="s">
        <v>26</v>
      </c>
      <c r="Q118" s="11" t="s">
        <v>27</v>
      </c>
      <c r="R118" s="25" t="s">
        <v>56</v>
      </c>
      <c r="S118" s="15">
        <f t="shared" ca="1" si="2"/>
        <v>40470.53652858796</v>
      </c>
      <c r="T118" s="8">
        <f t="shared" ca="1" si="5"/>
        <v>26</v>
      </c>
      <c r="U118" s="11" t="s">
        <v>56</v>
      </c>
      <c r="V118" s="11" t="s">
        <v>42</v>
      </c>
      <c r="W118" s="11" t="s">
        <v>56</v>
      </c>
      <c r="X118" s="11" t="s">
        <v>56</v>
      </c>
      <c r="Y118" s="32" t="s">
        <v>42</v>
      </c>
      <c r="Z118" s="19">
        <v>24.812360000000002</v>
      </c>
      <c r="AA118" s="19">
        <v>67.174000000000007</v>
      </c>
      <c r="AC118" s="12" t="s">
        <v>44</v>
      </c>
      <c r="AD118" s="25">
        <v>39916</v>
      </c>
      <c r="AH118" s="11" t="s">
        <v>44</v>
      </c>
    </row>
    <row r="119" spans="1:34" ht="12.75" customHeight="1">
      <c r="A119" s="1">
        <v>118</v>
      </c>
      <c r="B119" s="14">
        <v>39668</v>
      </c>
      <c r="C119" s="15">
        <v>39665</v>
      </c>
      <c r="E119" s="8" t="s">
        <v>453</v>
      </c>
      <c r="G119" s="11" t="s">
        <v>37</v>
      </c>
      <c r="H119" s="1">
        <v>26</v>
      </c>
      <c r="I119" s="11" t="s">
        <v>454</v>
      </c>
      <c r="J119" s="8" t="s">
        <v>455</v>
      </c>
      <c r="K119" s="8" t="s">
        <v>206</v>
      </c>
      <c r="L119" s="11" t="s">
        <v>24</v>
      </c>
      <c r="M119" s="15">
        <v>39665</v>
      </c>
      <c r="N119" s="1">
        <v>1</v>
      </c>
      <c r="O119" s="11" t="s">
        <v>25</v>
      </c>
      <c r="P119" s="11" t="s">
        <v>26</v>
      </c>
      <c r="Q119" s="11" t="s">
        <v>27</v>
      </c>
      <c r="R119" s="11" t="s">
        <v>28</v>
      </c>
      <c r="S119" s="15">
        <f t="shared" ca="1" si="2"/>
        <v>40470.53652858796</v>
      </c>
      <c r="T119" s="8">
        <f t="shared" ca="1" si="5"/>
        <v>26</v>
      </c>
      <c r="U119" s="11" t="s">
        <v>56</v>
      </c>
      <c r="V119" s="11" t="s">
        <v>42</v>
      </c>
      <c r="W119" s="11" t="s">
        <v>56</v>
      </c>
      <c r="X119" s="11" t="s">
        <v>56</v>
      </c>
      <c r="Y119" s="32" t="s">
        <v>42</v>
      </c>
      <c r="Z119" s="19">
        <v>24.822430000000001</v>
      </c>
      <c r="AA119" s="19">
        <v>67.14067</v>
      </c>
      <c r="AC119" s="12" t="s">
        <v>44</v>
      </c>
      <c r="AD119" s="25">
        <v>39908</v>
      </c>
      <c r="AH119" s="11" t="s">
        <v>44</v>
      </c>
    </row>
    <row r="120" spans="1:34" ht="12.75" customHeight="1">
      <c r="A120" s="1">
        <v>119</v>
      </c>
      <c r="B120" s="14">
        <v>39668</v>
      </c>
      <c r="C120" s="15">
        <v>39666</v>
      </c>
      <c r="E120" s="8" t="s">
        <v>456</v>
      </c>
      <c r="G120" s="11" t="s">
        <v>37</v>
      </c>
      <c r="H120" s="1">
        <v>17</v>
      </c>
      <c r="I120" s="11" t="s">
        <v>457</v>
      </c>
      <c r="J120" s="8" t="s">
        <v>458</v>
      </c>
      <c r="K120" s="8" t="s">
        <v>39</v>
      </c>
      <c r="L120" s="11" t="s">
        <v>24</v>
      </c>
      <c r="M120" s="15">
        <v>39666</v>
      </c>
      <c r="N120" s="1">
        <v>1</v>
      </c>
      <c r="O120" s="11" t="s">
        <v>25</v>
      </c>
      <c r="P120" s="11" t="s">
        <v>26</v>
      </c>
      <c r="Q120" s="11" t="s">
        <v>27</v>
      </c>
      <c r="R120" s="11" t="s">
        <v>65</v>
      </c>
      <c r="S120" s="15">
        <f t="shared" ca="1" si="2"/>
        <v>40470.53652858796</v>
      </c>
      <c r="T120" s="8">
        <f t="shared" ca="1" si="5"/>
        <v>26</v>
      </c>
      <c r="U120" s="11" t="s">
        <v>56</v>
      </c>
      <c r="V120" s="11" t="s">
        <v>42</v>
      </c>
      <c r="W120" s="11" t="s">
        <v>56</v>
      </c>
      <c r="X120" s="11" t="s">
        <v>56</v>
      </c>
      <c r="Y120" s="32" t="s">
        <v>42</v>
      </c>
      <c r="Z120" s="19">
        <v>24.82028</v>
      </c>
      <c r="AA120" s="19">
        <v>67.143010000000004</v>
      </c>
      <c r="AB120" s="8"/>
      <c r="AC120" s="12" t="s">
        <v>44</v>
      </c>
      <c r="AD120" s="25">
        <v>40035</v>
      </c>
      <c r="AH120" s="11" t="s">
        <v>44</v>
      </c>
    </row>
    <row r="121" spans="1:34">
      <c r="A121" s="1">
        <v>120</v>
      </c>
      <c r="B121" s="14">
        <v>39668</v>
      </c>
      <c r="C121" s="15">
        <v>39679</v>
      </c>
      <c r="E121" s="8" t="s">
        <v>459</v>
      </c>
      <c r="G121" s="11" t="s">
        <v>37</v>
      </c>
      <c r="H121" s="1">
        <v>26</v>
      </c>
      <c r="I121" s="11" t="s">
        <v>460</v>
      </c>
      <c r="J121" s="8" t="s">
        <v>461</v>
      </c>
      <c r="K121" s="8" t="s">
        <v>39</v>
      </c>
      <c r="L121" s="11" t="s">
        <v>24</v>
      </c>
      <c r="M121" s="15">
        <v>39679</v>
      </c>
      <c r="N121" s="1">
        <v>2</v>
      </c>
      <c r="O121" s="11" t="s">
        <v>40</v>
      </c>
      <c r="P121" s="11" t="s">
        <v>72</v>
      </c>
      <c r="Q121" s="11" t="s">
        <v>49</v>
      </c>
      <c r="R121" s="11" t="s">
        <v>42</v>
      </c>
      <c r="S121" s="15">
        <f t="shared" ca="1" si="2"/>
        <v>40470.53652858796</v>
      </c>
      <c r="T121" s="8">
        <f t="shared" ca="1" si="5"/>
        <v>26</v>
      </c>
      <c r="U121" s="11" t="s">
        <v>42</v>
      </c>
      <c r="V121" s="11" t="s">
        <v>42</v>
      </c>
      <c r="W121" s="11" t="s">
        <v>42</v>
      </c>
      <c r="X121" s="11" t="s">
        <v>42</v>
      </c>
      <c r="Y121" s="32" t="s">
        <v>42</v>
      </c>
      <c r="Z121" s="19">
        <v>24.81232</v>
      </c>
      <c r="AA121" s="19">
        <v>67.174009999999996</v>
      </c>
      <c r="AC121" s="12" t="s">
        <v>2510</v>
      </c>
      <c r="AD121" s="25">
        <v>39934</v>
      </c>
      <c r="AH121" s="11" t="s">
        <v>44</v>
      </c>
    </row>
    <row r="122" spans="1:34" ht="12.75" customHeight="1">
      <c r="A122" s="1">
        <v>121</v>
      </c>
      <c r="B122" s="14">
        <v>39668</v>
      </c>
      <c r="C122" s="15">
        <v>39679</v>
      </c>
      <c r="E122" s="8" t="s">
        <v>462</v>
      </c>
      <c r="G122" s="11" t="s">
        <v>37</v>
      </c>
      <c r="H122" s="1">
        <v>38</v>
      </c>
      <c r="I122" s="11" t="s">
        <v>463</v>
      </c>
      <c r="J122" s="8" t="s">
        <v>464</v>
      </c>
      <c r="K122" s="8" t="s">
        <v>291</v>
      </c>
      <c r="L122" s="11" t="s">
        <v>24</v>
      </c>
      <c r="M122" s="15">
        <v>39679</v>
      </c>
      <c r="N122" s="1">
        <v>1</v>
      </c>
      <c r="O122" s="11" t="s">
        <v>25</v>
      </c>
      <c r="P122" s="11" t="s">
        <v>26</v>
      </c>
      <c r="Q122" s="11" t="s">
        <v>27</v>
      </c>
      <c r="R122" s="11" t="s">
        <v>28</v>
      </c>
      <c r="S122" s="15">
        <f t="shared" ca="1" si="2"/>
        <v>40470.53652858796</v>
      </c>
      <c r="T122" s="8">
        <f t="shared" ca="1" si="5"/>
        <v>26</v>
      </c>
      <c r="U122" s="25" t="s">
        <v>42</v>
      </c>
      <c r="V122" s="11" t="s">
        <v>28</v>
      </c>
      <c r="W122" s="11" t="s">
        <v>56</v>
      </c>
      <c r="X122" s="11" t="s">
        <v>56</v>
      </c>
      <c r="Y122" s="32" t="s">
        <v>42</v>
      </c>
      <c r="Z122" s="19">
        <v>24.82169</v>
      </c>
      <c r="AA122" s="19">
        <v>67.141390000000001</v>
      </c>
      <c r="AC122" s="12" t="s">
        <v>915</v>
      </c>
      <c r="AD122" s="25">
        <v>39959</v>
      </c>
      <c r="AH122" s="11" t="s">
        <v>61</v>
      </c>
    </row>
    <row r="123" spans="1:34" ht="12.75" customHeight="1">
      <c r="A123" s="1">
        <v>122</v>
      </c>
      <c r="B123" s="14">
        <v>39668</v>
      </c>
      <c r="C123" s="15">
        <v>39682</v>
      </c>
      <c r="E123" s="8" t="s">
        <v>465</v>
      </c>
      <c r="G123" s="11" t="s">
        <v>37</v>
      </c>
      <c r="H123" s="1">
        <v>23</v>
      </c>
      <c r="I123" s="11" t="s">
        <v>466</v>
      </c>
      <c r="J123" s="8" t="s">
        <v>467</v>
      </c>
      <c r="K123" s="8" t="s">
        <v>106</v>
      </c>
      <c r="L123" s="11" t="s">
        <v>24</v>
      </c>
      <c r="M123" s="15">
        <v>39682</v>
      </c>
      <c r="N123" s="1">
        <v>1</v>
      </c>
      <c r="O123" s="11" t="s">
        <v>25</v>
      </c>
      <c r="P123" s="11" t="s">
        <v>26</v>
      </c>
      <c r="Q123" s="11" t="s">
        <v>27</v>
      </c>
      <c r="R123" s="11" t="s">
        <v>28</v>
      </c>
      <c r="S123" s="15">
        <f t="shared" ca="1" si="2"/>
        <v>40470.53652858796</v>
      </c>
      <c r="T123" s="8">
        <f t="shared" ca="1" si="5"/>
        <v>26</v>
      </c>
      <c r="U123" s="11" t="s">
        <v>56</v>
      </c>
      <c r="V123" s="11" t="s">
        <v>42</v>
      </c>
      <c r="W123" s="11" t="s">
        <v>56</v>
      </c>
      <c r="X123" s="11" t="s">
        <v>56</v>
      </c>
      <c r="Y123" s="32" t="s">
        <v>42</v>
      </c>
      <c r="Z123" s="19">
        <v>24.81664</v>
      </c>
      <c r="AA123" s="19">
        <v>67.154489999999996</v>
      </c>
      <c r="AC123" s="12" t="s">
        <v>915</v>
      </c>
      <c r="AD123" s="25">
        <v>39904</v>
      </c>
      <c r="AH123" s="11" t="s">
        <v>61</v>
      </c>
    </row>
    <row r="124" spans="1:34">
      <c r="A124" s="1">
        <v>123</v>
      </c>
      <c r="B124" s="14">
        <v>39668</v>
      </c>
      <c r="C124" s="15">
        <v>39686</v>
      </c>
      <c r="E124" s="8" t="s">
        <v>468</v>
      </c>
      <c r="G124" s="11" t="s">
        <v>37</v>
      </c>
      <c r="H124" s="1">
        <v>12</v>
      </c>
      <c r="I124" s="11" t="s">
        <v>469</v>
      </c>
      <c r="J124" s="8" t="s">
        <v>470</v>
      </c>
      <c r="K124" s="8" t="s">
        <v>39</v>
      </c>
      <c r="L124" s="11" t="s">
        <v>24</v>
      </c>
      <c r="M124" s="15">
        <v>39686</v>
      </c>
      <c r="N124" s="1">
        <v>1</v>
      </c>
      <c r="O124" s="11" t="s">
        <v>40</v>
      </c>
      <c r="P124" s="11" t="s">
        <v>72</v>
      </c>
      <c r="Q124" s="11" t="s">
        <v>27</v>
      </c>
      <c r="R124" s="25" t="s">
        <v>2731</v>
      </c>
      <c r="S124" s="15">
        <f t="shared" ca="1" si="2"/>
        <v>40470.53652858796</v>
      </c>
      <c r="T124" s="8">
        <f t="shared" ca="1" si="5"/>
        <v>26</v>
      </c>
      <c r="U124" s="11" t="s">
        <v>42</v>
      </c>
      <c r="V124" s="11" t="s">
        <v>42</v>
      </c>
      <c r="W124" s="11" t="s">
        <v>42</v>
      </c>
      <c r="X124" s="11" t="s">
        <v>42</v>
      </c>
      <c r="Y124" s="32" t="s">
        <v>42</v>
      </c>
      <c r="Z124" s="19">
        <v>24.813369999999999</v>
      </c>
      <c r="AA124" s="19">
        <v>67.146289999999993</v>
      </c>
      <c r="AC124" s="12" t="s">
        <v>2511</v>
      </c>
      <c r="AD124" s="25">
        <v>40460</v>
      </c>
      <c r="AH124" s="11" t="s">
        <v>122</v>
      </c>
    </row>
    <row r="125" spans="1:34" s="37" customFormat="1">
      <c r="A125" s="1">
        <v>124</v>
      </c>
      <c r="B125" s="29">
        <v>39668</v>
      </c>
      <c r="C125" s="30">
        <v>39686</v>
      </c>
      <c r="D125" s="30"/>
      <c r="E125" s="31" t="s">
        <v>471</v>
      </c>
      <c r="F125" s="31"/>
      <c r="G125" s="32" t="s">
        <v>37</v>
      </c>
      <c r="H125" s="33">
        <v>18</v>
      </c>
      <c r="I125" s="34" t="s">
        <v>472</v>
      </c>
      <c r="J125" s="31" t="s">
        <v>473</v>
      </c>
      <c r="K125" s="31" t="s">
        <v>106</v>
      </c>
      <c r="L125" s="32" t="s">
        <v>24</v>
      </c>
      <c r="M125" s="30">
        <v>39686</v>
      </c>
      <c r="N125" s="33">
        <v>2</v>
      </c>
      <c r="O125" s="32" t="s">
        <v>40</v>
      </c>
      <c r="P125" s="32" t="s">
        <v>72</v>
      </c>
      <c r="Q125" s="32" t="s">
        <v>407</v>
      </c>
      <c r="R125" s="32" t="s">
        <v>42</v>
      </c>
      <c r="S125" s="30">
        <f t="shared" ca="1" si="2"/>
        <v>40470.53652858796</v>
      </c>
      <c r="T125" s="31">
        <f t="shared" ca="1" si="5"/>
        <v>26</v>
      </c>
      <c r="U125" s="32" t="s">
        <v>42</v>
      </c>
      <c r="V125" s="32" t="s">
        <v>42</v>
      </c>
      <c r="W125" s="32" t="s">
        <v>42</v>
      </c>
      <c r="X125" s="32" t="s">
        <v>42</v>
      </c>
      <c r="Y125" s="32" t="s">
        <v>42</v>
      </c>
      <c r="Z125" s="35">
        <v>24.860700000000001</v>
      </c>
      <c r="AA125" s="35">
        <v>67.201650000000001</v>
      </c>
      <c r="AB125" s="32"/>
      <c r="AC125" s="36" t="s">
        <v>2510</v>
      </c>
      <c r="AD125" s="32">
        <v>39934</v>
      </c>
      <c r="AE125" s="32"/>
      <c r="AF125" s="32"/>
      <c r="AG125" s="32"/>
      <c r="AH125" s="32" t="s">
        <v>44</v>
      </c>
    </row>
    <row r="126" spans="1:34" ht="12.75" customHeight="1">
      <c r="A126" s="1">
        <v>125</v>
      </c>
      <c r="B126" s="14">
        <v>39699</v>
      </c>
      <c r="C126" s="15">
        <v>39692</v>
      </c>
      <c r="E126" s="8" t="s">
        <v>474</v>
      </c>
      <c r="G126" s="11" t="s">
        <v>20</v>
      </c>
      <c r="H126" s="1">
        <v>51</v>
      </c>
      <c r="I126" s="11" t="s">
        <v>475</v>
      </c>
      <c r="J126" s="8" t="s">
        <v>476</v>
      </c>
      <c r="K126" s="8" t="s">
        <v>291</v>
      </c>
      <c r="L126" s="11" t="s">
        <v>24</v>
      </c>
      <c r="M126" s="15">
        <v>39692</v>
      </c>
      <c r="N126" s="1">
        <v>2</v>
      </c>
      <c r="O126" s="11" t="s">
        <v>25</v>
      </c>
      <c r="P126" s="11" t="s">
        <v>26</v>
      </c>
      <c r="Q126" s="11" t="s">
        <v>477</v>
      </c>
      <c r="R126" s="11" t="s">
        <v>28</v>
      </c>
      <c r="S126" s="15">
        <f t="shared" ca="1" si="2"/>
        <v>40470.53652858796</v>
      </c>
      <c r="T126" s="8">
        <f t="shared" ca="1" si="5"/>
        <v>25</v>
      </c>
      <c r="U126" s="11" t="s">
        <v>42</v>
      </c>
      <c r="V126" s="11" t="s">
        <v>56</v>
      </c>
      <c r="W126" s="11" t="s">
        <v>56</v>
      </c>
      <c r="X126" s="11" t="s">
        <v>56</v>
      </c>
      <c r="Y126" s="32" t="s">
        <v>42</v>
      </c>
      <c r="Z126" s="19">
        <v>24.855589999999999</v>
      </c>
      <c r="AA126" s="19">
        <v>67.193439999999995</v>
      </c>
      <c r="AC126" s="12" t="s">
        <v>915</v>
      </c>
      <c r="AD126" s="25">
        <v>39938</v>
      </c>
      <c r="AH126" s="11" t="s">
        <v>61</v>
      </c>
    </row>
    <row r="127" spans="1:34" ht="12" customHeight="1">
      <c r="A127" s="1">
        <v>126</v>
      </c>
      <c r="B127" s="14">
        <v>39699</v>
      </c>
      <c r="C127" s="15">
        <v>39693</v>
      </c>
      <c r="E127" s="8" t="s">
        <v>478</v>
      </c>
      <c r="G127" s="11" t="s">
        <v>37</v>
      </c>
      <c r="H127" s="1">
        <v>40</v>
      </c>
      <c r="I127" s="11" t="s">
        <v>479</v>
      </c>
      <c r="J127" s="8" t="s">
        <v>480</v>
      </c>
      <c r="K127" s="8" t="s">
        <v>71</v>
      </c>
      <c r="L127" s="11" t="s">
        <v>24</v>
      </c>
      <c r="M127" s="15">
        <v>39693</v>
      </c>
      <c r="N127" s="1">
        <v>1</v>
      </c>
      <c r="O127" s="11" t="s">
        <v>25</v>
      </c>
      <c r="P127" s="11" t="s">
        <v>26</v>
      </c>
      <c r="Q127" s="11" t="s">
        <v>27</v>
      </c>
      <c r="R127" s="25" t="s">
        <v>2731</v>
      </c>
      <c r="S127" s="15">
        <f t="shared" ca="1" si="2"/>
        <v>40470.53652858796</v>
      </c>
      <c r="T127" s="8">
        <f t="shared" ca="1" si="5"/>
        <v>25</v>
      </c>
      <c r="U127" s="25" t="s">
        <v>42</v>
      </c>
      <c r="V127" s="25" t="s">
        <v>56</v>
      </c>
      <c r="W127" s="11" t="s">
        <v>56</v>
      </c>
      <c r="X127" s="11" t="s">
        <v>56</v>
      </c>
      <c r="Y127" s="32" t="s">
        <v>42</v>
      </c>
      <c r="Z127" s="19">
        <v>24.842610000000001</v>
      </c>
      <c r="AA127" s="19">
        <v>67.171930000000003</v>
      </c>
      <c r="AC127" s="12" t="s">
        <v>915</v>
      </c>
      <c r="AD127" s="25">
        <v>39937</v>
      </c>
      <c r="AH127" s="11" t="s">
        <v>61</v>
      </c>
    </row>
    <row r="128" spans="1:34" ht="12.75" customHeight="1">
      <c r="A128" s="1">
        <v>127</v>
      </c>
      <c r="B128" s="14">
        <v>39699</v>
      </c>
      <c r="C128" s="15">
        <v>39693</v>
      </c>
      <c r="E128" s="8" t="s">
        <v>481</v>
      </c>
      <c r="G128" s="11" t="s">
        <v>20</v>
      </c>
      <c r="H128" s="1">
        <v>24</v>
      </c>
      <c r="I128" s="11" t="s">
        <v>482</v>
      </c>
      <c r="J128" s="8" t="s">
        <v>483</v>
      </c>
      <c r="K128" s="8" t="s">
        <v>223</v>
      </c>
      <c r="L128" s="11" t="s">
        <v>24</v>
      </c>
      <c r="M128" s="15">
        <v>39693</v>
      </c>
      <c r="N128" s="1">
        <v>1</v>
      </c>
      <c r="O128" s="11" t="s">
        <v>25</v>
      </c>
      <c r="P128" s="11" t="s">
        <v>26</v>
      </c>
      <c r="Q128" s="11" t="s">
        <v>27</v>
      </c>
      <c r="R128" s="11" t="s">
        <v>28</v>
      </c>
      <c r="S128" s="15">
        <f t="shared" ca="1" si="2"/>
        <v>40470.53652858796</v>
      </c>
      <c r="T128" s="8">
        <f ca="1">(YEAR(S128)-YEAR(M128))*12+MONTH(S128)-MONTH(M128)</f>
        <v>25</v>
      </c>
      <c r="U128" s="11" t="s">
        <v>224</v>
      </c>
      <c r="V128" s="11" t="s">
        <v>224</v>
      </c>
      <c r="W128" s="11" t="s">
        <v>224</v>
      </c>
      <c r="X128" s="11" t="s">
        <v>224</v>
      </c>
      <c r="Y128" s="32" t="s">
        <v>42</v>
      </c>
      <c r="AC128" s="12" t="s">
        <v>157</v>
      </c>
      <c r="AH128" s="11" t="s">
        <v>158</v>
      </c>
    </row>
    <row r="129" spans="1:34" ht="12.75" customHeight="1">
      <c r="A129" s="1">
        <v>128</v>
      </c>
      <c r="B129" s="14">
        <v>39699</v>
      </c>
      <c r="C129" s="15">
        <v>39693</v>
      </c>
      <c r="E129" s="8" t="s">
        <v>484</v>
      </c>
      <c r="G129" s="11" t="s">
        <v>20</v>
      </c>
      <c r="H129" s="1">
        <v>52</v>
      </c>
      <c r="I129" s="11" t="s">
        <v>485</v>
      </c>
      <c r="J129" s="8" t="s">
        <v>486</v>
      </c>
      <c r="K129" s="8" t="s">
        <v>48</v>
      </c>
      <c r="L129" s="11" t="s">
        <v>24</v>
      </c>
      <c r="M129" s="15">
        <v>39693</v>
      </c>
      <c r="N129" s="1">
        <v>1</v>
      </c>
      <c r="O129" s="11" t="s">
        <v>25</v>
      </c>
      <c r="P129" s="11" t="s">
        <v>26</v>
      </c>
      <c r="Q129" s="11" t="s">
        <v>27</v>
      </c>
      <c r="R129" s="11" t="s">
        <v>28</v>
      </c>
      <c r="S129" s="15">
        <f t="shared" ca="1" si="2"/>
        <v>40470.53652858796</v>
      </c>
      <c r="T129" s="8">
        <f t="shared" ref="T129:T141" ca="1" si="6">(YEAR(S128)-YEAR(M128))*12+MONTH(S128)-MONTH(M128)</f>
        <v>25</v>
      </c>
      <c r="U129" s="25" t="s">
        <v>2731</v>
      </c>
      <c r="V129" s="11" t="s">
        <v>56</v>
      </c>
      <c r="W129" s="11" t="s">
        <v>56</v>
      </c>
      <c r="X129" s="25" t="s">
        <v>2729</v>
      </c>
      <c r="Y129" s="32" t="s">
        <v>42</v>
      </c>
      <c r="Z129" s="19">
        <v>24.823139999999999</v>
      </c>
      <c r="AA129" s="19">
        <v>67.173509999999993</v>
      </c>
      <c r="AC129" s="12" t="s">
        <v>2510</v>
      </c>
      <c r="AD129" s="25">
        <v>39958</v>
      </c>
      <c r="AH129" s="11" t="s">
        <v>44</v>
      </c>
    </row>
    <row r="130" spans="1:34" ht="12.75" customHeight="1">
      <c r="A130" s="1">
        <v>129</v>
      </c>
      <c r="B130" s="14">
        <v>39699</v>
      </c>
      <c r="C130" s="15">
        <v>39695</v>
      </c>
      <c r="E130" s="8" t="s">
        <v>487</v>
      </c>
      <c r="G130" s="11" t="s">
        <v>37</v>
      </c>
      <c r="H130" s="1">
        <v>18</v>
      </c>
      <c r="I130" s="11" t="s">
        <v>488</v>
      </c>
      <c r="J130" s="8" t="s">
        <v>489</v>
      </c>
      <c r="K130" s="8" t="s">
        <v>223</v>
      </c>
      <c r="L130" s="11" t="s">
        <v>24</v>
      </c>
      <c r="M130" s="15">
        <v>39695</v>
      </c>
      <c r="N130" s="1">
        <v>2</v>
      </c>
      <c r="O130" s="11" t="s">
        <v>25</v>
      </c>
      <c r="P130" s="11" t="s">
        <v>26</v>
      </c>
      <c r="Q130" s="11" t="s">
        <v>477</v>
      </c>
      <c r="R130" s="25" t="s">
        <v>2731</v>
      </c>
      <c r="S130" s="15">
        <f t="shared" ref="S130:S193" ca="1" si="7">NOW()</f>
        <v>40470.53652858796</v>
      </c>
      <c r="T130" s="8">
        <f t="shared" ca="1" si="6"/>
        <v>25</v>
      </c>
      <c r="U130" s="11" t="s">
        <v>42</v>
      </c>
      <c r="V130" s="11" t="s">
        <v>56</v>
      </c>
      <c r="W130" s="25" t="s">
        <v>56</v>
      </c>
      <c r="X130" s="25" t="s">
        <v>56</v>
      </c>
      <c r="Y130" s="32" t="s">
        <v>42</v>
      </c>
      <c r="Z130" s="19">
        <v>24.82836</v>
      </c>
      <c r="AA130" s="19">
        <v>67.130290000000002</v>
      </c>
      <c r="AC130" s="12" t="s">
        <v>66</v>
      </c>
      <c r="AD130" s="25">
        <v>40073</v>
      </c>
      <c r="AH130" s="11" t="s">
        <v>67</v>
      </c>
    </row>
    <row r="131" spans="1:34" ht="12.75" customHeight="1">
      <c r="A131" s="1">
        <v>130</v>
      </c>
      <c r="B131" s="14">
        <v>39699</v>
      </c>
      <c r="C131" s="15">
        <v>39696</v>
      </c>
      <c r="E131" s="8" t="s">
        <v>490</v>
      </c>
      <c r="G131" s="11" t="s">
        <v>37</v>
      </c>
      <c r="H131" s="1">
        <v>36</v>
      </c>
      <c r="I131" s="11" t="s">
        <v>491</v>
      </c>
      <c r="J131" s="8" t="s">
        <v>492</v>
      </c>
      <c r="K131" s="8" t="s">
        <v>206</v>
      </c>
      <c r="L131" s="11" t="s">
        <v>24</v>
      </c>
      <c r="M131" s="15">
        <v>39696</v>
      </c>
      <c r="N131" s="1">
        <v>1</v>
      </c>
      <c r="O131" s="11" t="s">
        <v>40</v>
      </c>
      <c r="P131" s="11" t="s">
        <v>109</v>
      </c>
      <c r="Q131" s="11" t="s">
        <v>27</v>
      </c>
      <c r="R131" s="25" t="s">
        <v>42</v>
      </c>
      <c r="S131" s="15">
        <f t="shared" ca="1" si="7"/>
        <v>40470.53652858796</v>
      </c>
      <c r="T131" s="8">
        <f t="shared" ca="1" si="6"/>
        <v>25</v>
      </c>
      <c r="U131" s="25" t="s">
        <v>42</v>
      </c>
      <c r="V131" s="11" t="s">
        <v>42</v>
      </c>
      <c r="W131" s="25" t="s">
        <v>42</v>
      </c>
      <c r="X131" s="11" t="s">
        <v>42</v>
      </c>
      <c r="Y131" s="32" t="s">
        <v>42</v>
      </c>
      <c r="Z131" s="19">
        <v>24.840109999999999</v>
      </c>
      <c r="AA131" s="19">
        <v>67.186940000000007</v>
      </c>
      <c r="AC131" s="12" t="s">
        <v>2519</v>
      </c>
      <c r="AD131" s="25">
        <v>39753</v>
      </c>
      <c r="AH131" s="11" t="s">
        <v>158</v>
      </c>
    </row>
    <row r="132" spans="1:34" ht="12.75" customHeight="1">
      <c r="A132" s="1">
        <v>131</v>
      </c>
      <c r="B132" s="14">
        <v>39699</v>
      </c>
      <c r="C132" s="15">
        <v>39700</v>
      </c>
      <c r="E132" s="8" t="s">
        <v>493</v>
      </c>
      <c r="G132" s="11" t="s">
        <v>37</v>
      </c>
      <c r="H132" s="1">
        <v>17</v>
      </c>
      <c r="I132" s="11" t="s">
        <v>494</v>
      </c>
      <c r="J132" s="8" t="s">
        <v>495</v>
      </c>
      <c r="K132" s="8" t="s">
        <v>39</v>
      </c>
      <c r="L132" s="11" t="s">
        <v>24</v>
      </c>
      <c r="M132" s="15">
        <v>39700</v>
      </c>
      <c r="N132" s="1">
        <v>1</v>
      </c>
      <c r="O132" s="11" t="s">
        <v>25</v>
      </c>
      <c r="P132" s="11" t="s">
        <v>26</v>
      </c>
      <c r="Q132" s="11" t="s">
        <v>27</v>
      </c>
      <c r="R132" s="11" t="s">
        <v>28</v>
      </c>
      <c r="S132" s="15">
        <f t="shared" ca="1" si="7"/>
        <v>40470.53652858796</v>
      </c>
      <c r="T132" s="8">
        <f t="shared" ca="1" si="6"/>
        <v>25</v>
      </c>
      <c r="U132" s="11" t="s">
        <v>56</v>
      </c>
      <c r="V132" s="11" t="s">
        <v>42</v>
      </c>
      <c r="W132" s="11" t="s">
        <v>56</v>
      </c>
      <c r="X132" s="11" t="s">
        <v>56</v>
      </c>
      <c r="Y132" s="32" t="s">
        <v>42</v>
      </c>
      <c r="Z132" s="19">
        <v>24.83295</v>
      </c>
      <c r="AA132" s="19">
        <v>67.147999999999996</v>
      </c>
      <c r="AC132" s="12" t="s">
        <v>915</v>
      </c>
      <c r="AD132" s="25">
        <v>39952</v>
      </c>
      <c r="AH132" s="11" t="s">
        <v>61</v>
      </c>
    </row>
    <row r="133" spans="1:34">
      <c r="A133" s="1">
        <v>132</v>
      </c>
      <c r="B133" s="14">
        <v>39699</v>
      </c>
      <c r="C133" s="15">
        <v>39702</v>
      </c>
      <c r="E133" s="8" t="s">
        <v>496</v>
      </c>
      <c r="G133" s="11" t="s">
        <v>37</v>
      </c>
      <c r="H133" s="1">
        <v>30</v>
      </c>
      <c r="I133" s="11" t="s">
        <v>497</v>
      </c>
      <c r="J133" s="8" t="s">
        <v>498</v>
      </c>
      <c r="K133" s="8" t="s">
        <v>291</v>
      </c>
      <c r="L133" s="11" t="s">
        <v>24</v>
      </c>
      <c r="M133" s="15">
        <v>39702</v>
      </c>
      <c r="N133" s="1">
        <v>1</v>
      </c>
      <c r="O133" s="11" t="s">
        <v>40</v>
      </c>
      <c r="P133" s="11" t="s">
        <v>213</v>
      </c>
      <c r="Q133" s="11" t="s">
        <v>27</v>
      </c>
      <c r="R133" s="11" t="s">
        <v>42</v>
      </c>
      <c r="S133" s="15">
        <f t="shared" ca="1" si="7"/>
        <v>40470.53652858796</v>
      </c>
      <c r="T133" s="8">
        <f t="shared" ca="1" si="6"/>
        <v>25</v>
      </c>
      <c r="U133" s="11" t="s">
        <v>42</v>
      </c>
      <c r="V133" s="11" t="s">
        <v>42</v>
      </c>
      <c r="W133" s="11" t="s">
        <v>42</v>
      </c>
      <c r="X133" s="11" t="s">
        <v>42</v>
      </c>
      <c r="Y133" s="32" t="s">
        <v>42</v>
      </c>
      <c r="Z133" s="19">
        <v>24.830960000000001</v>
      </c>
      <c r="AA133" s="19">
        <v>67.123829999999998</v>
      </c>
      <c r="AC133" s="12" t="s">
        <v>2510</v>
      </c>
      <c r="AD133" s="25">
        <v>39948</v>
      </c>
      <c r="AH133" s="11" t="s">
        <v>44</v>
      </c>
    </row>
    <row r="134" spans="1:34">
      <c r="A134" s="1">
        <v>133</v>
      </c>
      <c r="B134" s="14">
        <v>39699</v>
      </c>
      <c r="C134" s="15">
        <v>39707</v>
      </c>
      <c r="E134" s="8" t="s">
        <v>499</v>
      </c>
      <c r="G134" s="11" t="s">
        <v>37</v>
      </c>
      <c r="H134" s="1">
        <v>30</v>
      </c>
      <c r="I134" s="11" t="s">
        <v>529</v>
      </c>
      <c r="J134" s="8" t="s">
        <v>530</v>
      </c>
      <c r="K134" s="8" t="s">
        <v>206</v>
      </c>
      <c r="L134" s="11" t="s">
        <v>24</v>
      </c>
      <c r="M134" s="15">
        <v>39707</v>
      </c>
      <c r="N134" s="1">
        <v>1</v>
      </c>
      <c r="O134" s="11" t="s">
        <v>40</v>
      </c>
      <c r="P134" s="11" t="s">
        <v>72</v>
      </c>
      <c r="Q134" s="11" t="s">
        <v>27</v>
      </c>
      <c r="R134" s="25" t="s">
        <v>56</v>
      </c>
      <c r="S134" s="15">
        <f t="shared" ca="1" si="7"/>
        <v>40470.53652858796</v>
      </c>
      <c r="T134" s="8">
        <f t="shared" ca="1" si="6"/>
        <v>25</v>
      </c>
      <c r="U134" s="11" t="s">
        <v>42</v>
      </c>
      <c r="V134" s="11" t="s">
        <v>42</v>
      </c>
      <c r="W134" s="11" t="s">
        <v>42</v>
      </c>
      <c r="X134" s="11" t="s">
        <v>42</v>
      </c>
      <c r="Y134" s="32" t="s">
        <v>42</v>
      </c>
      <c r="Z134" s="19">
        <v>24.826350000000001</v>
      </c>
      <c r="AA134" s="19">
        <v>67.148480000000006</v>
      </c>
      <c r="AC134" s="12" t="s">
        <v>44</v>
      </c>
      <c r="AD134" s="25">
        <v>39973</v>
      </c>
      <c r="AH134" s="11" t="s">
        <v>44</v>
      </c>
    </row>
    <row r="135" spans="1:34">
      <c r="A135" s="1">
        <v>134</v>
      </c>
      <c r="B135" s="14">
        <v>39700</v>
      </c>
      <c r="C135" s="15">
        <v>39708</v>
      </c>
      <c r="E135" s="8" t="s">
        <v>531</v>
      </c>
      <c r="G135" s="11" t="s">
        <v>20</v>
      </c>
      <c r="H135" s="1">
        <v>30</v>
      </c>
      <c r="I135" s="11" t="s">
        <v>532</v>
      </c>
      <c r="J135" s="8" t="s">
        <v>533</v>
      </c>
      <c r="K135" s="8" t="s">
        <v>291</v>
      </c>
      <c r="L135" s="11" t="s">
        <v>24</v>
      </c>
      <c r="M135" s="15">
        <v>39708</v>
      </c>
      <c r="N135" s="1">
        <v>1</v>
      </c>
      <c r="O135" s="11" t="s">
        <v>40</v>
      </c>
      <c r="P135" s="11" t="s">
        <v>109</v>
      </c>
      <c r="Q135" s="11" t="s">
        <v>27</v>
      </c>
      <c r="R135" s="11" t="s">
        <v>42</v>
      </c>
      <c r="S135" s="15">
        <f t="shared" ca="1" si="7"/>
        <v>40470.53652858796</v>
      </c>
      <c r="T135" s="8">
        <f t="shared" ca="1" si="6"/>
        <v>25</v>
      </c>
      <c r="U135" s="11" t="s">
        <v>42</v>
      </c>
      <c r="V135" s="11" t="s">
        <v>42</v>
      </c>
      <c r="W135" s="11" t="s">
        <v>42</v>
      </c>
      <c r="X135" s="11" t="s">
        <v>42</v>
      </c>
      <c r="Y135" s="32" t="s">
        <v>42</v>
      </c>
      <c r="Z135" s="19">
        <v>24.808700000000002</v>
      </c>
      <c r="AA135" s="19">
        <v>67.148390000000006</v>
      </c>
      <c r="AC135" s="12" t="s">
        <v>2510</v>
      </c>
      <c r="AD135" s="25">
        <v>39950</v>
      </c>
      <c r="AH135" s="11" t="s">
        <v>44</v>
      </c>
    </row>
    <row r="136" spans="1:34" ht="12.75" customHeight="1">
      <c r="A136" s="1">
        <v>135</v>
      </c>
      <c r="B136" s="14">
        <v>39701</v>
      </c>
      <c r="C136" s="15">
        <v>39708</v>
      </c>
      <c r="E136" s="8" t="s">
        <v>534</v>
      </c>
      <c r="G136" s="11" t="s">
        <v>37</v>
      </c>
      <c r="H136" s="1">
        <v>14</v>
      </c>
      <c r="I136" s="11" t="s">
        <v>535</v>
      </c>
      <c r="J136" s="8" t="s">
        <v>536</v>
      </c>
      <c r="K136" s="8" t="s">
        <v>223</v>
      </c>
      <c r="L136" s="11" t="s">
        <v>24</v>
      </c>
      <c r="M136" s="15">
        <v>39708</v>
      </c>
      <c r="N136" s="1">
        <v>1</v>
      </c>
      <c r="O136" s="11" t="s">
        <v>25</v>
      </c>
      <c r="P136" s="11" t="s">
        <v>26</v>
      </c>
      <c r="Q136" s="11" t="s">
        <v>27</v>
      </c>
      <c r="R136" s="11" t="s">
        <v>65</v>
      </c>
      <c r="S136" s="15">
        <f t="shared" ca="1" si="7"/>
        <v>40470.53652858796</v>
      </c>
      <c r="T136" s="8">
        <f t="shared" ca="1" si="6"/>
        <v>25</v>
      </c>
      <c r="U136" s="25" t="s">
        <v>2731</v>
      </c>
      <c r="V136" s="11" t="s">
        <v>56</v>
      </c>
      <c r="W136" s="11" t="s">
        <v>42</v>
      </c>
      <c r="X136" s="11" t="s">
        <v>56</v>
      </c>
      <c r="Y136" s="32" t="s">
        <v>42</v>
      </c>
      <c r="Z136" s="19">
        <v>24.826090000000001</v>
      </c>
      <c r="AA136" s="19">
        <v>67.208669999999998</v>
      </c>
      <c r="AC136" s="12" t="s">
        <v>915</v>
      </c>
      <c r="AD136" s="25">
        <v>39953</v>
      </c>
      <c r="AH136" s="11" t="s">
        <v>61</v>
      </c>
    </row>
    <row r="137" spans="1:34">
      <c r="A137" s="1">
        <v>136</v>
      </c>
      <c r="B137" s="14">
        <v>39702</v>
      </c>
      <c r="C137" s="15">
        <v>39713</v>
      </c>
      <c r="E137" s="8" t="s">
        <v>537</v>
      </c>
      <c r="G137" s="11" t="s">
        <v>37</v>
      </c>
      <c r="H137" s="1">
        <v>20</v>
      </c>
      <c r="I137" s="11" t="s">
        <v>538</v>
      </c>
      <c r="J137" s="8" t="s">
        <v>539</v>
      </c>
      <c r="K137" s="8" t="s">
        <v>39</v>
      </c>
      <c r="L137" s="11" t="s">
        <v>24</v>
      </c>
      <c r="M137" s="15">
        <v>39713</v>
      </c>
      <c r="N137" s="1">
        <v>1</v>
      </c>
      <c r="O137" s="11" t="s">
        <v>40</v>
      </c>
      <c r="P137" s="11" t="s">
        <v>315</v>
      </c>
      <c r="Q137" s="11" t="s">
        <v>27</v>
      </c>
      <c r="R137" s="25" t="s">
        <v>56</v>
      </c>
      <c r="S137" s="15">
        <f t="shared" ca="1" si="7"/>
        <v>40470.53652858796</v>
      </c>
      <c r="T137" s="8">
        <f t="shared" ca="1" si="6"/>
        <v>25</v>
      </c>
      <c r="U137" s="11" t="s">
        <v>42</v>
      </c>
      <c r="V137" s="11" t="s">
        <v>42</v>
      </c>
      <c r="W137" s="11" t="s">
        <v>42</v>
      </c>
      <c r="X137" s="11" t="s">
        <v>42</v>
      </c>
      <c r="Y137" s="32" t="s">
        <v>42</v>
      </c>
      <c r="Z137" s="19">
        <v>24.828489999999999</v>
      </c>
      <c r="AA137" s="19">
        <v>67.170730000000006</v>
      </c>
      <c r="AC137" s="12" t="s">
        <v>2510</v>
      </c>
      <c r="AD137" s="25">
        <v>39965</v>
      </c>
      <c r="AH137" s="11" t="s">
        <v>44</v>
      </c>
    </row>
    <row r="138" spans="1:34" ht="12.75" customHeight="1">
      <c r="A138" s="1">
        <v>137</v>
      </c>
      <c r="B138" s="14">
        <v>39703</v>
      </c>
      <c r="C138" s="15">
        <v>39713</v>
      </c>
      <c r="E138" s="8" t="s">
        <v>540</v>
      </c>
      <c r="G138" s="11" t="s">
        <v>37</v>
      </c>
      <c r="H138" s="1">
        <v>16</v>
      </c>
      <c r="I138" s="11" t="s">
        <v>541</v>
      </c>
      <c r="J138" s="8" t="s">
        <v>542</v>
      </c>
      <c r="K138" s="8" t="s">
        <v>223</v>
      </c>
      <c r="L138" s="11" t="s">
        <v>24</v>
      </c>
      <c r="M138" s="15">
        <v>39713</v>
      </c>
      <c r="N138" s="1">
        <v>1</v>
      </c>
      <c r="O138" s="11" t="s">
        <v>25</v>
      </c>
      <c r="P138" s="11" t="s">
        <v>26</v>
      </c>
      <c r="Q138" s="11" t="s">
        <v>27</v>
      </c>
      <c r="R138" s="11" t="s">
        <v>60</v>
      </c>
      <c r="S138" s="15">
        <f t="shared" ca="1" si="7"/>
        <v>40470.53652858796</v>
      </c>
      <c r="T138" s="8">
        <f t="shared" ca="1" si="6"/>
        <v>25</v>
      </c>
      <c r="U138" s="11" t="s">
        <v>56</v>
      </c>
      <c r="V138" s="11" t="s">
        <v>42</v>
      </c>
      <c r="W138" s="11" t="s">
        <v>56</v>
      </c>
      <c r="X138" s="11" t="s">
        <v>56</v>
      </c>
      <c r="Y138" s="32" t="s">
        <v>42</v>
      </c>
      <c r="Z138" s="19">
        <v>24.818090000000002</v>
      </c>
      <c r="AA138" s="19">
        <v>67.120840000000001</v>
      </c>
      <c r="AC138" s="12" t="s">
        <v>915</v>
      </c>
      <c r="AD138" s="25">
        <v>39955</v>
      </c>
      <c r="AH138" s="11" t="s">
        <v>61</v>
      </c>
    </row>
    <row r="139" spans="1:34" ht="12.75" customHeight="1">
      <c r="A139" s="1">
        <v>138</v>
      </c>
      <c r="B139" s="14">
        <v>39704</v>
      </c>
      <c r="C139" s="15">
        <v>39714</v>
      </c>
      <c r="E139" s="8" t="s">
        <v>543</v>
      </c>
      <c r="G139" s="11" t="s">
        <v>37</v>
      </c>
      <c r="H139" s="1">
        <v>18</v>
      </c>
      <c r="I139" s="11" t="s">
        <v>544</v>
      </c>
      <c r="J139" s="8" t="s">
        <v>545</v>
      </c>
      <c r="K139" s="8" t="s">
        <v>48</v>
      </c>
      <c r="L139" s="11" t="s">
        <v>24</v>
      </c>
      <c r="M139" s="15">
        <v>39714</v>
      </c>
      <c r="N139" s="1">
        <v>1</v>
      </c>
      <c r="O139" s="11" t="s">
        <v>25</v>
      </c>
      <c r="P139" s="11" t="s">
        <v>26</v>
      </c>
      <c r="Q139" s="11" t="s">
        <v>27</v>
      </c>
      <c r="R139" s="11" t="s">
        <v>60</v>
      </c>
      <c r="S139" s="15">
        <f t="shared" ca="1" si="7"/>
        <v>40470.53652858796</v>
      </c>
      <c r="T139" s="8">
        <f t="shared" ca="1" si="6"/>
        <v>25</v>
      </c>
      <c r="U139" s="11" t="s">
        <v>56</v>
      </c>
      <c r="V139" s="11" t="s">
        <v>42</v>
      </c>
      <c r="W139" s="11" t="s">
        <v>56</v>
      </c>
      <c r="X139" s="11" t="s">
        <v>56</v>
      </c>
      <c r="Y139" s="32" t="s">
        <v>42</v>
      </c>
      <c r="Z139" s="19">
        <v>24.815169999999998</v>
      </c>
      <c r="AA139" s="19">
        <v>67.103570000000005</v>
      </c>
      <c r="AC139" s="12" t="s">
        <v>915</v>
      </c>
      <c r="AD139" s="25">
        <v>39963</v>
      </c>
      <c r="AH139" s="11" t="s">
        <v>61</v>
      </c>
    </row>
    <row r="140" spans="1:34" s="37" customFormat="1" ht="12.75" customHeight="1">
      <c r="A140" s="1">
        <v>139</v>
      </c>
      <c r="B140" s="29">
        <v>39704</v>
      </c>
      <c r="C140" s="30">
        <v>39715</v>
      </c>
      <c r="D140" s="30"/>
      <c r="E140" s="31" t="s">
        <v>546</v>
      </c>
      <c r="F140" s="31"/>
      <c r="G140" s="32" t="s">
        <v>37</v>
      </c>
      <c r="H140" s="33">
        <v>10</v>
      </c>
      <c r="I140" s="34" t="s">
        <v>547</v>
      </c>
      <c r="J140" s="31" t="s">
        <v>105</v>
      </c>
      <c r="K140" s="31" t="s">
        <v>106</v>
      </c>
      <c r="L140" s="32" t="s">
        <v>24</v>
      </c>
      <c r="M140" s="30">
        <v>39715</v>
      </c>
      <c r="N140" s="33">
        <v>1</v>
      </c>
      <c r="O140" s="32" t="s">
        <v>25</v>
      </c>
      <c r="P140" s="32" t="s">
        <v>26</v>
      </c>
      <c r="Q140" s="32" t="s">
        <v>27</v>
      </c>
      <c r="R140" s="32" t="s">
        <v>56</v>
      </c>
      <c r="S140" s="30">
        <f t="shared" ca="1" si="7"/>
        <v>40470.53652858796</v>
      </c>
      <c r="T140" s="31">
        <f t="shared" ca="1" si="6"/>
        <v>25</v>
      </c>
      <c r="U140" s="32" t="s">
        <v>56</v>
      </c>
      <c r="V140" s="32" t="s">
        <v>42</v>
      </c>
      <c r="W140" s="32" t="s">
        <v>42</v>
      </c>
      <c r="X140" s="32" t="s">
        <v>29</v>
      </c>
      <c r="Y140" s="32" t="s">
        <v>42</v>
      </c>
      <c r="Z140" s="35">
        <v>24.82621</v>
      </c>
      <c r="AA140" s="35">
        <v>67.07929</v>
      </c>
      <c r="AB140" s="32"/>
      <c r="AC140" s="36" t="s">
        <v>2510</v>
      </c>
      <c r="AD140" s="32">
        <v>39960</v>
      </c>
      <c r="AE140" s="32"/>
      <c r="AF140" s="32"/>
      <c r="AG140" s="32"/>
      <c r="AH140" s="32" t="s">
        <v>44</v>
      </c>
    </row>
    <row r="141" spans="1:34" ht="12.75" customHeight="1">
      <c r="A141" s="1">
        <v>140</v>
      </c>
      <c r="B141" s="14">
        <v>39699</v>
      </c>
      <c r="C141" s="15">
        <v>39720</v>
      </c>
      <c r="E141" s="8" t="s">
        <v>548</v>
      </c>
      <c r="G141" s="11" t="s">
        <v>37</v>
      </c>
      <c r="H141" s="1">
        <v>40</v>
      </c>
      <c r="I141" s="11" t="s">
        <v>549</v>
      </c>
      <c r="J141" s="8" t="s">
        <v>550</v>
      </c>
      <c r="K141" s="8" t="s">
        <v>48</v>
      </c>
      <c r="L141" s="11" t="s">
        <v>24</v>
      </c>
      <c r="M141" s="15">
        <v>39720</v>
      </c>
      <c r="N141" s="1">
        <v>1</v>
      </c>
      <c r="O141" s="11" t="s">
        <v>25</v>
      </c>
      <c r="P141" s="11" t="s">
        <v>26</v>
      </c>
      <c r="Q141" s="11" t="s">
        <v>27</v>
      </c>
      <c r="R141" s="11" t="s">
        <v>65</v>
      </c>
      <c r="S141" s="15">
        <f t="shared" ca="1" si="7"/>
        <v>40470.53652858796</v>
      </c>
      <c r="T141" s="8">
        <f t="shared" ca="1" si="6"/>
        <v>25</v>
      </c>
      <c r="U141" s="25" t="s">
        <v>2731</v>
      </c>
      <c r="V141" s="25" t="s">
        <v>56</v>
      </c>
      <c r="W141" s="11" t="s">
        <v>56</v>
      </c>
      <c r="X141" s="11" t="s">
        <v>56</v>
      </c>
      <c r="Y141" s="32" t="s">
        <v>42</v>
      </c>
      <c r="AC141" s="12" t="s">
        <v>915</v>
      </c>
      <c r="AD141" s="25">
        <v>39962</v>
      </c>
      <c r="AH141" s="11" t="s">
        <v>61</v>
      </c>
    </row>
    <row r="142" spans="1:34" ht="12.75" customHeight="1">
      <c r="A142" s="1">
        <v>141</v>
      </c>
      <c r="B142" s="14">
        <v>39729</v>
      </c>
      <c r="C142" s="15">
        <v>39728</v>
      </c>
      <c r="E142" s="8" t="s">
        <v>551</v>
      </c>
      <c r="G142" s="11" t="s">
        <v>20</v>
      </c>
      <c r="H142" s="1">
        <v>74</v>
      </c>
      <c r="I142" s="11" t="s">
        <v>552</v>
      </c>
      <c r="J142" s="8" t="s">
        <v>553</v>
      </c>
      <c r="K142" s="8" t="s">
        <v>23</v>
      </c>
      <c r="L142" s="11" t="s">
        <v>24</v>
      </c>
      <c r="M142" s="15">
        <v>39728</v>
      </c>
      <c r="N142" s="1">
        <v>1</v>
      </c>
      <c r="O142" s="11" t="s">
        <v>25</v>
      </c>
      <c r="P142" s="11" t="s">
        <v>26</v>
      </c>
      <c r="Q142" s="11" t="s">
        <v>27</v>
      </c>
      <c r="R142" s="11" t="s">
        <v>28</v>
      </c>
      <c r="S142" s="15">
        <f t="shared" ca="1" si="7"/>
        <v>40470.53652858796</v>
      </c>
      <c r="T142" s="8">
        <f t="shared" ref="T142:T205" ca="1" si="8">(YEAR(S142)-YEAR(M142))*12+MONTH(S142)-MONTH(M142)</f>
        <v>24</v>
      </c>
      <c r="U142" s="11" t="s">
        <v>224</v>
      </c>
      <c r="V142" s="11" t="s">
        <v>42</v>
      </c>
      <c r="W142" s="11" t="s">
        <v>224</v>
      </c>
      <c r="X142" s="11" t="s">
        <v>224</v>
      </c>
      <c r="Y142" s="32" t="s">
        <v>42</v>
      </c>
      <c r="Z142" s="19">
        <v>24.82863</v>
      </c>
      <c r="AA142" s="19">
        <v>67.135260000000002</v>
      </c>
      <c r="AC142" s="12" t="s">
        <v>2520</v>
      </c>
      <c r="AD142" s="25">
        <v>39814</v>
      </c>
      <c r="AH142" s="11" t="s">
        <v>158</v>
      </c>
    </row>
    <row r="143" spans="1:34" ht="12.75" customHeight="1">
      <c r="A143" s="1">
        <v>142</v>
      </c>
      <c r="B143" s="14">
        <v>39730</v>
      </c>
      <c r="C143" s="15">
        <v>39734</v>
      </c>
      <c r="E143" s="8" t="s">
        <v>554</v>
      </c>
      <c r="G143" s="11" t="s">
        <v>20</v>
      </c>
      <c r="H143" s="1">
        <v>25</v>
      </c>
      <c r="I143" s="11" t="s">
        <v>555</v>
      </c>
      <c r="J143" s="8" t="s">
        <v>556</v>
      </c>
      <c r="K143" s="8" t="s">
        <v>291</v>
      </c>
      <c r="L143" s="11" t="s">
        <v>24</v>
      </c>
      <c r="M143" s="15">
        <v>39734</v>
      </c>
      <c r="N143" s="1">
        <v>2</v>
      </c>
      <c r="O143" s="11" t="s">
        <v>25</v>
      </c>
      <c r="P143" s="11" t="s">
        <v>26</v>
      </c>
      <c r="Q143" s="11" t="s">
        <v>49</v>
      </c>
      <c r="R143" s="11" t="s">
        <v>28</v>
      </c>
      <c r="S143" s="15">
        <f t="shared" ca="1" si="7"/>
        <v>40470.53652858796</v>
      </c>
      <c r="T143" s="8">
        <f t="shared" ca="1" si="8"/>
        <v>24</v>
      </c>
      <c r="U143" s="11" t="s">
        <v>42</v>
      </c>
      <c r="V143" s="11" t="s">
        <v>56</v>
      </c>
      <c r="W143" s="11" t="s">
        <v>56</v>
      </c>
      <c r="X143" s="11" t="s">
        <v>56</v>
      </c>
      <c r="Y143" s="32" t="s">
        <v>42</v>
      </c>
      <c r="AC143" s="12" t="s">
        <v>915</v>
      </c>
      <c r="AD143" s="25">
        <v>39965</v>
      </c>
      <c r="AH143" s="11" t="s">
        <v>61</v>
      </c>
    </row>
    <row r="144" spans="1:34" ht="12.75" customHeight="1">
      <c r="A144" s="1">
        <v>143</v>
      </c>
      <c r="B144" s="14">
        <v>39731</v>
      </c>
      <c r="C144" s="15">
        <v>39736</v>
      </c>
      <c r="E144" s="8" t="s">
        <v>557</v>
      </c>
      <c r="G144" s="11" t="s">
        <v>20</v>
      </c>
      <c r="H144" s="1">
        <v>48</v>
      </c>
      <c r="I144" s="11" t="s">
        <v>558</v>
      </c>
      <c r="K144" s="8" t="s">
        <v>253</v>
      </c>
      <c r="L144" s="11" t="s">
        <v>24</v>
      </c>
      <c r="M144" s="15">
        <v>39736</v>
      </c>
      <c r="N144" s="1">
        <v>1</v>
      </c>
      <c r="O144" s="11" t="s">
        <v>25</v>
      </c>
      <c r="P144" s="11" t="s">
        <v>26</v>
      </c>
      <c r="Q144" s="11" t="s">
        <v>27</v>
      </c>
      <c r="R144" s="11" t="s">
        <v>60</v>
      </c>
      <c r="S144" s="15">
        <f t="shared" ca="1" si="7"/>
        <v>40470.53652858796</v>
      </c>
      <c r="T144" s="8">
        <f t="shared" ca="1" si="8"/>
        <v>24</v>
      </c>
      <c r="U144" s="11" t="s">
        <v>56</v>
      </c>
      <c r="V144" s="11" t="s">
        <v>42</v>
      </c>
      <c r="W144" s="11" t="s">
        <v>56</v>
      </c>
      <c r="X144" s="11" t="s">
        <v>56</v>
      </c>
      <c r="Y144" s="32" t="s">
        <v>42</v>
      </c>
      <c r="Z144" s="19">
        <v>24.83794</v>
      </c>
      <c r="AA144" s="19">
        <v>67.138159999999999</v>
      </c>
      <c r="AC144" s="12" t="s">
        <v>915</v>
      </c>
      <c r="AD144" s="25">
        <v>39974</v>
      </c>
      <c r="AH144" s="11" t="s">
        <v>61</v>
      </c>
    </row>
    <row r="145" spans="1:34" ht="12.75" customHeight="1">
      <c r="A145" s="1">
        <v>144</v>
      </c>
      <c r="B145" s="14">
        <v>39732</v>
      </c>
      <c r="C145" s="15">
        <v>39736</v>
      </c>
      <c r="E145" s="8" t="s">
        <v>559</v>
      </c>
      <c r="G145" s="11" t="s">
        <v>37</v>
      </c>
      <c r="H145" s="1">
        <v>30</v>
      </c>
      <c r="I145" s="11" t="s">
        <v>560</v>
      </c>
      <c r="J145" s="8" t="s">
        <v>561</v>
      </c>
      <c r="K145" s="8" t="s">
        <v>206</v>
      </c>
      <c r="L145" s="11" t="s">
        <v>24</v>
      </c>
      <c r="M145" s="15">
        <v>39736</v>
      </c>
      <c r="N145" s="1">
        <v>1</v>
      </c>
      <c r="O145" s="11" t="s">
        <v>25</v>
      </c>
      <c r="P145" s="11" t="s">
        <v>26</v>
      </c>
      <c r="Q145" s="11" t="s">
        <v>27</v>
      </c>
      <c r="R145" s="11" t="s">
        <v>65</v>
      </c>
      <c r="S145" s="15">
        <f t="shared" ca="1" si="7"/>
        <v>40470.53652858796</v>
      </c>
      <c r="T145" s="8">
        <f t="shared" ca="1" si="8"/>
        <v>24</v>
      </c>
      <c r="U145" s="11" t="s">
        <v>28</v>
      </c>
      <c r="V145" s="11" t="s">
        <v>56</v>
      </c>
      <c r="W145" s="11" t="s">
        <v>56</v>
      </c>
      <c r="X145" s="11" t="s">
        <v>56</v>
      </c>
      <c r="Y145" s="32" t="s">
        <v>42</v>
      </c>
      <c r="Z145" s="19">
        <v>24.81936</v>
      </c>
      <c r="AA145" s="19">
        <v>67.137749999999997</v>
      </c>
      <c r="AC145" s="12" t="s">
        <v>915</v>
      </c>
      <c r="AD145" s="25">
        <v>39974</v>
      </c>
      <c r="AH145" s="11" t="s">
        <v>61</v>
      </c>
    </row>
    <row r="146" spans="1:34">
      <c r="A146" s="1">
        <v>145</v>
      </c>
      <c r="B146" s="14">
        <v>39733</v>
      </c>
      <c r="C146" s="15">
        <v>39736</v>
      </c>
      <c r="E146" s="8" t="s">
        <v>562</v>
      </c>
      <c r="G146" s="11" t="s">
        <v>20</v>
      </c>
      <c r="H146" s="1">
        <v>24</v>
      </c>
      <c r="I146" s="11" t="s">
        <v>563</v>
      </c>
      <c r="J146" s="8" t="s">
        <v>564</v>
      </c>
      <c r="K146" s="8" t="s">
        <v>39</v>
      </c>
      <c r="L146" s="11" t="s">
        <v>24</v>
      </c>
      <c r="M146" s="15">
        <v>39736</v>
      </c>
      <c r="N146" s="1">
        <v>1</v>
      </c>
      <c r="O146" s="11" t="s">
        <v>40</v>
      </c>
      <c r="P146" s="11" t="s">
        <v>109</v>
      </c>
      <c r="Q146" s="11" t="s">
        <v>27</v>
      </c>
      <c r="R146" s="25" t="s">
        <v>56</v>
      </c>
      <c r="S146" s="15">
        <f t="shared" ca="1" si="7"/>
        <v>40470.53652858796</v>
      </c>
      <c r="T146" s="8">
        <f t="shared" ca="1" si="8"/>
        <v>24</v>
      </c>
      <c r="U146" s="11" t="s">
        <v>42</v>
      </c>
      <c r="V146" s="11" t="s">
        <v>42</v>
      </c>
      <c r="W146" s="11" t="s">
        <v>42</v>
      </c>
      <c r="X146" s="11" t="s">
        <v>42</v>
      </c>
      <c r="Y146" s="32" t="s">
        <v>42</v>
      </c>
      <c r="Z146" s="19">
        <v>24.815370000000001</v>
      </c>
      <c r="AA146" s="19">
        <v>67.158969999999997</v>
      </c>
      <c r="AC146" s="12" t="s">
        <v>2520</v>
      </c>
      <c r="AD146" s="25">
        <v>39816</v>
      </c>
      <c r="AH146" s="11" t="s">
        <v>158</v>
      </c>
    </row>
    <row r="147" spans="1:34">
      <c r="A147" s="1">
        <v>146</v>
      </c>
      <c r="B147" s="14">
        <v>39734</v>
      </c>
      <c r="C147" s="15">
        <v>39741</v>
      </c>
      <c r="E147" s="8" t="s">
        <v>565</v>
      </c>
      <c r="G147" s="11" t="s">
        <v>37</v>
      </c>
      <c r="H147" s="1">
        <v>38</v>
      </c>
      <c r="I147" s="11" t="s">
        <v>566</v>
      </c>
      <c r="J147" s="8" t="s">
        <v>567</v>
      </c>
      <c r="K147" s="8" t="s">
        <v>206</v>
      </c>
      <c r="L147" s="11" t="s">
        <v>24</v>
      </c>
      <c r="M147" s="15">
        <v>39741</v>
      </c>
      <c r="N147" s="1">
        <v>1</v>
      </c>
      <c r="O147" s="11" t="s">
        <v>40</v>
      </c>
      <c r="P147" s="11" t="s">
        <v>109</v>
      </c>
      <c r="Q147" s="11" t="s">
        <v>27</v>
      </c>
      <c r="R147" s="25" t="s">
        <v>2731</v>
      </c>
      <c r="S147" s="15">
        <f t="shared" ca="1" si="7"/>
        <v>40470.53652858796</v>
      </c>
      <c r="T147" s="8">
        <f t="shared" ca="1" si="8"/>
        <v>24</v>
      </c>
      <c r="U147" s="11" t="s">
        <v>42</v>
      </c>
      <c r="V147" s="11" t="s">
        <v>42</v>
      </c>
      <c r="W147" s="11" t="s">
        <v>42</v>
      </c>
      <c r="X147" s="11" t="s">
        <v>42</v>
      </c>
      <c r="Y147" s="32" t="s">
        <v>42</v>
      </c>
      <c r="Z147" s="19">
        <v>24.997</v>
      </c>
      <c r="AA147" s="19">
        <v>67.070130000000006</v>
      </c>
      <c r="AC147" s="12" t="s">
        <v>2520</v>
      </c>
      <c r="AD147" s="25">
        <v>39753</v>
      </c>
      <c r="AH147" s="11" t="s">
        <v>158</v>
      </c>
    </row>
    <row r="148" spans="1:34">
      <c r="A148" s="1">
        <v>147</v>
      </c>
      <c r="B148" s="14">
        <v>39735</v>
      </c>
      <c r="C148" s="15">
        <v>39743</v>
      </c>
      <c r="E148" s="8" t="s">
        <v>568</v>
      </c>
      <c r="G148" s="11" t="s">
        <v>37</v>
      </c>
      <c r="H148" s="1">
        <v>15</v>
      </c>
      <c r="I148" s="11" t="s">
        <v>569</v>
      </c>
      <c r="J148" s="8" t="s">
        <v>570</v>
      </c>
      <c r="K148" s="8" t="s">
        <v>39</v>
      </c>
      <c r="L148" s="11" t="s">
        <v>24</v>
      </c>
      <c r="M148" s="15">
        <v>39743</v>
      </c>
      <c r="N148" s="1">
        <v>1</v>
      </c>
      <c r="O148" s="11" t="s">
        <v>40</v>
      </c>
      <c r="P148" s="11" t="s">
        <v>72</v>
      </c>
      <c r="Q148" s="11" t="s">
        <v>27</v>
      </c>
      <c r="R148" s="11" t="s">
        <v>42</v>
      </c>
      <c r="S148" s="15">
        <f t="shared" ca="1" si="7"/>
        <v>40470.53652858796</v>
      </c>
      <c r="T148" s="8">
        <f t="shared" ca="1" si="8"/>
        <v>24</v>
      </c>
      <c r="U148" s="11" t="s">
        <v>42</v>
      </c>
      <c r="V148" s="11" t="s">
        <v>42</v>
      </c>
      <c r="W148" s="11" t="s">
        <v>42</v>
      </c>
      <c r="X148" s="11" t="s">
        <v>42</v>
      </c>
      <c r="Y148" s="32" t="s">
        <v>42</v>
      </c>
      <c r="Z148" s="19">
        <v>24.80977</v>
      </c>
      <c r="AA148" s="19">
        <v>67.162499999999994</v>
      </c>
      <c r="AC148" s="12" t="s">
        <v>44</v>
      </c>
      <c r="AD148" s="25">
        <v>39986</v>
      </c>
      <c r="AH148" s="11" t="s">
        <v>44</v>
      </c>
    </row>
    <row r="149" spans="1:34" ht="12.75" customHeight="1">
      <c r="A149" s="1">
        <v>148</v>
      </c>
      <c r="B149" s="14">
        <v>39736</v>
      </c>
      <c r="C149" s="15">
        <v>39743</v>
      </c>
      <c r="E149" s="8" t="s">
        <v>571</v>
      </c>
      <c r="G149" s="11" t="s">
        <v>37</v>
      </c>
      <c r="H149" s="1">
        <v>26</v>
      </c>
      <c r="I149" s="11" t="s">
        <v>572</v>
      </c>
      <c r="J149" s="8" t="s">
        <v>573</v>
      </c>
      <c r="K149" s="8" t="s">
        <v>206</v>
      </c>
      <c r="L149" s="11" t="s">
        <v>24</v>
      </c>
      <c r="M149" s="15">
        <v>39743</v>
      </c>
      <c r="N149" s="1">
        <v>1</v>
      </c>
      <c r="O149" s="11" t="s">
        <v>25</v>
      </c>
      <c r="P149" s="11" t="s">
        <v>26</v>
      </c>
      <c r="Q149" s="11" t="s">
        <v>27</v>
      </c>
      <c r="R149" s="25" t="s">
        <v>28</v>
      </c>
      <c r="S149" s="15">
        <f t="shared" ca="1" si="7"/>
        <v>40470.53652858796</v>
      </c>
      <c r="T149" s="8">
        <f t="shared" ca="1" si="8"/>
        <v>24</v>
      </c>
      <c r="U149" s="11" t="s">
        <v>60</v>
      </c>
      <c r="V149" s="11" t="s">
        <v>42</v>
      </c>
      <c r="W149" s="11" t="s">
        <v>224</v>
      </c>
      <c r="X149" s="11" t="s">
        <v>224</v>
      </c>
      <c r="Y149" s="32" t="s">
        <v>42</v>
      </c>
      <c r="Z149" s="19">
        <v>24.85763</v>
      </c>
      <c r="AA149" s="19">
        <v>67.135210000000001</v>
      </c>
      <c r="AC149" s="12" t="s">
        <v>2520</v>
      </c>
      <c r="AD149" s="25">
        <v>39913</v>
      </c>
      <c r="AH149" s="11" t="s">
        <v>158</v>
      </c>
    </row>
    <row r="150" spans="1:34">
      <c r="A150" s="1">
        <v>149</v>
      </c>
      <c r="B150" s="14">
        <v>39737</v>
      </c>
      <c r="C150" s="15">
        <v>39744</v>
      </c>
      <c r="E150" s="8" t="s">
        <v>574</v>
      </c>
      <c r="G150" s="11" t="s">
        <v>37</v>
      </c>
      <c r="H150" s="1">
        <v>45</v>
      </c>
      <c r="I150" s="11" t="s">
        <v>575</v>
      </c>
      <c r="J150" s="8" t="s">
        <v>576</v>
      </c>
      <c r="K150" s="8" t="s">
        <v>59</v>
      </c>
      <c r="L150" s="11" t="s">
        <v>24</v>
      </c>
      <c r="M150" s="15">
        <v>39744</v>
      </c>
      <c r="N150" s="1">
        <v>1</v>
      </c>
      <c r="O150" s="11" t="s">
        <v>40</v>
      </c>
      <c r="P150" s="11" t="s">
        <v>109</v>
      </c>
      <c r="Q150" s="11" t="s">
        <v>27</v>
      </c>
      <c r="R150" s="11" t="s">
        <v>42</v>
      </c>
      <c r="S150" s="15">
        <f t="shared" ca="1" si="7"/>
        <v>40470.53652858796</v>
      </c>
      <c r="T150" s="8">
        <f t="shared" ca="1" si="8"/>
        <v>24</v>
      </c>
      <c r="U150" s="11" t="s">
        <v>42</v>
      </c>
      <c r="V150" s="11" t="s">
        <v>42</v>
      </c>
      <c r="W150" s="11" t="s">
        <v>42</v>
      </c>
      <c r="X150" s="11" t="s">
        <v>42</v>
      </c>
      <c r="Y150" s="32" t="s">
        <v>42</v>
      </c>
      <c r="Z150" s="19">
        <v>24.813079999999999</v>
      </c>
      <c r="AA150" s="19">
        <v>67.141739999999999</v>
      </c>
      <c r="AC150" s="12" t="s">
        <v>44</v>
      </c>
      <c r="AD150" s="25">
        <v>39823</v>
      </c>
      <c r="AH150" s="11" t="s">
        <v>44</v>
      </c>
    </row>
    <row r="151" spans="1:34" s="37" customFormat="1" ht="12.75" customHeight="1">
      <c r="A151" s="1">
        <v>150</v>
      </c>
      <c r="B151" s="29">
        <v>39738</v>
      </c>
      <c r="C151" s="30">
        <v>39750</v>
      </c>
      <c r="D151" s="30"/>
      <c r="E151" s="31" t="s">
        <v>577</v>
      </c>
      <c r="F151" s="31"/>
      <c r="G151" s="32" t="s">
        <v>37</v>
      </c>
      <c r="H151" s="33">
        <v>55</v>
      </c>
      <c r="I151" s="34" t="s">
        <v>578</v>
      </c>
      <c r="J151" s="31" t="s">
        <v>579</v>
      </c>
      <c r="K151" s="31" t="s">
        <v>71</v>
      </c>
      <c r="L151" s="32" t="s">
        <v>24</v>
      </c>
      <c r="M151" s="30">
        <v>39750</v>
      </c>
      <c r="N151" s="33">
        <v>1</v>
      </c>
      <c r="O151" s="32" t="s">
        <v>25</v>
      </c>
      <c r="P151" s="32" t="s">
        <v>26</v>
      </c>
      <c r="Q151" s="32" t="s">
        <v>27</v>
      </c>
      <c r="R151" s="32" t="s">
        <v>65</v>
      </c>
      <c r="S151" s="30">
        <f t="shared" ca="1" si="7"/>
        <v>40470.53652858796</v>
      </c>
      <c r="T151" s="31">
        <f t="shared" ca="1" si="8"/>
        <v>24</v>
      </c>
      <c r="U151" s="32" t="s">
        <v>28</v>
      </c>
      <c r="V151" s="32" t="s">
        <v>56</v>
      </c>
      <c r="W151" s="32" t="s">
        <v>224</v>
      </c>
      <c r="X151" s="32" t="s">
        <v>224</v>
      </c>
      <c r="Y151" s="32" t="s">
        <v>42</v>
      </c>
      <c r="Z151" s="35">
        <v>24.83109</v>
      </c>
      <c r="AA151" s="35">
        <v>67.154970000000006</v>
      </c>
      <c r="AB151" s="32"/>
      <c r="AC151" s="36" t="s">
        <v>2520</v>
      </c>
      <c r="AD151" s="32">
        <v>39861</v>
      </c>
      <c r="AE151" s="32"/>
      <c r="AF151" s="32"/>
      <c r="AG151" s="32"/>
      <c r="AH151" s="32" t="s">
        <v>158</v>
      </c>
    </row>
    <row r="152" spans="1:34" ht="12.75" customHeight="1">
      <c r="A152" s="1">
        <v>151</v>
      </c>
      <c r="B152" s="14">
        <v>39739</v>
      </c>
      <c r="C152" s="15">
        <v>39752</v>
      </c>
      <c r="E152" s="8" t="s">
        <v>580</v>
      </c>
      <c r="G152" s="11" t="s">
        <v>37</v>
      </c>
      <c r="H152" s="1">
        <v>50</v>
      </c>
      <c r="I152" s="11" t="s">
        <v>581</v>
      </c>
      <c r="J152" s="8" t="s">
        <v>582</v>
      </c>
      <c r="K152" s="8" t="s">
        <v>71</v>
      </c>
      <c r="L152" s="11" t="s">
        <v>24</v>
      </c>
      <c r="M152" s="15">
        <v>39752</v>
      </c>
      <c r="N152" s="1">
        <v>2</v>
      </c>
      <c r="O152" s="11" t="s">
        <v>25</v>
      </c>
      <c r="P152" s="11" t="s">
        <v>26</v>
      </c>
      <c r="Q152" s="11" t="s">
        <v>477</v>
      </c>
      <c r="R152" s="11" t="s">
        <v>56</v>
      </c>
      <c r="S152" s="15">
        <f t="shared" ca="1" si="7"/>
        <v>40470.53652858796</v>
      </c>
      <c r="T152" s="8">
        <f t="shared" ca="1" si="8"/>
        <v>24</v>
      </c>
      <c r="U152" s="11" t="s">
        <v>42</v>
      </c>
      <c r="V152" s="11" t="s">
        <v>56</v>
      </c>
      <c r="W152" s="11" t="s">
        <v>56</v>
      </c>
      <c r="X152" s="25" t="s">
        <v>51</v>
      </c>
      <c r="Y152" s="32" t="s">
        <v>42</v>
      </c>
      <c r="Z152" s="19">
        <v>24.92408</v>
      </c>
      <c r="AA152" s="19">
        <v>67.04616</v>
      </c>
      <c r="AC152" s="12" t="s">
        <v>2514</v>
      </c>
      <c r="AD152" s="25">
        <v>39994</v>
      </c>
      <c r="AH152" s="11" t="s">
        <v>44</v>
      </c>
    </row>
    <row r="153" spans="1:34">
      <c r="A153" s="1">
        <v>152</v>
      </c>
      <c r="B153" s="14">
        <v>39740</v>
      </c>
      <c r="C153" s="15">
        <v>39752</v>
      </c>
      <c r="E153" s="8" t="s">
        <v>583</v>
      </c>
      <c r="G153" s="11" t="s">
        <v>37</v>
      </c>
      <c r="H153" s="1">
        <v>24</v>
      </c>
      <c r="I153" s="11" t="s">
        <v>584</v>
      </c>
      <c r="J153" s="8" t="s">
        <v>585</v>
      </c>
      <c r="K153" s="8" t="s">
        <v>39</v>
      </c>
      <c r="L153" s="11" t="s">
        <v>24</v>
      </c>
      <c r="M153" s="15">
        <v>39752</v>
      </c>
      <c r="N153" s="1">
        <v>1</v>
      </c>
      <c r="O153" s="11" t="s">
        <v>40</v>
      </c>
      <c r="P153" s="11" t="s">
        <v>315</v>
      </c>
      <c r="Q153" s="11" t="s">
        <v>27</v>
      </c>
      <c r="R153" s="25" t="s">
        <v>28</v>
      </c>
      <c r="S153" s="15">
        <f t="shared" ca="1" si="7"/>
        <v>40470.53652858796</v>
      </c>
      <c r="T153" s="8">
        <f t="shared" ca="1" si="8"/>
        <v>24</v>
      </c>
      <c r="U153" s="11" t="s">
        <v>42</v>
      </c>
      <c r="V153" s="25" t="s">
        <v>42</v>
      </c>
      <c r="W153" s="11" t="s">
        <v>42</v>
      </c>
      <c r="X153" s="11" t="s">
        <v>42</v>
      </c>
      <c r="Y153" s="32" t="s">
        <v>42</v>
      </c>
      <c r="Z153" s="19">
        <v>24.832909999999998</v>
      </c>
      <c r="AA153" s="19">
        <v>67.166610000000006</v>
      </c>
      <c r="AC153" s="12" t="s">
        <v>2510</v>
      </c>
      <c r="AD153" s="25">
        <v>39973</v>
      </c>
      <c r="AH153" s="11" t="s">
        <v>44</v>
      </c>
    </row>
    <row r="154" spans="1:34">
      <c r="A154" s="1">
        <v>153</v>
      </c>
      <c r="B154" s="14">
        <v>39760</v>
      </c>
      <c r="C154" s="15">
        <v>39756</v>
      </c>
      <c r="E154" s="8" t="s">
        <v>428</v>
      </c>
      <c r="G154" s="11" t="s">
        <v>37</v>
      </c>
      <c r="H154" s="1">
        <v>22</v>
      </c>
      <c r="I154" s="11" t="s">
        <v>429</v>
      </c>
      <c r="J154" s="8" t="s">
        <v>430</v>
      </c>
      <c r="K154" s="8" t="s">
        <v>39</v>
      </c>
      <c r="L154" s="11" t="s">
        <v>24</v>
      </c>
      <c r="M154" s="15">
        <v>39756</v>
      </c>
      <c r="N154" s="1">
        <v>1</v>
      </c>
      <c r="O154" s="11" t="s">
        <v>40</v>
      </c>
      <c r="P154" s="11" t="s">
        <v>431</v>
      </c>
      <c r="Q154" s="11" t="s">
        <v>27</v>
      </c>
      <c r="R154" s="25" t="s">
        <v>56</v>
      </c>
      <c r="S154" s="15">
        <f t="shared" ca="1" si="7"/>
        <v>40470.53652858796</v>
      </c>
      <c r="T154" s="8">
        <f t="shared" ca="1" si="8"/>
        <v>23</v>
      </c>
      <c r="U154" s="11" t="s">
        <v>42</v>
      </c>
      <c r="V154" s="11" t="s">
        <v>42</v>
      </c>
      <c r="W154" s="11" t="s">
        <v>42</v>
      </c>
      <c r="X154" s="11" t="s">
        <v>42</v>
      </c>
      <c r="Y154" s="32" t="s">
        <v>42</v>
      </c>
      <c r="Z154" s="19">
        <v>24.817969999999999</v>
      </c>
      <c r="AA154" s="19">
        <v>67.168559999999999</v>
      </c>
      <c r="AC154" s="12" t="s">
        <v>2514</v>
      </c>
      <c r="AD154" s="25">
        <v>39994</v>
      </c>
      <c r="AH154" s="11" t="s">
        <v>44</v>
      </c>
    </row>
    <row r="155" spans="1:34" ht="12.75" customHeight="1">
      <c r="A155" s="1">
        <v>154</v>
      </c>
      <c r="B155" s="14">
        <v>39761</v>
      </c>
      <c r="C155" s="15">
        <v>39759</v>
      </c>
      <c r="E155" s="8" t="s">
        <v>432</v>
      </c>
      <c r="G155" s="11" t="s">
        <v>37</v>
      </c>
      <c r="H155" s="1">
        <v>35</v>
      </c>
      <c r="I155" s="11" t="s">
        <v>433</v>
      </c>
      <c r="J155" s="8" t="s">
        <v>434</v>
      </c>
      <c r="K155" s="8" t="s">
        <v>206</v>
      </c>
      <c r="L155" s="11" t="s">
        <v>24</v>
      </c>
      <c r="M155" s="15">
        <v>39759</v>
      </c>
      <c r="N155" s="1">
        <v>1</v>
      </c>
      <c r="O155" s="11" t="s">
        <v>25</v>
      </c>
      <c r="P155" s="11" t="s">
        <v>26</v>
      </c>
      <c r="Q155" s="11" t="s">
        <v>27</v>
      </c>
      <c r="R155" s="11" t="s">
        <v>28</v>
      </c>
      <c r="S155" s="15">
        <f t="shared" ca="1" si="7"/>
        <v>40470.53652858796</v>
      </c>
      <c r="T155" s="8">
        <f t="shared" ca="1" si="8"/>
        <v>23</v>
      </c>
      <c r="U155" s="11" t="s">
        <v>224</v>
      </c>
      <c r="V155" s="11" t="s">
        <v>42</v>
      </c>
      <c r="W155" s="11" t="s">
        <v>224</v>
      </c>
      <c r="X155" s="11" t="s">
        <v>224</v>
      </c>
      <c r="Y155" s="32" t="s">
        <v>42</v>
      </c>
      <c r="Z155" s="19">
        <v>24.832429999999999</v>
      </c>
      <c r="AA155" s="19">
        <v>67.172839999999994</v>
      </c>
      <c r="AC155" s="12" t="s">
        <v>2521</v>
      </c>
      <c r="AD155" s="25">
        <v>39786</v>
      </c>
      <c r="AH155" s="11" t="s">
        <v>35</v>
      </c>
    </row>
    <row r="156" spans="1:34" s="37" customFormat="1" ht="12.75" customHeight="1">
      <c r="A156" s="1">
        <v>155</v>
      </c>
      <c r="B156" s="29">
        <v>39762</v>
      </c>
      <c r="C156" s="30">
        <v>39763</v>
      </c>
      <c r="D156" s="30"/>
      <c r="E156" s="31" t="s">
        <v>625</v>
      </c>
      <c r="F156" s="31"/>
      <c r="G156" s="32" t="s">
        <v>20</v>
      </c>
      <c r="H156" s="33">
        <v>32</v>
      </c>
      <c r="I156" s="34" t="s">
        <v>626</v>
      </c>
      <c r="J156" s="31" t="s">
        <v>627</v>
      </c>
      <c r="K156" s="31" t="s">
        <v>253</v>
      </c>
      <c r="L156" s="32" t="s">
        <v>24</v>
      </c>
      <c r="M156" s="30">
        <v>39763</v>
      </c>
      <c r="N156" s="33">
        <v>1</v>
      </c>
      <c r="O156" s="32" t="s">
        <v>25</v>
      </c>
      <c r="P156" s="32" t="s">
        <v>26</v>
      </c>
      <c r="Q156" s="32" t="s">
        <v>27</v>
      </c>
      <c r="R156" s="32" t="s">
        <v>28</v>
      </c>
      <c r="S156" s="30">
        <f t="shared" ca="1" si="7"/>
        <v>40470.53652858796</v>
      </c>
      <c r="T156" s="31">
        <f t="shared" ca="1" si="8"/>
        <v>23</v>
      </c>
      <c r="U156" s="32" t="s">
        <v>28</v>
      </c>
      <c r="V156" s="32" t="s">
        <v>56</v>
      </c>
      <c r="W156" s="32" t="s">
        <v>56</v>
      </c>
      <c r="X156" s="32" t="s">
        <v>224</v>
      </c>
      <c r="Y156" s="32" t="s">
        <v>42</v>
      </c>
      <c r="Z156" s="35">
        <v>24.8172</v>
      </c>
      <c r="AA156" s="35">
        <v>67.157780000000002</v>
      </c>
      <c r="AB156" s="32"/>
      <c r="AC156" s="36" t="s">
        <v>915</v>
      </c>
      <c r="AD156" s="32">
        <v>40005</v>
      </c>
      <c r="AE156" s="32"/>
      <c r="AF156" s="32"/>
      <c r="AG156" s="32"/>
      <c r="AH156" s="32" t="s">
        <v>61</v>
      </c>
    </row>
    <row r="157" spans="1:34" ht="12.75" customHeight="1">
      <c r="A157" s="1">
        <v>156</v>
      </c>
      <c r="B157" s="14">
        <v>39763</v>
      </c>
      <c r="C157" s="15">
        <v>39766</v>
      </c>
      <c r="E157" s="8" t="s">
        <v>628</v>
      </c>
      <c r="G157" s="11" t="s">
        <v>37</v>
      </c>
      <c r="H157" s="1">
        <v>19</v>
      </c>
      <c r="I157" s="11" t="s">
        <v>629</v>
      </c>
      <c r="J157" s="8" t="s">
        <v>630</v>
      </c>
      <c r="K157" s="8" t="s">
        <v>39</v>
      </c>
      <c r="L157" s="11" t="s">
        <v>24</v>
      </c>
      <c r="M157" s="15">
        <v>39766</v>
      </c>
      <c r="N157" s="1">
        <v>1</v>
      </c>
      <c r="O157" s="11" t="s">
        <v>25</v>
      </c>
      <c r="P157" s="11" t="s">
        <v>26</v>
      </c>
      <c r="Q157" s="11" t="s">
        <v>27</v>
      </c>
      <c r="R157" s="11" t="s">
        <v>28</v>
      </c>
      <c r="S157" s="15">
        <f t="shared" ca="1" si="7"/>
        <v>40470.53652858796</v>
      </c>
      <c r="T157" s="8">
        <f t="shared" ca="1" si="8"/>
        <v>23</v>
      </c>
      <c r="U157" s="11" t="s">
        <v>224</v>
      </c>
      <c r="V157" s="11" t="s">
        <v>42</v>
      </c>
      <c r="W157" s="11" t="s">
        <v>224</v>
      </c>
      <c r="X157" s="11" t="s">
        <v>224</v>
      </c>
      <c r="Y157" s="32" t="s">
        <v>42</v>
      </c>
      <c r="AC157" s="12" t="s">
        <v>2511</v>
      </c>
      <c r="AD157" s="25">
        <v>40490</v>
      </c>
      <c r="AH157" s="11" t="s">
        <v>122</v>
      </c>
    </row>
    <row r="158" spans="1:34" ht="12.75" customHeight="1">
      <c r="A158" s="1">
        <v>157</v>
      </c>
      <c r="B158" s="14">
        <v>39764</v>
      </c>
      <c r="C158" s="15">
        <v>39766</v>
      </c>
      <c r="E158" s="8" t="s">
        <v>631</v>
      </c>
      <c r="G158" s="11" t="s">
        <v>20</v>
      </c>
      <c r="H158" s="1">
        <v>30</v>
      </c>
      <c r="I158" s="11" t="s">
        <v>632</v>
      </c>
      <c r="J158" s="8" t="s">
        <v>633</v>
      </c>
      <c r="K158" s="8" t="s">
        <v>223</v>
      </c>
      <c r="L158" s="11" t="s">
        <v>24</v>
      </c>
      <c r="M158" s="15">
        <v>39766</v>
      </c>
      <c r="N158" s="1">
        <v>1</v>
      </c>
      <c r="O158" s="11" t="s">
        <v>25</v>
      </c>
      <c r="P158" s="11" t="s">
        <v>26</v>
      </c>
      <c r="Q158" s="11" t="s">
        <v>27</v>
      </c>
      <c r="R158" s="25" t="s">
        <v>2729</v>
      </c>
      <c r="S158" s="15">
        <f t="shared" ca="1" si="7"/>
        <v>40470.53652858796</v>
      </c>
      <c r="T158" s="8">
        <f t="shared" ca="1" si="8"/>
        <v>23</v>
      </c>
      <c r="U158" s="11" t="s">
        <v>56</v>
      </c>
      <c r="V158" s="11" t="s">
        <v>42</v>
      </c>
      <c r="W158" s="11" t="s">
        <v>42</v>
      </c>
      <c r="X158" s="11" t="s">
        <v>29</v>
      </c>
      <c r="Y158" s="32" t="s">
        <v>42</v>
      </c>
      <c r="Z158" s="19">
        <v>24.838010000000001</v>
      </c>
      <c r="AA158" s="19">
        <v>67.148070000000004</v>
      </c>
      <c r="AC158" s="12" t="s">
        <v>2510</v>
      </c>
      <c r="AD158" s="25">
        <v>40016</v>
      </c>
      <c r="AH158" s="11" t="s">
        <v>44</v>
      </c>
    </row>
    <row r="159" spans="1:34">
      <c r="A159" s="1">
        <v>158</v>
      </c>
      <c r="B159" s="14">
        <v>39760</v>
      </c>
      <c r="C159" s="15">
        <v>39773</v>
      </c>
      <c r="E159" s="8" t="s">
        <v>634</v>
      </c>
      <c r="G159" s="11" t="s">
        <v>20</v>
      </c>
      <c r="H159" s="1">
        <v>46</v>
      </c>
      <c r="I159" s="11" t="s">
        <v>635</v>
      </c>
      <c r="J159" s="8" t="s">
        <v>636</v>
      </c>
      <c r="K159" s="8" t="s">
        <v>100</v>
      </c>
      <c r="L159" s="11" t="s">
        <v>24</v>
      </c>
      <c r="M159" s="15">
        <v>39773</v>
      </c>
      <c r="N159" s="1">
        <v>2</v>
      </c>
      <c r="O159" s="11" t="s">
        <v>40</v>
      </c>
      <c r="P159" s="11" t="s">
        <v>109</v>
      </c>
      <c r="Q159" s="11" t="s">
        <v>381</v>
      </c>
      <c r="R159" s="25" t="s">
        <v>56</v>
      </c>
      <c r="S159" s="15">
        <f t="shared" ca="1" si="7"/>
        <v>40470.53652858796</v>
      </c>
      <c r="T159" s="8">
        <f t="shared" ca="1" si="8"/>
        <v>23</v>
      </c>
      <c r="U159" s="11" t="s">
        <v>42</v>
      </c>
      <c r="V159" s="25" t="s">
        <v>42</v>
      </c>
      <c r="W159" s="11" t="s">
        <v>42</v>
      </c>
      <c r="X159" s="11" t="s">
        <v>42</v>
      </c>
      <c r="Y159" s="32" t="s">
        <v>42</v>
      </c>
      <c r="Z159" s="19">
        <v>24.921610000000001</v>
      </c>
      <c r="AA159" s="19">
        <v>67.041610000000006</v>
      </c>
      <c r="AC159" s="12" t="s">
        <v>2510</v>
      </c>
      <c r="AD159" s="25">
        <v>40024</v>
      </c>
      <c r="AH159" s="11" t="s">
        <v>44</v>
      </c>
    </row>
    <row r="160" spans="1:34" ht="12.75" customHeight="1">
      <c r="A160" s="1">
        <v>159</v>
      </c>
      <c r="B160" s="14">
        <v>39760</v>
      </c>
      <c r="C160" s="15">
        <v>39773</v>
      </c>
      <c r="E160" s="8" t="s">
        <v>637</v>
      </c>
      <c r="G160" s="11" t="s">
        <v>20</v>
      </c>
      <c r="H160" s="1">
        <v>56</v>
      </c>
      <c r="I160" s="11" t="s">
        <v>638</v>
      </c>
      <c r="J160" s="8" t="s">
        <v>639</v>
      </c>
      <c r="K160" s="8" t="s">
        <v>291</v>
      </c>
      <c r="L160" s="11" t="s">
        <v>24</v>
      </c>
      <c r="M160" s="15">
        <v>39773</v>
      </c>
      <c r="N160" s="1">
        <v>1</v>
      </c>
      <c r="O160" s="11" t="s">
        <v>25</v>
      </c>
      <c r="P160" s="11" t="s">
        <v>26</v>
      </c>
      <c r="Q160" s="11" t="s">
        <v>27</v>
      </c>
      <c r="R160" s="25" t="s">
        <v>56</v>
      </c>
      <c r="S160" s="15">
        <f t="shared" ca="1" si="7"/>
        <v>40470.53652858796</v>
      </c>
      <c r="T160" s="8">
        <f t="shared" ca="1" si="8"/>
        <v>23</v>
      </c>
      <c r="U160" s="11" t="s">
        <v>42</v>
      </c>
      <c r="V160" s="11" t="s">
        <v>42</v>
      </c>
      <c r="W160" s="11" t="s">
        <v>29</v>
      </c>
      <c r="X160" s="11" t="s">
        <v>224</v>
      </c>
      <c r="Y160" s="32" t="s">
        <v>42</v>
      </c>
      <c r="Z160" s="19">
        <v>24.823450000000001</v>
      </c>
      <c r="AA160" s="19">
        <v>67.179360000000003</v>
      </c>
      <c r="AC160" s="12" t="s">
        <v>2510</v>
      </c>
      <c r="AD160" s="25">
        <v>40025</v>
      </c>
      <c r="AH160" s="11" t="s">
        <v>44</v>
      </c>
    </row>
    <row r="161" spans="1:34">
      <c r="A161" s="1">
        <v>160</v>
      </c>
      <c r="B161" s="14">
        <v>39760</v>
      </c>
      <c r="C161" s="15">
        <v>39773</v>
      </c>
      <c r="E161" s="8" t="s">
        <v>640</v>
      </c>
      <c r="G161" s="11" t="s">
        <v>37</v>
      </c>
      <c r="H161" s="1">
        <v>18</v>
      </c>
      <c r="I161" s="11" t="s">
        <v>641</v>
      </c>
      <c r="J161" s="8" t="s">
        <v>642</v>
      </c>
      <c r="K161" s="8" t="s">
        <v>48</v>
      </c>
      <c r="L161" s="11" t="s">
        <v>24</v>
      </c>
      <c r="M161" s="15">
        <v>39773</v>
      </c>
      <c r="N161" s="1">
        <v>1</v>
      </c>
      <c r="O161" s="11" t="s">
        <v>40</v>
      </c>
      <c r="P161" s="11" t="s">
        <v>72</v>
      </c>
      <c r="Q161" s="11" t="s">
        <v>27</v>
      </c>
      <c r="R161" s="11" t="s">
        <v>42</v>
      </c>
      <c r="S161" s="15">
        <f t="shared" ca="1" si="7"/>
        <v>40470.53652858796</v>
      </c>
      <c r="T161" s="8">
        <f t="shared" ca="1" si="8"/>
        <v>23</v>
      </c>
      <c r="U161" s="11" t="s">
        <v>42</v>
      </c>
      <c r="V161" s="11" t="s">
        <v>42</v>
      </c>
      <c r="W161" s="11" t="s">
        <v>42</v>
      </c>
      <c r="X161" s="11" t="s">
        <v>42</v>
      </c>
      <c r="Y161" s="32" t="s">
        <v>42</v>
      </c>
      <c r="Z161" s="19">
        <v>24.822700000000001</v>
      </c>
      <c r="AA161" s="19">
        <v>67.129859999999994</v>
      </c>
      <c r="AC161" s="12" t="s">
        <v>2510</v>
      </c>
      <c r="AD161" s="25">
        <v>40016</v>
      </c>
      <c r="AH161" s="11" t="s">
        <v>44</v>
      </c>
    </row>
    <row r="162" spans="1:34" s="37" customFormat="1">
      <c r="A162" s="1">
        <v>161</v>
      </c>
      <c r="B162" s="29">
        <v>39760</v>
      </c>
      <c r="C162" s="30">
        <v>39777</v>
      </c>
      <c r="D162" s="30"/>
      <c r="E162" s="31" t="s">
        <v>643</v>
      </c>
      <c r="F162" s="31"/>
      <c r="G162" s="32" t="s">
        <v>37</v>
      </c>
      <c r="H162" s="33">
        <v>22</v>
      </c>
      <c r="I162" s="34" t="s">
        <v>644</v>
      </c>
      <c r="J162" s="31" t="s">
        <v>645</v>
      </c>
      <c r="K162" s="31" t="s">
        <v>39</v>
      </c>
      <c r="L162" s="32" t="s">
        <v>24</v>
      </c>
      <c r="M162" s="30">
        <v>39777</v>
      </c>
      <c r="N162" s="33">
        <v>1</v>
      </c>
      <c r="O162" s="32" t="s">
        <v>40</v>
      </c>
      <c r="P162" s="32" t="s">
        <v>72</v>
      </c>
      <c r="Q162" s="32" t="s">
        <v>27</v>
      </c>
      <c r="R162" s="32" t="s">
        <v>42</v>
      </c>
      <c r="S162" s="30">
        <f t="shared" ca="1" si="7"/>
        <v>40470.53652858796</v>
      </c>
      <c r="T162" s="31">
        <f t="shared" ca="1" si="8"/>
        <v>23</v>
      </c>
      <c r="U162" s="32" t="s">
        <v>42</v>
      </c>
      <c r="V162" s="32" t="s">
        <v>42</v>
      </c>
      <c r="W162" s="32" t="s">
        <v>42</v>
      </c>
      <c r="X162" s="32" t="s">
        <v>42</v>
      </c>
      <c r="Y162" s="32" t="s">
        <v>42</v>
      </c>
      <c r="Z162" s="35">
        <v>24.84233</v>
      </c>
      <c r="AA162" s="35">
        <v>67.185910000000007</v>
      </c>
      <c r="AB162" s="32"/>
      <c r="AC162" s="36" t="s">
        <v>2510</v>
      </c>
      <c r="AD162" s="32">
        <v>40018</v>
      </c>
      <c r="AE162" s="32"/>
      <c r="AF162" s="32"/>
      <c r="AG162" s="32"/>
      <c r="AH162" s="32" t="s">
        <v>44</v>
      </c>
    </row>
    <row r="163" spans="1:34" ht="12.75" customHeight="1">
      <c r="A163" s="1">
        <v>162</v>
      </c>
      <c r="B163" s="14">
        <v>39760</v>
      </c>
      <c r="C163" s="15">
        <v>39777</v>
      </c>
      <c r="E163" s="8" t="s">
        <v>646</v>
      </c>
      <c r="G163" s="11" t="s">
        <v>37</v>
      </c>
      <c r="H163" s="1">
        <v>35</v>
      </c>
      <c r="I163" s="11" t="s">
        <v>647</v>
      </c>
      <c r="J163" s="8" t="s">
        <v>648</v>
      </c>
      <c r="K163" s="8" t="s">
        <v>48</v>
      </c>
      <c r="L163" s="11" t="s">
        <v>24</v>
      </c>
      <c r="M163" s="15">
        <v>39777</v>
      </c>
      <c r="N163" s="1">
        <v>2</v>
      </c>
      <c r="O163" s="11" t="s">
        <v>25</v>
      </c>
      <c r="P163" s="11" t="s">
        <v>26</v>
      </c>
      <c r="Q163" s="11" t="s">
        <v>649</v>
      </c>
      <c r="R163" s="11" t="s">
        <v>28</v>
      </c>
      <c r="S163" s="15">
        <f t="shared" ca="1" si="7"/>
        <v>40470.53652858796</v>
      </c>
      <c r="T163" s="8">
        <f t="shared" ca="1" si="8"/>
        <v>23</v>
      </c>
      <c r="U163" s="25" t="s">
        <v>42</v>
      </c>
      <c r="V163" s="25" t="s">
        <v>56</v>
      </c>
      <c r="W163" s="11" t="s">
        <v>56</v>
      </c>
      <c r="X163" s="11" t="s">
        <v>56</v>
      </c>
      <c r="Y163" s="32" t="s">
        <v>42</v>
      </c>
      <c r="Z163" s="19">
        <v>24.822769999999998</v>
      </c>
      <c r="AA163" s="19">
        <v>67.155630000000002</v>
      </c>
      <c r="AC163" s="12" t="s">
        <v>915</v>
      </c>
      <c r="AD163" s="25">
        <v>40019</v>
      </c>
      <c r="AH163" s="11" t="s">
        <v>61</v>
      </c>
    </row>
    <row r="164" spans="1:34" ht="12.75" customHeight="1">
      <c r="A164" s="1">
        <v>163</v>
      </c>
      <c r="B164" s="14">
        <v>39761</v>
      </c>
      <c r="C164" s="15">
        <v>39779</v>
      </c>
      <c r="E164" s="8" t="s">
        <v>650</v>
      </c>
      <c r="G164" s="11" t="s">
        <v>20</v>
      </c>
      <c r="H164" s="1">
        <v>65</v>
      </c>
      <c r="I164" s="11" t="s">
        <v>651</v>
      </c>
      <c r="J164" s="8" t="s">
        <v>652</v>
      </c>
      <c r="K164" s="8" t="s">
        <v>253</v>
      </c>
      <c r="L164" s="11" t="s">
        <v>24</v>
      </c>
      <c r="M164" s="15">
        <v>39779</v>
      </c>
      <c r="N164" s="1">
        <v>2</v>
      </c>
      <c r="O164" s="11" t="s">
        <v>25</v>
      </c>
      <c r="P164" s="11" t="s">
        <v>26</v>
      </c>
      <c r="Q164" s="11" t="s">
        <v>381</v>
      </c>
      <c r="R164" s="11" t="s">
        <v>28</v>
      </c>
      <c r="S164" s="15">
        <f t="shared" ca="1" si="7"/>
        <v>40470.53652858796</v>
      </c>
      <c r="T164" s="8">
        <f t="shared" ca="1" si="8"/>
        <v>23</v>
      </c>
      <c r="U164" s="11" t="s">
        <v>42</v>
      </c>
      <c r="V164" s="11" t="s">
        <v>56</v>
      </c>
      <c r="W164" s="11" t="s">
        <v>56</v>
      </c>
      <c r="X164" s="11" t="s">
        <v>56</v>
      </c>
      <c r="Y164" s="32" t="s">
        <v>42</v>
      </c>
      <c r="Z164" s="19">
        <v>24.810089999999999</v>
      </c>
      <c r="AA164" s="19">
        <v>67.175319999999999</v>
      </c>
      <c r="AC164" s="12" t="s">
        <v>915</v>
      </c>
      <c r="AD164" s="25">
        <v>40030</v>
      </c>
      <c r="AH164" s="11" t="s">
        <v>61</v>
      </c>
    </row>
    <row r="165" spans="1:34" ht="12.75" customHeight="1">
      <c r="A165" s="1">
        <v>164</v>
      </c>
      <c r="B165" s="14">
        <v>40155</v>
      </c>
      <c r="C165" s="15">
        <v>39630</v>
      </c>
      <c r="D165" s="15">
        <v>39784</v>
      </c>
      <c r="E165" s="8" t="s">
        <v>653</v>
      </c>
      <c r="F165" s="13"/>
      <c r="G165" s="11" t="s">
        <v>20</v>
      </c>
      <c r="H165" s="1">
        <v>75</v>
      </c>
      <c r="I165" s="11" t="s">
        <v>654</v>
      </c>
      <c r="J165" s="8" t="s">
        <v>655</v>
      </c>
      <c r="K165" s="8" t="s">
        <v>59</v>
      </c>
      <c r="L165" s="11" t="s">
        <v>24</v>
      </c>
      <c r="M165" s="15">
        <v>39784</v>
      </c>
      <c r="N165" s="1">
        <v>2</v>
      </c>
      <c r="O165" s="11" t="s">
        <v>25</v>
      </c>
      <c r="P165" s="11" t="s">
        <v>26</v>
      </c>
      <c r="Q165" s="11" t="s">
        <v>407</v>
      </c>
      <c r="R165" s="25" t="s">
        <v>60</v>
      </c>
      <c r="S165" s="15">
        <f t="shared" ca="1" si="7"/>
        <v>40470.53652858796</v>
      </c>
      <c r="T165" s="8">
        <f t="shared" ca="1" si="8"/>
        <v>22</v>
      </c>
      <c r="U165" s="25" t="s">
        <v>28</v>
      </c>
      <c r="V165" s="25" t="s">
        <v>28</v>
      </c>
      <c r="W165" s="11" t="s">
        <v>56</v>
      </c>
      <c r="X165" s="11" t="s">
        <v>56</v>
      </c>
      <c r="Y165" s="32" t="s">
        <v>42</v>
      </c>
      <c r="Z165" s="19">
        <v>24.826799999999999</v>
      </c>
      <c r="AA165" s="19">
        <v>67.127650000000003</v>
      </c>
      <c r="AC165" s="12" t="s">
        <v>2510</v>
      </c>
      <c r="AD165" s="25">
        <v>39662</v>
      </c>
      <c r="AH165" s="11" t="s">
        <v>44</v>
      </c>
    </row>
    <row r="166" spans="1:34">
      <c r="A166" s="1">
        <v>165</v>
      </c>
      <c r="B166" s="14">
        <v>39790</v>
      </c>
      <c r="C166" s="15">
        <v>39786</v>
      </c>
      <c r="E166" s="8" t="s">
        <v>656</v>
      </c>
      <c r="G166" s="11" t="s">
        <v>37</v>
      </c>
      <c r="H166" s="1">
        <v>30</v>
      </c>
      <c r="I166" s="11" t="s">
        <v>657</v>
      </c>
      <c r="J166" s="8" t="s">
        <v>658</v>
      </c>
      <c r="K166" s="8" t="s">
        <v>206</v>
      </c>
      <c r="L166" s="11" t="s">
        <v>24</v>
      </c>
      <c r="M166" s="15">
        <v>39786</v>
      </c>
      <c r="N166" s="1">
        <v>2</v>
      </c>
      <c r="O166" s="11" t="s">
        <v>40</v>
      </c>
      <c r="P166" s="11" t="s">
        <v>315</v>
      </c>
      <c r="Q166" s="11" t="s">
        <v>381</v>
      </c>
      <c r="R166" s="25" t="s">
        <v>28</v>
      </c>
      <c r="S166" s="15">
        <f t="shared" ca="1" si="7"/>
        <v>40470.53652858796</v>
      </c>
      <c r="T166" s="8">
        <f t="shared" ca="1" si="8"/>
        <v>22</v>
      </c>
      <c r="U166" s="11" t="s">
        <v>42</v>
      </c>
      <c r="V166" s="11" t="s">
        <v>42</v>
      </c>
      <c r="W166" s="11" t="s">
        <v>42</v>
      </c>
      <c r="X166" s="11" t="s">
        <v>42</v>
      </c>
      <c r="Y166" s="32" t="s">
        <v>42</v>
      </c>
      <c r="Z166" s="19">
        <v>24.819389999999999</v>
      </c>
      <c r="AA166" s="19">
        <v>67.17886</v>
      </c>
      <c r="AC166" s="12" t="s">
        <v>2510</v>
      </c>
      <c r="AD166" s="25">
        <v>40051</v>
      </c>
      <c r="AH166" s="11" t="s">
        <v>44</v>
      </c>
    </row>
    <row r="167" spans="1:34" ht="12.75" customHeight="1">
      <c r="A167" s="1">
        <v>166</v>
      </c>
      <c r="B167" s="14">
        <v>39790</v>
      </c>
      <c r="C167" s="15">
        <v>39786</v>
      </c>
      <c r="E167" s="8" t="s">
        <v>659</v>
      </c>
      <c r="G167" s="11" t="s">
        <v>20</v>
      </c>
      <c r="H167" s="1">
        <v>26</v>
      </c>
      <c r="I167" s="11" t="s">
        <v>660</v>
      </c>
      <c r="J167" s="8" t="s">
        <v>661</v>
      </c>
      <c r="K167" s="8" t="s">
        <v>106</v>
      </c>
      <c r="L167" s="11" t="s">
        <v>24</v>
      </c>
      <c r="M167" s="15">
        <v>39786</v>
      </c>
      <c r="N167" s="1">
        <v>1</v>
      </c>
      <c r="O167" s="11" t="s">
        <v>25</v>
      </c>
      <c r="P167" s="11" t="s">
        <v>26</v>
      </c>
      <c r="Q167" s="11" t="s">
        <v>27</v>
      </c>
      <c r="R167" s="11" t="s">
        <v>28</v>
      </c>
      <c r="S167" s="15">
        <f t="shared" ca="1" si="7"/>
        <v>40470.53652858796</v>
      </c>
      <c r="T167" s="8">
        <f t="shared" ca="1" si="8"/>
        <v>22</v>
      </c>
      <c r="U167" s="11" t="s">
        <v>224</v>
      </c>
      <c r="V167" s="11" t="s">
        <v>42</v>
      </c>
      <c r="W167" s="11" t="s">
        <v>224</v>
      </c>
      <c r="X167" s="11" t="s">
        <v>224</v>
      </c>
      <c r="Y167" s="32" t="s">
        <v>42</v>
      </c>
      <c r="Z167" s="19">
        <v>24.827179999999998</v>
      </c>
      <c r="AA167" s="19">
        <v>67.125789999999995</v>
      </c>
      <c r="AC167" s="12" t="s">
        <v>2519</v>
      </c>
      <c r="AD167" s="25">
        <v>39804</v>
      </c>
      <c r="AH167" s="11" t="s">
        <v>158</v>
      </c>
    </row>
    <row r="168" spans="1:34">
      <c r="A168" s="1">
        <v>167</v>
      </c>
      <c r="B168" s="14">
        <v>39790</v>
      </c>
      <c r="C168" s="15">
        <v>39786</v>
      </c>
      <c r="E168" s="8" t="s">
        <v>662</v>
      </c>
      <c r="G168" s="11" t="s">
        <v>37</v>
      </c>
      <c r="H168" s="1">
        <v>19</v>
      </c>
      <c r="I168" s="11" t="s">
        <v>663</v>
      </c>
      <c r="J168" s="8" t="s">
        <v>664</v>
      </c>
      <c r="K168" s="8" t="s">
        <v>106</v>
      </c>
      <c r="L168" s="11" t="s">
        <v>24</v>
      </c>
      <c r="M168" s="15">
        <v>39786</v>
      </c>
      <c r="N168" s="1">
        <v>1</v>
      </c>
      <c r="O168" s="11" t="s">
        <v>40</v>
      </c>
      <c r="P168" s="11" t="s">
        <v>72</v>
      </c>
      <c r="Q168" s="11" t="s">
        <v>27</v>
      </c>
      <c r="R168" s="25" t="s">
        <v>2729</v>
      </c>
      <c r="S168" s="15">
        <f t="shared" ca="1" si="7"/>
        <v>40470.53652858796</v>
      </c>
      <c r="T168" s="8">
        <f t="shared" ca="1" si="8"/>
        <v>22</v>
      </c>
      <c r="U168" s="11" t="s">
        <v>42</v>
      </c>
      <c r="V168" s="11" t="s">
        <v>42</v>
      </c>
      <c r="W168" s="25" t="s">
        <v>42</v>
      </c>
      <c r="X168" s="25" t="s">
        <v>42</v>
      </c>
      <c r="Y168" s="32" t="s">
        <v>42</v>
      </c>
      <c r="Z168" s="19">
        <v>24.84158</v>
      </c>
      <c r="AA168" s="19">
        <v>67.076049999999995</v>
      </c>
      <c r="AC168" s="12" t="s">
        <v>2510</v>
      </c>
      <c r="AD168" s="25">
        <v>40399</v>
      </c>
      <c r="AH168" s="11" t="s">
        <v>44</v>
      </c>
    </row>
    <row r="169" spans="1:34" ht="12.75" customHeight="1">
      <c r="A169" s="1">
        <v>168</v>
      </c>
      <c r="B169" s="14">
        <v>39790</v>
      </c>
      <c r="C169" s="15">
        <v>39786</v>
      </c>
      <c r="E169" s="8" t="s">
        <v>665</v>
      </c>
      <c r="G169" s="11" t="s">
        <v>37</v>
      </c>
      <c r="H169" s="1">
        <v>15</v>
      </c>
      <c r="I169" s="11" t="s">
        <v>666</v>
      </c>
      <c r="J169" s="8" t="s">
        <v>667</v>
      </c>
      <c r="K169" s="8" t="s">
        <v>23</v>
      </c>
      <c r="L169" s="11" t="s">
        <v>24</v>
      </c>
      <c r="M169" s="15">
        <v>39786</v>
      </c>
      <c r="N169" s="1">
        <v>1</v>
      </c>
      <c r="O169" s="11" t="s">
        <v>25</v>
      </c>
      <c r="P169" s="11" t="s">
        <v>26</v>
      </c>
      <c r="Q169" s="11" t="s">
        <v>27</v>
      </c>
      <c r="R169" s="11" t="s">
        <v>28</v>
      </c>
      <c r="S169" s="15">
        <f t="shared" ca="1" si="7"/>
        <v>40470.53652858796</v>
      </c>
      <c r="T169" s="8">
        <f t="shared" ca="1" si="8"/>
        <v>22</v>
      </c>
      <c r="U169" s="25" t="s">
        <v>42</v>
      </c>
      <c r="V169" s="25" t="s">
        <v>56</v>
      </c>
      <c r="W169" s="11" t="s">
        <v>56</v>
      </c>
      <c r="X169" s="11" t="s">
        <v>56</v>
      </c>
      <c r="Y169" s="32" t="s">
        <v>42</v>
      </c>
      <c r="Z169" s="19">
        <v>24.827639999999999</v>
      </c>
      <c r="AA169" s="19">
        <v>67.230829999999997</v>
      </c>
      <c r="AC169" s="12" t="s">
        <v>915</v>
      </c>
      <c r="AD169" s="25">
        <v>40060</v>
      </c>
      <c r="AH169" s="11" t="s">
        <v>61</v>
      </c>
    </row>
    <row r="170" spans="1:34" ht="12.75" customHeight="1">
      <c r="A170" s="1">
        <v>169</v>
      </c>
      <c r="B170" s="14">
        <v>39791</v>
      </c>
      <c r="C170" s="15">
        <v>39787</v>
      </c>
      <c r="E170" s="8" t="s">
        <v>668</v>
      </c>
      <c r="G170" s="11" t="s">
        <v>37</v>
      </c>
      <c r="H170" s="1">
        <v>16</v>
      </c>
      <c r="I170" s="11" t="s">
        <v>509</v>
      </c>
      <c r="J170" s="8" t="s">
        <v>510</v>
      </c>
      <c r="K170" s="8" t="s">
        <v>106</v>
      </c>
      <c r="L170" s="11" t="s">
        <v>24</v>
      </c>
      <c r="M170" s="15">
        <v>39787</v>
      </c>
      <c r="N170" s="1">
        <v>1</v>
      </c>
      <c r="O170" s="11" t="s">
        <v>25</v>
      </c>
      <c r="P170" s="11" t="s">
        <v>26</v>
      </c>
      <c r="Q170" s="11" t="s">
        <v>27</v>
      </c>
      <c r="R170" s="11" t="s">
        <v>28</v>
      </c>
      <c r="S170" s="15">
        <f t="shared" ca="1" si="7"/>
        <v>40470.53652858796</v>
      </c>
      <c r="T170" s="8">
        <f t="shared" ca="1" si="8"/>
        <v>22</v>
      </c>
      <c r="U170" s="11" t="s">
        <v>56</v>
      </c>
      <c r="V170" s="11" t="s">
        <v>42</v>
      </c>
      <c r="W170" s="25" t="s">
        <v>2729</v>
      </c>
      <c r="X170" s="11" t="s">
        <v>224</v>
      </c>
      <c r="Y170" s="32" t="s">
        <v>42</v>
      </c>
      <c r="Z170" s="19">
        <v>24.81514</v>
      </c>
      <c r="AA170" s="19">
        <v>67.161529999999999</v>
      </c>
      <c r="AC170" s="12" t="s">
        <v>2514</v>
      </c>
      <c r="AD170" s="25">
        <v>40037</v>
      </c>
      <c r="AH170" s="11" t="s">
        <v>44</v>
      </c>
    </row>
    <row r="171" spans="1:34" ht="12.75" customHeight="1">
      <c r="A171" s="1">
        <v>170</v>
      </c>
      <c r="B171" s="14">
        <v>39790</v>
      </c>
      <c r="C171" s="15">
        <v>39794</v>
      </c>
      <c r="E171" s="8" t="s">
        <v>511</v>
      </c>
      <c r="G171" s="11" t="s">
        <v>20</v>
      </c>
      <c r="H171" s="1">
        <v>30</v>
      </c>
      <c r="I171" s="11" t="s">
        <v>512</v>
      </c>
      <c r="J171" s="8" t="s">
        <v>513</v>
      </c>
      <c r="K171" s="8" t="s">
        <v>253</v>
      </c>
      <c r="L171" s="11" t="s">
        <v>24</v>
      </c>
      <c r="M171" s="15">
        <v>39794</v>
      </c>
      <c r="N171" s="1">
        <v>1</v>
      </c>
      <c r="O171" s="11" t="s">
        <v>25</v>
      </c>
      <c r="P171" s="11" t="s">
        <v>26</v>
      </c>
      <c r="Q171" s="11" t="s">
        <v>27</v>
      </c>
      <c r="R171" s="25" t="s">
        <v>2731</v>
      </c>
      <c r="S171" s="15">
        <f t="shared" ca="1" si="7"/>
        <v>40470.53652858796</v>
      </c>
      <c r="T171" s="8">
        <f t="shared" ca="1" si="8"/>
        <v>22</v>
      </c>
      <c r="U171" s="11" t="s">
        <v>56</v>
      </c>
      <c r="V171" s="11" t="s">
        <v>42</v>
      </c>
      <c r="W171" s="11" t="s">
        <v>224</v>
      </c>
      <c r="X171" s="11" t="s">
        <v>224</v>
      </c>
      <c r="Y171" s="32" t="s">
        <v>42</v>
      </c>
      <c r="Z171" s="19">
        <v>24.836300000000001</v>
      </c>
      <c r="AA171" s="19">
        <v>67.149600000000007</v>
      </c>
      <c r="AC171" s="12" t="s">
        <v>2519</v>
      </c>
      <c r="AD171" s="25">
        <v>39965</v>
      </c>
      <c r="AH171" s="11" t="s">
        <v>158</v>
      </c>
    </row>
    <row r="172" spans="1:34" ht="12.75" customHeight="1">
      <c r="A172" s="1">
        <v>171</v>
      </c>
      <c r="B172" s="14">
        <v>39790</v>
      </c>
      <c r="C172" s="15">
        <v>39798</v>
      </c>
      <c r="E172" s="8" t="s">
        <v>514</v>
      </c>
      <c r="G172" s="11" t="s">
        <v>20</v>
      </c>
      <c r="H172" s="1">
        <v>48</v>
      </c>
      <c r="I172" s="11" t="s">
        <v>515</v>
      </c>
      <c r="J172" s="8" t="s">
        <v>516</v>
      </c>
      <c r="K172" s="8" t="s">
        <v>253</v>
      </c>
      <c r="L172" s="11" t="s">
        <v>24</v>
      </c>
      <c r="M172" s="15">
        <v>39798</v>
      </c>
      <c r="N172" s="1">
        <v>1</v>
      </c>
      <c r="O172" s="11" t="s">
        <v>25</v>
      </c>
      <c r="P172" s="11" t="s">
        <v>26</v>
      </c>
      <c r="Q172" s="11" t="s">
        <v>27</v>
      </c>
      <c r="R172" s="11" t="s">
        <v>28</v>
      </c>
      <c r="S172" s="15">
        <f t="shared" ca="1" si="7"/>
        <v>40470.53652858796</v>
      </c>
      <c r="T172" s="8">
        <f t="shared" ca="1" si="8"/>
        <v>22</v>
      </c>
      <c r="U172" s="11" t="s">
        <v>56</v>
      </c>
      <c r="V172" s="11" t="s">
        <v>42</v>
      </c>
      <c r="W172" s="11" t="s">
        <v>56</v>
      </c>
      <c r="X172" s="11" t="s">
        <v>56</v>
      </c>
      <c r="Y172" s="32" t="s">
        <v>42</v>
      </c>
      <c r="Z172" s="19">
        <v>24.816569999999999</v>
      </c>
      <c r="AA172" s="19">
        <v>67.152940000000001</v>
      </c>
      <c r="AC172" s="12" t="s">
        <v>61</v>
      </c>
      <c r="AD172" s="25">
        <v>40044</v>
      </c>
      <c r="AH172" s="11" t="s">
        <v>61</v>
      </c>
    </row>
    <row r="173" spans="1:34" ht="12.75" customHeight="1">
      <c r="A173" s="1">
        <v>172</v>
      </c>
      <c r="B173" s="14">
        <v>39791</v>
      </c>
      <c r="C173" s="15">
        <v>39798</v>
      </c>
      <c r="E173" s="8" t="s">
        <v>517</v>
      </c>
      <c r="G173" s="11" t="s">
        <v>37</v>
      </c>
      <c r="H173" s="1">
        <v>25</v>
      </c>
      <c r="I173" s="11" t="s">
        <v>518</v>
      </c>
      <c r="J173" s="8" t="s">
        <v>519</v>
      </c>
      <c r="K173" s="8" t="s">
        <v>48</v>
      </c>
      <c r="L173" s="11" t="s">
        <v>24</v>
      </c>
      <c r="M173" s="15">
        <v>39798</v>
      </c>
      <c r="N173" s="1">
        <v>1</v>
      </c>
      <c r="O173" s="11" t="s">
        <v>25</v>
      </c>
      <c r="P173" s="11" t="s">
        <v>26</v>
      </c>
      <c r="Q173" s="11" t="s">
        <v>27</v>
      </c>
      <c r="R173" s="11" t="s">
        <v>28</v>
      </c>
      <c r="S173" s="15">
        <f t="shared" ca="1" si="7"/>
        <v>40470.53652858796</v>
      </c>
      <c r="T173" s="8">
        <f t="shared" ca="1" si="8"/>
        <v>22</v>
      </c>
      <c r="U173" s="11" t="s">
        <v>56</v>
      </c>
      <c r="V173" s="25" t="s">
        <v>42</v>
      </c>
      <c r="W173" s="11" t="s">
        <v>56</v>
      </c>
      <c r="X173" s="11" t="s">
        <v>224</v>
      </c>
      <c r="Y173" s="32" t="s">
        <v>42</v>
      </c>
      <c r="Z173" s="19">
        <v>24.816849999999999</v>
      </c>
      <c r="AA173" s="19">
        <v>67.120729999999995</v>
      </c>
      <c r="AC173" s="12" t="s">
        <v>2510</v>
      </c>
      <c r="AD173" s="25">
        <v>40043</v>
      </c>
      <c r="AH173" s="11" t="s">
        <v>44</v>
      </c>
    </row>
    <row r="174" spans="1:34" ht="12.75" customHeight="1">
      <c r="A174" s="1">
        <v>173</v>
      </c>
      <c r="B174" s="14">
        <v>39792</v>
      </c>
      <c r="C174" s="15">
        <v>39800</v>
      </c>
      <c r="E174" s="8" t="s">
        <v>520</v>
      </c>
      <c r="G174" s="11" t="s">
        <v>20</v>
      </c>
      <c r="H174" s="1">
        <v>43</v>
      </c>
      <c r="I174" s="11" t="s">
        <v>521</v>
      </c>
      <c r="J174" s="8" t="s">
        <v>522</v>
      </c>
      <c r="K174" s="8" t="s">
        <v>253</v>
      </c>
      <c r="L174" s="11" t="s">
        <v>24</v>
      </c>
      <c r="M174" s="15">
        <v>39800</v>
      </c>
      <c r="N174" s="1">
        <v>2</v>
      </c>
      <c r="O174" s="11" t="s">
        <v>25</v>
      </c>
      <c r="P174" s="11" t="s">
        <v>26</v>
      </c>
      <c r="Q174" s="11" t="s">
        <v>381</v>
      </c>
      <c r="R174" s="11" t="s">
        <v>28</v>
      </c>
      <c r="S174" s="15">
        <f t="shared" ca="1" si="7"/>
        <v>40470.53652858796</v>
      </c>
      <c r="T174" s="8">
        <f t="shared" ca="1" si="8"/>
        <v>22</v>
      </c>
      <c r="U174" s="25" t="s">
        <v>42</v>
      </c>
      <c r="V174" s="25" t="s">
        <v>56</v>
      </c>
      <c r="W174" s="11" t="s">
        <v>56</v>
      </c>
      <c r="X174" s="11" t="s">
        <v>56</v>
      </c>
      <c r="Y174" s="32" t="s">
        <v>42</v>
      </c>
      <c r="Z174" s="19">
        <v>24.822939999999999</v>
      </c>
      <c r="AA174" s="19">
        <v>67.125159999999994</v>
      </c>
      <c r="AC174" s="12" t="s">
        <v>915</v>
      </c>
      <c r="AD174" s="25">
        <v>40045</v>
      </c>
      <c r="AH174" s="11" t="s">
        <v>61</v>
      </c>
    </row>
    <row r="175" spans="1:34" ht="12.75" customHeight="1">
      <c r="A175" s="1">
        <v>174</v>
      </c>
      <c r="B175" s="14">
        <v>39793</v>
      </c>
      <c r="C175" s="15">
        <v>39805</v>
      </c>
      <c r="E175" s="8" t="s">
        <v>523</v>
      </c>
      <c r="G175" s="11" t="s">
        <v>37</v>
      </c>
      <c r="H175" s="1">
        <v>25</v>
      </c>
      <c r="I175" s="11" t="s">
        <v>524</v>
      </c>
      <c r="J175" s="8" t="s">
        <v>525</v>
      </c>
      <c r="K175" s="8" t="s">
        <v>223</v>
      </c>
      <c r="L175" s="11" t="s">
        <v>24</v>
      </c>
      <c r="M175" s="15">
        <v>39805</v>
      </c>
      <c r="N175" s="1">
        <v>1</v>
      </c>
      <c r="O175" s="11" t="s">
        <v>25</v>
      </c>
      <c r="P175" s="11" t="s">
        <v>26</v>
      </c>
      <c r="Q175" s="11" t="s">
        <v>27</v>
      </c>
      <c r="R175" s="11" t="s">
        <v>28</v>
      </c>
      <c r="S175" s="15">
        <f t="shared" ca="1" si="7"/>
        <v>40470.53652858796</v>
      </c>
      <c r="T175" s="8">
        <f t="shared" ca="1" si="8"/>
        <v>22</v>
      </c>
      <c r="U175" s="25" t="s">
        <v>42</v>
      </c>
      <c r="V175" s="25" t="s">
        <v>56</v>
      </c>
      <c r="W175" s="11" t="s">
        <v>56</v>
      </c>
      <c r="X175" s="11" t="s">
        <v>56</v>
      </c>
      <c r="Y175" s="32" t="s">
        <v>42</v>
      </c>
      <c r="Z175" s="19">
        <v>24.822209999999998</v>
      </c>
      <c r="AA175" s="19">
        <v>67.151150000000001</v>
      </c>
      <c r="AC175" s="12" t="s">
        <v>915</v>
      </c>
      <c r="AD175" s="25">
        <v>40092</v>
      </c>
      <c r="AH175" s="11" t="s">
        <v>61</v>
      </c>
    </row>
    <row r="176" spans="1:34" ht="12.75" customHeight="1">
      <c r="A176" s="1">
        <v>175</v>
      </c>
      <c r="B176" s="14">
        <v>39794</v>
      </c>
      <c r="C176" s="15">
        <v>39806</v>
      </c>
      <c r="E176" s="8" t="s">
        <v>526</v>
      </c>
      <c r="G176" s="11" t="s">
        <v>37</v>
      </c>
      <c r="H176" s="1">
        <v>20</v>
      </c>
      <c r="I176" s="11" t="s">
        <v>527</v>
      </c>
      <c r="J176" s="8" t="s">
        <v>528</v>
      </c>
      <c r="K176" s="8" t="s">
        <v>39</v>
      </c>
      <c r="L176" s="11" t="s">
        <v>24</v>
      </c>
      <c r="M176" s="15">
        <v>39806</v>
      </c>
      <c r="N176" s="1">
        <v>1</v>
      </c>
      <c r="O176" s="11" t="s">
        <v>25</v>
      </c>
      <c r="P176" s="11" t="s">
        <v>26</v>
      </c>
      <c r="Q176" s="11" t="s">
        <v>27</v>
      </c>
      <c r="R176" s="11" t="s">
        <v>60</v>
      </c>
      <c r="S176" s="15">
        <f t="shared" ca="1" si="7"/>
        <v>40470.53652858796</v>
      </c>
      <c r="T176" s="8">
        <f t="shared" ca="1" si="8"/>
        <v>22</v>
      </c>
      <c r="U176" s="11" t="s">
        <v>224</v>
      </c>
      <c r="V176" s="25" t="s">
        <v>56</v>
      </c>
      <c r="W176" s="11" t="s">
        <v>224</v>
      </c>
      <c r="X176" s="11" t="s">
        <v>224</v>
      </c>
      <c r="Y176" s="32" t="s">
        <v>42</v>
      </c>
      <c r="Z176" s="19">
        <v>24.825949999999999</v>
      </c>
      <c r="AA176" s="19">
        <v>67.126630000000006</v>
      </c>
      <c r="AC176" s="12" t="s">
        <v>723</v>
      </c>
      <c r="AD176" s="25">
        <v>40248</v>
      </c>
      <c r="AH176" s="11" t="s">
        <v>35</v>
      </c>
    </row>
    <row r="177" spans="1:34" ht="12.75" customHeight="1">
      <c r="A177" s="1">
        <v>176</v>
      </c>
      <c r="B177" s="14">
        <v>39795</v>
      </c>
      <c r="C177" s="15">
        <v>39806</v>
      </c>
      <c r="E177" s="8" t="s">
        <v>724</v>
      </c>
      <c r="G177" s="11" t="s">
        <v>20</v>
      </c>
      <c r="H177" s="1">
        <v>15</v>
      </c>
      <c r="I177" s="11" t="s">
        <v>725</v>
      </c>
      <c r="J177" s="8" t="s">
        <v>726</v>
      </c>
      <c r="K177" s="8" t="s">
        <v>39</v>
      </c>
      <c r="L177" s="11" t="s">
        <v>24</v>
      </c>
      <c r="M177" s="15">
        <v>39806</v>
      </c>
      <c r="N177" s="1">
        <v>1</v>
      </c>
      <c r="O177" s="11" t="s">
        <v>25</v>
      </c>
      <c r="P177" s="11" t="s">
        <v>26</v>
      </c>
      <c r="Q177" s="11" t="s">
        <v>27</v>
      </c>
      <c r="R177" s="11" t="s">
        <v>60</v>
      </c>
      <c r="S177" s="15">
        <f t="shared" ca="1" si="7"/>
        <v>40470.53652858796</v>
      </c>
      <c r="T177" s="8">
        <f t="shared" ca="1" si="8"/>
        <v>22</v>
      </c>
      <c r="U177" s="25" t="s">
        <v>2729</v>
      </c>
      <c r="V177" s="11" t="s">
        <v>42</v>
      </c>
      <c r="W177" s="11" t="s">
        <v>224</v>
      </c>
      <c r="X177" s="11" t="s">
        <v>224</v>
      </c>
      <c r="Y177" s="32" t="s">
        <v>42</v>
      </c>
      <c r="AC177" s="12" t="s">
        <v>727</v>
      </c>
      <c r="AD177" s="25">
        <v>39835</v>
      </c>
      <c r="AH177" s="11" t="s">
        <v>35</v>
      </c>
    </row>
    <row r="178" spans="1:34">
      <c r="A178" s="1">
        <v>177</v>
      </c>
      <c r="B178" s="14">
        <v>39796</v>
      </c>
      <c r="C178" s="15">
        <v>39806</v>
      </c>
      <c r="E178" s="8" t="s">
        <v>728</v>
      </c>
      <c r="G178" s="11" t="s">
        <v>20</v>
      </c>
      <c r="H178" s="1">
        <v>61</v>
      </c>
      <c r="I178" s="11" t="s">
        <v>729</v>
      </c>
      <c r="J178" s="8" t="s">
        <v>730</v>
      </c>
      <c r="K178" s="8" t="s">
        <v>71</v>
      </c>
      <c r="L178" s="11" t="s">
        <v>24</v>
      </c>
      <c r="M178" s="15">
        <v>39806</v>
      </c>
      <c r="N178" s="1">
        <v>1</v>
      </c>
      <c r="O178" s="11" t="s">
        <v>40</v>
      </c>
      <c r="P178" s="11" t="s">
        <v>109</v>
      </c>
      <c r="Q178" s="11" t="s">
        <v>27</v>
      </c>
      <c r="R178" s="25" t="s">
        <v>56</v>
      </c>
      <c r="S178" s="15">
        <f t="shared" ca="1" si="7"/>
        <v>40470.53652858796</v>
      </c>
      <c r="T178" s="8">
        <f t="shared" ca="1" si="8"/>
        <v>22</v>
      </c>
      <c r="U178" s="11" t="s">
        <v>42</v>
      </c>
      <c r="V178" s="11" t="s">
        <v>42</v>
      </c>
      <c r="W178" s="11" t="s">
        <v>42</v>
      </c>
      <c r="X178" s="11" t="s">
        <v>42</v>
      </c>
      <c r="Y178" s="32" t="s">
        <v>42</v>
      </c>
      <c r="Z178" s="19">
        <v>24.826440000000002</v>
      </c>
      <c r="AA178" s="19">
        <v>67.126469999999998</v>
      </c>
      <c r="AC178" s="12" t="s">
        <v>2510</v>
      </c>
      <c r="AD178" s="25">
        <v>40058</v>
      </c>
      <c r="AH178" s="11" t="s">
        <v>44</v>
      </c>
    </row>
    <row r="179" spans="1:34" ht="12.75" customHeight="1">
      <c r="A179" s="1">
        <v>178</v>
      </c>
      <c r="B179" s="14">
        <v>39797</v>
      </c>
      <c r="C179" s="15">
        <v>39806</v>
      </c>
      <c r="E179" s="8" t="s">
        <v>731</v>
      </c>
      <c r="G179" s="11" t="s">
        <v>20</v>
      </c>
      <c r="H179" s="1">
        <v>34</v>
      </c>
      <c r="I179" s="11" t="s">
        <v>732</v>
      </c>
      <c r="J179" s="8" t="s">
        <v>733</v>
      </c>
      <c r="K179" s="8" t="s">
        <v>48</v>
      </c>
      <c r="L179" s="11" t="s">
        <v>24</v>
      </c>
      <c r="M179" s="15">
        <v>39806</v>
      </c>
      <c r="N179" s="1">
        <v>1</v>
      </c>
      <c r="O179" s="11" t="s">
        <v>25</v>
      </c>
      <c r="P179" s="11" t="s">
        <v>26</v>
      </c>
      <c r="Q179" s="11" t="s">
        <v>27</v>
      </c>
      <c r="R179" s="11" t="s">
        <v>65</v>
      </c>
      <c r="S179" s="15">
        <f t="shared" ca="1" si="7"/>
        <v>40470.53652858796</v>
      </c>
      <c r="T179" s="8">
        <f t="shared" ca="1" si="8"/>
        <v>22</v>
      </c>
      <c r="U179" s="11" t="s">
        <v>56</v>
      </c>
      <c r="V179" s="11" t="s">
        <v>42</v>
      </c>
      <c r="W179" s="25" t="s">
        <v>2729</v>
      </c>
      <c r="X179" s="25" t="s">
        <v>2729</v>
      </c>
      <c r="Y179" s="32" t="s">
        <v>42</v>
      </c>
      <c r="Z179" s="19">
        <v>24.854769999999998</v>
      </c>
      <c r="AA179" s="19">
        <v>67.083799999999997</v>
      </c>
      <c r="AC179" s="12" t="s">
        <v>2510</v>
      </c>
      <c r="AD179" s="25">
        <v>40399</v>
      </c>
      <c r="AH179" s="11" t="s">
        <v>44</v>
      </c>
    </row>
    <row r="180" spans="1:34" ht="12.75" customHeight="1">
      <c r="A180" s="1">
        <v>179</v>
      </c>
      <c r="B180" s="14">
        <v>39822</v>
      </c>
      <c r="C180" s="15">
        <v>39815</v>
      </c>
      <c r="E180" s="8" t="s">
        <v>734</v>
      </c>
      <c r="G180" s="11" t="s">
        <v>20</v>
      </c>
      <c r="H180" s="1">
        <v>64</v>
      </c>
      <c r="I180" s="11" t="s">
        <v>735</v>
      </c>
      <c r="J180" s="8" t="s">
        <v>736</v>
      </c>
      <c r="K180" s="8" t="s">
        <v>71</v>
      </c>
      <c r="L180" s="11" t="s">
        <v>24</v>
      </c>
      <c r="M180" s="15">
        <v>39815</v>
      </c>
      <c r="N180" s="1">
        <v>1</v>
      </c>
      <c r="O180" s="11" t="s">
        <v>25</v>
      </c>
      <c r="P180" s="11" t="s">
        <v>26</v>
      </c>
      <c r="Q180" s="11" t="s">
        <v>27</v>
      </c>
      <c r="R180" s="25" t="s">
        <v>42</v>
      </c>
      <c r="S180" s="15">
        <f t="shared" ca="1" si="7"/>
        <v>40470.53652858796</v>
      </c>
      <c r="T180" s="8">
        <f t="shared" ca="1" si="8"/>
        <v>21</v>
      </c>
      <c r="U180" s="11" t="s">
        <v>56</v>
      </c>
      <c r="V180" s="11" t="s">
        <v>42</v>
      </c>
      <c r="W180" s="11" t="s">
        <v>56</v>
      </c>
      <c r="X180" s="11" t="s">
        <v>224</v>
      </c>
      <c r="Y180" s="32" t="s">
        <v>42</v>
      </c>
      <c r="Z180" s="19">
        <v>24.81955</v>
      </c>
      <c r="AA180" s="19">
        <v>67.163799999999995</v>
      </c>
      <c r="AC180" s="12" t="s">
        <v>915</v>
      </c>
      <c r="AD180" s="25">
        <v>40067</v>
      </c>
      <c r="AH180" s="11" t="s">
        <v>61</v>
      </c>
    </row>
    <row r="181" spans="1:34">
      <c r="A181" s="1">
        <v>180</v>
      </c>
      <c r="B181" s="14">
        <v>39822</v>
      </c>
      <c r="C181" s="15">
        <v>39814</v>
      </c>
      <c r="E181" s="8" t="s">
        <v>734</v>
      </c>
      <c r="G181" s="11" t="s">
        <v>20</v>
      </c>
      <c r="H181" s="1">
        <v>15</v>
      </c>
      <c r="I181" s="11" t="s">
        <v>737</v>
      </c>
      <c r="K181" s="8" t="s">
        <v>39</v>
      </c>
      <c r="L181" s="11" t="s">
        <v>24</v>
      </c>
      <c r="M181" s="15">
        <v>39814</v>
      </c>
      <c r="N181" s="1">
        <v>1</v>
      </c>
      <c r="O181" s="11" t="s">
        <v>40</v>
      </c>
      <c r="P181" s="11" t="s">
        <v>109</v>
      </c>
      <c r="Q181" s="11" t="s">
        <v>27</v>
      </c>
      <c r="R181" s="25" t="s">
        <v>56</v>
      </c>
      <c r="S181" s="15">
        <f t="shared" ca="1" si="7"/>
        <v>40470.53652858796</v>
      </c>
      <c r="T181" s="8">
        <f t="shared" ca="1" si="8"/>
        <v>21</v>
      </c>
      <c r="U181" s="11" t="s">
        <v>42</v>
      </c>
      <c r="V181" s="11" t="s">
        <v>42</v>
      </c>
      <c r="W181" s="11" t="s">
        <v>42</v>
      </c>
      <c r="X181" s="11" t="s">
        <v>42</v>
      </c>
      <c r="Y181" s="32" t="s">
        <v>42</v>
      </c>
      <c r="Z181" s="19">
        <v>24.823429999999998</v>
      </c>
      <c r="AA181" s="19">
        <v>67.144970000000001</v>
      </c>
      <c r="AC181" s="12" t="s">
        <v>2522</v>
      </c>
      <c r="AD181" s="25" t="s">
        <v>2537</v>
      </c>
      <c r="AH181" s="11" t="s">
        <v>738</v>
      </c>
    </row>
    <row r="182" spans="1:34" ht="12.75" customHeight="1">
      <c r="A182" s="1">
        <v>181</v>
      </c>
      <c r="B182" s="14">
        <v>39823</v>
      </c>
      <c r="C182" s="15">
        <v>39814</v>
      </c>
      <c r="E182" s="8" t="s">
        <v>739</v>
      </c>
      <c r="G182" s="11" t="s">
        <v>37</v>
      </c>
      <c r="H182" s="1">
        <v>25</v>
      </c>
      <c r="I182" s="11" t="s">
        <v>740</v>
      </c>
      <c r="J182" s="8" t="s">
        <v>741</v>
      </c>
      <c r="K182" s="8" t="s">
        <v>39</v>
      </c>
      <c r="L182" s="11" t="s">
        <v>24</v>
      </c>
      <c r="M182" s="15">
        <v>39814</v>
      </c>
      <c r="N182" s="1">
        <v>1</v>
      </c>
      <c r="O182" s="11" t="s">
        <v>25</v>
      </c>
      <c r="P182" s="11" t="s">
        <v>26</v>
      </c>
      <c r="Q182" s="11" t="s">
        <v>27</v>
      </c>
      <c r="R182" s="11" t="s">
        <v>28</v>
      </c>
      <c r="S182" s="15">
        <f t="shared" ca="1" si="7"/>
        <v>40470.53652858796</v>
      </c>
      <c r="T182" s="8">
        <f t="shared" ca="1" si="8"/>
        <v>21</v>
      </c>
      <c r="U182" s="11" t="s">
        <v>224</v>
      </c>
      <c r="V182" s="11" t="s">
        <v>42</v>
      </c>
      <c r="W182" s="11" t="s">
        <v>224</v>
      </c>
      <c r="X182" s="11" t="s">
        <v>224</v>
      </c>
      <c r="Y182" s="32" t="s">
        <v>42</v>
      </c>
      <c r="AC182" s="12" t="s">
        <v>2511</v>
      </c>
      <c r="AD182" s="25">
        <v>40218</v>
      </c>
      <c r="AH182" s="11" t="s">
        <v>122</v>
      </c>
    </row>
    <row r="183" spans="1:34">
      <c r="A183" s="1">
        <v>182</v>
      </c>
      <c r="B183" s="14">
        <v>39822</v>
      </c>
      <c r="C183" s="15">
        <v>39814</v>
      </c>
      <c r="E183" s="8" t="s">
        <v>742</v>
      </c>
      <c r="G183" s="11" t="s">
        <v>37</v>
      </c>
      <c r="H183" s="1">
        <v>20</v>
      </c>
      <c r="I183" s="11" t="s">
        <v>743</v>
      </c>
      <c r="J183" s="8" t="s">
        <v>744</v>
      </c>
      <c r="K183" s="8" t="s">
        <v>223</v>
      </c>
      <c r="L183" s="11" t="s">
        <v>24</v>
      </c>
      <c r="M183" s="15">
        <v>39819</v>
      </c>
      <c r="N183" s="1">
        <v>2</v>
      </c>
      <c r="O183" s="11" t="s">
        <v>40</v>
      </c>
      <c r="P183" s="11" t="s">
        <v>265</v>
      </c>
      <c r="Q183" s="11" t="s">
        <v>381</v>
      </c>
      <c r="R183" s="25" t="s">
        <v>56</v>
      </c>
      <c r="S183" s="15">
        <f t="shared" ca="1" si="7"/>
        <v>40470.53652858796</v>
      </c>
      <c r="T183" s="8">
        <f t="shared" ca="1" si="8"/>
        <v>21</v>
      </c>
      <c r="U183" s="11" t="s">
        <v>42</v>
      </c>
      <c r="V183" s="11" t="s">
        <v>42</v>
      </c>
      <c r="W183" s="11" t="s">
        <v>42</v>
      </c>
      <c r="X183" s="11" t="s">
        <v>42</v>
      </c>
      <c r="Y183" s="32" t="s">
        <v>42</v>
      </c>
      <c r="Z183" s="19">
        <v>24.842970000000001</v>
      </c>
      <c r="AA183" s="19">
        <v>67.176169999999999</v>
      </c>
      <c r="AC183" s="12" t="s">
        <v>2516</v>
      </c>
      <c r="AD183" s="25">
        <v>40430</v>
      </c>
      <c r="AH183" s="11" t="s">
        <v>44</v>
      </c>
    </row>
    <row r="184" spans="1:34" s="37" customFormat="1">
      <c r="A184" s="1">
        <v>183</v>
      </c>
      <c r="B184" s="29">
        <v>39822</v>
      </c>
      <c r="C184" s="30">
        <v>39819</v>
      </c>
      <c r="D184" s="30"/>
      <c r="E184" s="31" t="s">
        <v>745</v>
      </c>
      <c r="F184" s="31"/>
      <c r="G184" s="32" t="s">
        <v>20</v>
      </c>
      <c r="H184" s="33">
        <v>13</v>
      </c>
      <c r="I184" s="34" t="s">
        <v>586</v>
      </c>
      <c r="J184" s="31" t="s">
        <v>587</v>
      </c>
      <c r="K184" s="31" t="s">
        <v>39</v>
      </c>
      <c r="L184" s="32" t="s">
        <v>24</v>
      </c>
      <c r="M184" s="30">
        <v>39819</v>
      </c>
      <c r="N184" s="33">
        <v>1</v>
      </c>
      <c r="O184" s="32" t="s">
        <v>40</v>
      </c>
      <c r="P184" s="32" t="s">
        <v>72</v>
      </c>
      <c r="Q184" s="32" t="s">
        <v>27</v>
      </c>
      <c r="R184" s="32" t="s">
        <v>42</v>
      </c>
      <c r="S184" s="30">
        <f t="shared" ca="1" si="7"/>
        <v>40470.53652858796</v>
      </c>
      <c r="T184" s="31">
        <f t="shared" ca="1" si="8"/>
        <v>21</v>
      </c>
      <c r="U184" s="32" t="s">
        <v>42</v>
      </c>
      <c r="V184" s="32" t="s">
        <v>42</v>
      </c>
      <c r="W184" s="32" t="s">
        <v>42</v>
      </c>
      <c r="X184" s="32" t="s">
        <v>42</v>
      </c>
      <c r="Y184" s="32" t="s">
        <v>42</v>
      </c>
      <c r="Z184" s="35">
        <v>24.834060000000001</v>
      </c>
      <c r="AA184" s="35">
        <v>67.126980000000003</v>
      </c>
      <c r="AB184" s="32"/>
      <c r="AC184" s="36" t="s">
        <v>2516</v>
      </c>
      <c r="AD184" s="32">
        <v>40430</v>
      </c>
      <c r="AE184" s="32"/>
      <c r="AF184" s="32"/>
      <c r="AG184" s="32"/>
      <c r="AH184" s="32" t="s">
        <v>44</v>
      </c>
    </row>
    <row r="185" spans="1:34" ht="12.75" customHeight="1">
      <c r="A185" s="1">
        <v>184</v>
      </c>
      <c r="B185" s="14">
        <v>39822</v>
      </c>
      <c r="C185" s="15">
        <v>39827</v>
      </c>
      <c r="E185" s="8" t="s">
        <v>588</v>
      </c>
      <c r="G185" s="11" t="s">
        <v>37</v>
      </c>
      <c r="H185" s="1">
        <v>20</v>
      </c>
      <c r="I185" s="11" t="s">
        <v>589</v>
      </c>
      <c r="J185" s="8" t="s">
        <v>590</v>
      </c>
      <c r="K185" s="8" t="s">
        <v>48</v>
      </c>
      <c r="L185" s="11" t="s">
        <v>24</v>
      </c>
      <c r="M185" s="15">
        <v>39827</v>
      </c>
      <c r="N185" s="1">
        <v>1</v>
      </c>
      <c r="O185" s="11" t="s">
        <v>25</v>
      </c>
      <c r="P185" s="11" t="s">
        <v>26</v>
      </c>
      <c r="Q185" s="11" t="s">
        <v>27</v>
      </c>
      <c r="R185" s="25" t="s">
        <v>28</v>
      </c>
      <c r="S185" s="15">
        <f t="shared" ca="1" si="7"/>
        <v>40470.53652858796</v>
      </c>
      <c r="T185" s="8">
        <f t="shared" ca="1" si="8"/>
        <v>21</v>
      </c>
      <c r="U185" s="25" t="s">
        <v>56</v>
      </c>
      <c r="V185" s="11" t="s">
        <v>42</v>
      </c>
      <c r="W185" s="25" t="s">
        <v>56</v>
      </c>
      <c r="X185" s="25" t="s">
        <v>56</v>
      </c>
      <c r="Y185" s="32" t="s">
        <v>42</v>
      </c>
      <c r="Z185" s="19">
        <v>24.828420000000001</v>
      </c>
      <c r="AA185" s="19">
        <v>67.130250000000004</v>
      </c>
      <c r="AC185" s="12" t="s">
        <v>2523</v>
      </c>
      <c r="AD185" s="25">
        <v>39845</v>
      </c>
      <c r="AH185" s="11" t="s">
        <v>35</v>
      </c>
    </row>
    <row r="186" spans="1:34" ht="12.75" customHeight="1">
      <c r="A186" s="1">
        <v>185</v>
      </c>
      <c r="B186" s="14">
        <v>39822</v>
      </c>
      <c r="C186" s="15">
        <v>39827</v>
      </c>
      <c r="E186" s="8" t="s">
        <v>591</v>
      </c>
      <c r="G186" s="11" t="s">
        <v>37</v>
      </c>
      <c r="H186" s="1">
        <v>47</v>
      </c>
      <c r="I186" s="11" t="s">
        <v>592</v>
      </c>
      <c r="J186" s="8" t="s">
        <v>593</v>
      </c>
      <c r="K186" s="8" t="s">
        <v>223</v>
      </c>
      <c r="L186" s="11" t="s">
        <v>24</v>
      </c>
      <c r="M186" s="15">
        <v>39827</v>
      </c>
      <c r="N186" s="1">
        <v>1</v>
      </c>
      <c r="O186" s="11" t="s">
        <v>25</v>
      </c>
      <c r="P186" s="11" t="s">
        <v>26</v>
      </c>
      <c r="Q186" s="11" t="s">
        <v>27</v>
      </c>
      <c r="R186" s="11" t="s">
        <v>28</v>
      </c>
      <c r="S186" s="15">
        <f t="shared" ca="1" si="7"/>
        <v>40470.53652858796</v>
      </c>
      <c r="T186" s="8">
        <f t="shared" ca="1" si="8"/>
        <v>21</v>
      </c>
      <c r="U186" s="11" t="s">
        <v>56</v>
      </c>
      <c r="V186" s="11" t="s">
        <v>42</v>
      </c>
      <c r="W186" s="11" t="s">
        <v>56</v>
      </c>
      <c r="X186" s="11" t="s">
        <v>56</v>
      </c>
      <c r="Y186" s="32" t="s">
        <v>42</v>
      </c>
      <c r="Z186" s="19">
        <v>24.80997</v>
      </c>
      <c r="AA186" s="19">
        <v>67.168030000000002</v>
      </c>
      <c r="AC186" s="12" t="s">
        <v>915</v>
      </c>
      <c r="AD186" s="25">
        <v>40072</v>
      </c>
      <c r="AH186" s="11" t="s">
        <v>61</v>
      </c>
    </row>
    <row r="187" spans="1:34" s="37" customFormat="1">
      <c r="A187" s="1">
        <v>186</v>
      </c>
      <c r="B187" s="29">
        <v>39822</v>
      </c>
      <c r="C187" s="30">
        <v>39828</v>
      </c>
      <c r="D187" s="30"/>
      <c r="E187" s="38" t="s">
        <v>594</v>
      </c>
      <c r="F187" s="31"/>
      <c r="G187" s="32" t="s">
        <v>20</v>
      </c>
      <c r="H187" s="33">
        <v>16</v>
      </c>
      <c r="I187" s="34" t="s">
        <v>595</v>
      </c>
      <c r="J187" s="31" t="s">
        <v>596</v>
      </c>
      <c r="K187" s="31" t="s">
        <v>106</v>
      </c>
      <c r="L187" s="32" t="s">
        <v>24</v>
      </c>
      <c r="M187" s="30">
        <v>39828</v>
      </c>
      <c r="N187" s="33">
        <v>1</v>
      </c>
      <c r="O187" s="32" t="s">
        <v>40</v>
      </c>
      <c r="P187" s="32" t="s">
        <v>72</v>
      </c>
      <c r="Q187" s="32" t="s">
        <v>27</v>
      </c>
      <c r="R187" s="32" t="s">
        <v>56</v>
      </c>
      <c r="S187" s="30">
        <f t="shared" ca="1" si="7"/>
        <v>40470.53652858796</v>
      </c>
      <c r="T187" s="31">
        <f t="shared" ca="1" si="8"/>
        <v>21</v>
      </c>
      <c r="U187" s="32" t="s">
        <v>42</v>
      </c>
      <c r="V187" s="32" t="s">
        <v>42</v>
      </c>
      <c r="W187" s="32" t="s">
        <v>42</v>
      </c>
      <c r="X187" s="32" t="s">
        <v>42</v>
      </c>
      <c r="Y187" s="32" t="s">
        <v>42</v>
      </c>
      <c r="Z187" s="35">
        <v>24.815049999999999</v>
      </c>
      <c r="AA187" s="35">
        <v>67.109250000000003</v>
      </c>
      <c r="AB187" s="32"/>
      <c r="AC187" s="12" t="s">
        <v>2516</v>
      </c>
      <c r="AD187" s="25">
        <v>40086</v>
      </c>
      <c r="AE187" s="25"/>
      <c r="AF187" s="25"/>
      <c r="AG187" s="25"/>
      <c r="AH187" s="11" t="s">
        <v>44</v>
      </c>
    </row>
    <row r="188" spans="1:34" s="37" customFormat="1" ht="12.75" customHeight="1">
      <c r="A188" s="1">
        <v>187</v>
      </c>
      <c r="B188" s="29">
        <v>39822</v>
      </c>
      <c r="C188" s="30">
        <v>39822</v>
      </c>
      <c r="D188" s="30"/>
      <c r="E188" s="38" t="s">
        <v>597</v>
      </c>
      <c r="F188" s="31"/>
      <c r="G188" s="32" t="s">
        <v>20</v>
      </c>
      <c r="H188" s="33">
        <v>38</v>
      </c>
      <c r="I188" s="32" t="s">
        <v>598</v>
      </c>
      <c r="J188" s="31" t="s">
        <v>599</v>
      </c>
      <c r="K188" s="31" t="s">
        <v>253</v>
      </c>
      <c r="L188" s="32" t="s">
        <v>24</v>
      </c>
      <c r="M188" s="30">
        <v>39822</v>
      </c>
      <c r="N188" s="33">
        <v>2</v>
      </c>
      <c r="O188" s="32" t="s">
        <v>25</v>
      </c>
      <c r="P188" s="32" t="s">
        <v>26</v>
      </c>
      <c r="Q188" s="32" t="s">
        <v>407</v>
      </c>
      <c r="R188" s="32" t="s">
        <v>65</v>
      </c>
      <c r="S188" s="30">
        <f t="shared" ca="1" si="7"/>
        <v>40470.53652858796</v>
      </c>
      <c r="T188" s="31">
        <f t="shared" ca="1" si="8"/>
        <v>21</v>
      </c>
      <c r="U188" s="32" t="s">
        <v>42</v>
      </c>
      <c r="V188" s="32" t="s">
        <v>56</v>
      </c>
      <c r="W188" s="32" t="s">
        <v>56</v>
      </c>
      <c r="X188" s="32" t="s">
        <v>224</v>
      </c>
      <c r="Y188" s="32" t="s">
        <v>42</v>
      </c>
      <c r="Z188" s="35">
        <v>24.826599999999999</v>
      </c>
      <c r="AA188" s="35">
        <v>67.106189999999998</v>
      </c>
      <c r="AB188" s="32"/>
      <c r="AC188" s="12" t="s">
        <v>2524</v>
      </c>
      <c r="AD188" s="25">
        <v>40307</v>
      </c>
      <c r="AE188" s="25"/>
      <c r="AF188" s="25"/>
      <c r="AG188" s="25"/>
      <c r="AH188" s="11" t="s">
        <v>600</v>
      </c>
    </row>
    <row r="189" spans="1:34" s="37" customFormat="1">
      <c r="A189" s="1">
        <v>188</v>
      </c>
      <c r="B189" s="29">
        <v>39823</v>
      </c>
      <c r="C189" s="30">
        <v>39829</v>
      </c>
      <c r="D189" s="30"/>
      <c r="E189" s="38" t="s">
        <v>601</v>
      </c>
      <c r="F189" s="31"/>
      <c r="G189" s="32" t="s">
        <v>37</v>
      </c>
      <c r="H189" s="33">
        <v>49</v>
      </c>
      <c r="I189" s="32" t="s">
        <v>602</v>
      </c>
      <c r="J189" s="31" t="s">
        <v>603</v>
      </c>
      <c r="K189" s="31" t="s">
        <v>206</v>
      </c>
      <c r="L189" s="32" t="s">
        <v>24</v>
      </c>
      <c r="M189" s="30">
        <v>39829</v>
      </c>
      <c r="N189" s="33">
        <v>1</v>
      </c>
      <c r="O189" s="32" t="s">
        <v>40</v>
      </c>
      <c r="P189" s="32" t="s">
        <v>176</v>
      </c>
      <c r="Q189" s="32" t="s">
        <v>27</v>
      </c>
      <c r="R189" s="32" t="s">
        <v>42</v>
      </c>
      <c r="S189" s="30">
        <f t="shared" ca="1" si="7"/>
        <v>40470.53652858796</v>
      </c>
      <c r="T189" s="31">
        <f t="shared" ca="1" si="8"/>
        <v>21</v>
      </c>
      <c r="U189" s="32" t="s">
        <v>42</v>
      </c>
      <c r="V189" s="32" t="s">
        <v>42</v>
      </c>
      <c r="W189" s="32" t="s">
        <v>42</v>
      </c>
      <c r="X189" s="32" t="s">
        <v>42</v>
      </c>
      <c r="Y189" s="32" t="s">
        <v>42</v>
      </c>
      <c r="Z189" s="35">
        <v>24.814170000000001</v>
      </c>
      <c r="AA189" s="35">
        <v>67.106589999999997</v>
      </c>
      <c r="AB189" s="32"/>
      <c r="AC189" s="12" t="s">
        <v>2510</v>
      </c>
      <c r="AD189" s="25">
        <v>40430</v>
      </c>
      <c r="AE189" s="25"/>
      <c r="AF189" s="25"/>
      <c r="AG189" s="25"/>
      <c r="AH189" s="11" t="s">
        <v>44</v>
      </c>
    </row>
    <row r="190" spans="1:34" s="37" customFormat="1">
      <c r="A190" s="1">
        <v>189</v>
      </c>
      <c r="B190" s="29">
        <v>39824</v>
      </c>
      <c r="C190" s="30">
        <v>39829</v>
      </c>
      <c r="D190" s="30"/>
      <c r="E190" s="38" t="s">
        <v>604</v>
      </c>
      <c r="F190" s="31"/>
      <c r="G190" s="32" t="s">
        <v>37</v>
      </c>
      <c r="H190" s="33">
        <v>18</v>
      </c>
      <c r="I190" s="32" t="s">
        <v>605</v>
      </c>
      <c r="J190" s="31" t="s">
        <v>606</v>
      </c>
      <c r="K190" s="31" t="s">
        <v>106</v>
      </c>
      <c r="L190" s="32" t="s">
        <v>24</v>
      </c>
      <c r="M190" s="30">
        <v>39829</v>
      </c>
      <c r="N190" s="33">
        <v>1</v>
      </c>
      <c r="O190" s="11" t="s">
        <v>25</v>
      </c>
      <c r="P190" s="32" t="s">
        <v>431</v>
      </c>
      <c r="Q190" s="32" t="s">
        <v>27</v>
      </c>
      <c r="R190" s="32" t="s">
        <v>56</v>
      </c>
      <c r="S190" s="30">
        <f t="shared" ca="1" si="7"/>
        <v>40470.53652858796</v>
      </c>
      <c r="T190" s="31">
        <f t="shared" ca="1" si="8"/>
        <v>21</v>
      </c>
      <c r="U190" s="32" t="s">
        <v>56</v>
      </c>
      <c r="V190" s="32" t="s">
        <v>42</v>
      </c>
      <c r="W190" s="32" t="s">
        <v>42</v>
      </c>
      <c r="X190" s="32" t="s">
        <v>42</v>
      </c>
      <c r="Y190" s="32" t="s">
        <v>42</v>
      </c>
      <c r="Z190" s="35">
        <v>24.805340000000001</v>
      </c>
      <c r="AA190" s="35">
        <v>67.152460000000005</v>
      </c>
      <c r="AB190" s="32"/>
      <c r="AC190" s="12" t="s">
        <v>2510</v>
      </c>
      <c r="AD190" s="25">
        <v>40430</v>
      </c>
      <c r="AE190" s="25"/>
      <c r="AF190" s="25"/>
      <c r="AG190" s="25"/>
      <c r="AH190" s="11" t="s">
        <v>44</v>
      </c>
    </row>
    <row r="191" spans="1:34" s="37" customFormat="1">
      <c r="A191" s="1">
        <v>190</v>
      </c>
      <c r="B191" s="29">
        <v>39825</v>
      </c>
      <c r="C191" s="30">
        <v>39830</v>
      </c>
      <c r="D191" s="30"/>
      <c r="E191" s="38" t="s">
        <v>607</v>
      </c>
      <c r="F191" s="31"/>
      <c r="G191" s="32" t="s">
        <v>37</v>
      </c>
      <c r="H191" s="33">
        <v>30</v>
      </c>
      <c r="I191" s="32" t="s">
        <v>608</v>
      </c>
      <c r="J191" s="31" t="s">
        <v>609</v>
      </c>
      <c r="K191" s="31" t="s">
        <v>206</v>
      </c>
      <c r="L191" s="32" t="s">
        <v>24</v>
      </c>
      <c r="M191" s="30">
        <v>39830</v>
      </c>
      <c r="N191" s="33">
        <v>1</v>
      </c>
      <c r="O191" s="32" t="s">
        <v>40</v>
      </c>
      <c r="P191" s="32" t="s">
        <v>109</v>
      </c>
      <c r="Q191" s="32" t="s">
        <v>27</v>
      </c>
      <c r="R191" s="32" t="s">
        <v>56</v>
      </c>
      <c r="S191" s="30">
        <f t="shared" ca="1" si="7"/>
        <v>40470.53652858796</v>
      </c>
      <c r="T191" s="31">
        <f t="shared" ca="1" si="8"/>
        <v>21</v>
      </c>
      <c r="U191" s="32" t="s">
        <v>42</v>
      </c>
      <c r="V191" s="32" t="s">
        <v>42</v>
      </c>
      <c r="W191" s="32" t="s">
        <v>42</v>
      </c>
      <c r="X191" s="32" t="s">
        <v>42</v>
      </c>
      <c r="Y191" s="32" t="s">
        <v>42</v>
      </c>
      <c r="Z191" s="35">
        <v>24.873899999999999</v>
      </c>
      <c r="AA191" s="35">
        <v>67.130970000000005</v>
      </c>
      <c r="AB191" s="32"/>
      <c r="AC191" s="12" t="s">
        <v>2510</v>
      </c>
      <c r="AD191" s="25">
        <v>40084</v>
      </c>
      <c r="AE191" s="25"/>
      <c r="AF191" s="25"/>
      <c r="AG191" s="25"/>
      <c r="AH191" s="11" t="s">
        <v>44</v>
      </c>
    </row>
    <row r="192" spans="1:34" s="37" customFormat="1">
      <c r="A192" s="1">
        <v>191</v>
      </c>
      <c r="B192" s="29">
        <v>39826</v>
      </c>
      <c r="C192" s="30">
        <v>39833</v>
      </c>
      <c r="D192" s="30"/>
      <c r="E192" s="38" t="s">
        <v>610</v>
      </c>
      <c r="F192" s="31"/>
      <c r="G192" s="32" t="s">
        <v>37</v>
      </c>
      <c r="H192" s="33">
        <v>26</v>
      </c>
      <c r="I192" s="32" t="s">
        <v>611</v>
      </c>
      <c r="J192" s="31"/>
      <c r="K192" s="31" t="s">
        <v>206</v>
      </c>
      <c r="L192" s="32" t="s">
        <v>24</v>
      </c>
      <c r="M192" s="30">
        <v>39833</v>
      </c>
      <c r="N192" s="33">
        <v>1</v>
      </c>
      <c r="O192" s="32" t="s">
        <v>40</v>
      </c>
      <c r="P192" s="32" t="s">
        <v>72</v>
      </c>
      <c r="Q192" s="32" t="s">
        <v>27</v>
      </c>
      <c r="R192" s="32" t="s">
        <v>42</v>
      </c>
      <c r="S192" s="30">
        <f t="shared" ca="1" si="7"/>
        <v>40470.53652858796</v>
      </c>
      <c r="T192" s="31">
        <f t="shared" ca="1" si="8"/>
        <v>21</v>
      </c>
      <c r="U192" s="32" t="s">
        <v>42</v>
      </c>
      <c r="V192" s="32" t="s">
        <v>42</v>
      </c>
      <c r="W192" s="32" t="s">
        <v>42</v>
      </c>
      <c r="X192" s="32" t="s">
        <v>42</v>
      </c>
      <c r="Y192" s="32" t="s">
        <v>42</v>
      </c>
      <c r="Z192" s="35"/>
      <c r="AA192" s="35"/>
      <c r="AB192" s="32"/>
      <c r="AC192" s="12" t="s">
        <v>44</v>
      </c>
      <c r="AD192" s="25">
        <v>40217</v>
      </c>
      <c r="AE192" s="25"/>
      <c r="AF192" s="25"/>
      <c r="AG192" s="25"/>
      <c r="AH192" s="11" t="s">
        <v>44</v>
      </c>
    </row>
    <row r="193" spans="1:34" s="37" customFormat="1" ht="12.75" customHeight="1">
      <c r="A193" s="1">
        <v>192</v>
      </c>
      <c r="B193" s="29">
        <v>39827</v>
      </c>
      <c r="C193" s="30">
        <v>39833</v>
      </c>
      <c r="D193" s="30"/>
      <c r="E193" s="38" t="s">
        <v>612</v>
      </c>
      <c r="F193" s="31"/>
      <c r="G193" s="32" t="s">
        <v>20</v>
      </c>
      <c r="H193" s="33">
        <v>18</v>
      </c>
      <c r="I193" s="32" t="s">
        <v>613</v>
      </c>
      <c r="J193" s="31" t="s">
        <v>614</v>
      </c>
      <c r="K193" s="31" t="s">
        <v>39</v>
      </c>
      <c r="L193" s="32" t="s">
        <v>24</v>
      </c>
      <c r="M193" s="30">
        <v>39833</v>
      </c>
      <c r="N193" s="33">
        <v>2</v>
      </c>
      <c r="O193" s="32" t="s">
        <v>25</v>
      </c>
      <c r="P193" s="32" t="s">
        <v>26</v>
      </c>
      <c r="Q193" s="32" t="s">
        <v>49</v>
      </c>
      <c r="R193" s="32" t="s">
        <v>28</v>
      </c>
      <c r="S193" s="30">
        <f t="shared" ca="1" si="7"/>
        <v>40470.53652858796</v>
      </c>
      <c r="T193" s="31">
        <f t="shared" ca="1" si="8"/>
        <v>21</v>
      </c>
      <c r="U193" s="32" t="s">
        <v>42</v>
      </c>
      <c r="V193" s="32" t="s">
        <v>56</v>
      </c>
      <c r="W193" s="32" t="s">
        <v>56</v>
      </c>
      <c r="X193" s="32" t="s">
        <v>56</v>
      </c>
      <c r="Y193" s="32" t="s">
        <v>42</v>
      </c>
      <c r="Z193" s="35">
        <v>24.823979999999999</v>
      </c>
      <c r="AA193" s="35">
        <v>67.125290000000007</v>
      </c>
      <c r="AB193" s="32"/>
      <c r="AC193" s="12" t="s">
        <v>915</v>
      </c>
      <c r="AD193" s="25">
        <v>40085</v>
      </c>
      <c r="AE193" s="25"/>
      <c r="AF193" s="25"/>
      <c r="AG193" s="25"/>
      <c r="AH193" s="11" t="s">
        <v>61</v>
      </c>
    </row>
    <row r="194" spans="1:34" s="37" customFormat="1" ht="12.75" customHeight="1">
      <c r="A194" s="1">
        <v>193</v>
      </c>
      <c r="B194" s="29">
        <v>39828</v>
      </c>
      <c r="C194" s="30">
        <v>39833</v>
      </c>
      <c r="D194" s="30"/>
      <c r="E194" s="38" t="s">
        <v>615</v>
      </c>
      <c r="F194" s="31"/>
      <c r="G194" s="32" t="s">
        <v>37</v>
      </c>
      <c r="H194" s="33">
        <v>15</v>
      </c>
      <c r="I194" s="32" t="s">
        <v>616</v>
      </c>
      <c r="J194" s="31" t="s">
        <v>617</v>
      </c>
      <c r="K194" s="31" t="s">
        <v>106</v>
      </c>
      <c r="L194" s="32" t="s">
        <v>24</v>
      </c>
      <c r="M194" s="30">
        <v>39833</v>
      </c>
      <c r="N194" s="33">
        <v>1</v>
      </c>
      <c r="O194" s="32" t="s">
        <v>25</v>
      </c>
      <c r="P194" s="32" t="s">
        <v>26</v>
      </c>
      <c r="Q194" s="32" t="s">
        <v>27</v>
      </c>
      <c r="R194" s="32" t="s">
        <v>56</v>
      </c>
      <c r="S194" s="30">
        <f t="shared" ref="S194:S257" ca="1" si="9">NOW()</f>
        <v>40470.53652858796</v>
      </c>
      <c r="T194" s="31">
        <f t="shared" ca="1" si="8"/>
        <v>21</v>
      </c>
      <c r="U194" s="32" t="s">
        <v>56</v>
      </c>
      <c r="V194" s="32" t="s">
        <v>42</v>
      </c>
      <c r="W194" s="32" t="s">
        <v>42</v>
      </c>
      <c r="X194" s="32" t="s">
        <v>42</v>
      </c>
      <c r="Y194" s="32" t="s">
        <v>42</v>
      </c>
      <c r="Z194" s="35">
        <v>24.818190000000001</v>
      </c>
      <c r="AA194" s="35">
        <v>67.137180000000001</v>
      </c>
      <c r="AB194" s="32"/>
      <c r="AC194" s="12" t="s">
        <v>2510</v>
      </c>
      <c r="AD194" s="25">
        <v>40093</v>
      </c>
      <c r="AE194" s="25"/>
      <c r="AF194" s="25"/>
      <c r="AG194" s="25"/>
      <c r="AH194" s="11" t="s">
        <v>44</v>
      </c>
    </row>
    <row r="195" spans="1:34" s="37" customFormat="1" ht="12.75" customHeight="1">
      <c r="A195" s="1">
        <v>194</v>
      </c>
      <c r="B195" s="29">
        <v>39829</v>
      </c>
      <c r="C195" s="30">
        <v>39833</v>
      </c>
      <c r="D195" s="30"/>
      <c r="E195" s="38" t="s">
        <v>618</v>
      </c>
      <c r="F195" s="31"/>
      <c r="G195" s="32" t="s">
        <v>20</v>
      </c>
      <c r="H195" s="33">
        <v>45</v>
      </c>
      <c r="I195" s="32" t="s">
        <v>619</v>
      </c>
      <c r="J195" s="31" t="s">
        <v>620</v>
      </c>
      <c r="K195" s="31" t="s">
        <v>48</v>
      </c>
      <c r="L195" s="32" t="s">
        <v>24</v>
      </c>
      <c r="M195" s="30">
        <v>39833</v>
      </c>
      <c r="N195" s="33">
        <v>1</v>
      </c>
      <c r="O195" s="32" t="s">
        <v>25</v>
      </c>
      <c r="P195" s="32" t="s">
        <v>26</v>
      </c>
      <c r="Q195" s="32" t="s">
        <v>27</v>
      </c>
      <c r="R195" s="32" t="s">
        <v>60</v>
      </c>
      <c r="S195" s="30">
        <f t="shared" ca="1" si="9"/>
        <v>40470.53652858796</v>
      </c>
      <c r="T195" s="31">
        <f t="shared" ca="1" si="8"/>
        <v>21</v>
      </c>
      <c r="U195" s="32" t="s">
        <v>28</v>
      </c>
      <c r="V195" s="32" t="s">
        <v>2731</v>
      </c>
      <c r="W195" s="32" t="s">
        <v>56</v>
      </c>
      <c r="X195" s="32" t="s">
        <v>56</v>
      </c>
      <c r="Y195" s="32" t="s">
        <v>42</v>
      </c>
      <c r="Z195" s="35">
        <v>24.835560000000001</v>
      </c>
      <c r="AA195" s="35">
        <v>67.136120000000005</v>
      </c>
      <c r="AB195" s="32"/>
      <c r="AC195" s="12" t="s">
        <v>915</v>
      </c>
      <c r="AD195" s="25">
        <v>40082</v>
      </c>
      <c r="AE195" s="25"/>
      <c r="AF195" s="25"/>
      <c r="AG195" s="25"/>
      <c r="AH195" s="11" t="s">
        <v>61</v>
      </c>
    </row>
    <row r="196" spans="1:34" s="37" customFormat="1" ht="12.75" customHeight="1">
      <c r="A196" s="1">
        <v>195</v>
      </c>
      <c r="B196" s="29">
        <v>39830</v>
      </c>
      <c r="C196" s="30">
        <v>39833</v>
      </c>
      <c r="D196" s="30"/>
      <c r="E196" s="38" t="s">
        <v>621</v>
      </c>
      <c r="F196" s="31"/>
      <c r="G196" s="32" t="s">
        <v>37</v>
      </c>
      <c r="H196" s="33">
        <v>16</v>
      </c>
      <c r="I196" s="32" t="s">
        <v>622</v>
      </c>
      <c r="J196" s="31" t="s">
        <v>623</v>
      </c>
      <c r="K196" s="31" t="s">
        <v>106</v>
      </c>
      <c r="L196" s="32" t="s">
        <v>24</v>
      </c>
      <c r="M196" s="30">
        <v>39833</v>
      </c>
      <c r="N196" s="33">
        <v>2</v>
      </c>
      <c r="O196" s="32" t="s">
        <v>25</v>
      </c>
      <c r="P196" s="32" t="s">
        <v>26</v>
      </c>
      <c r="Q196" s="32" t="s">
        <v>49</v>
      </c>
      <c r="R196" s="32" t="s">
        <v>28</v>
      </c>
      <c r="S196" s="30">
        <f t="shared" ca="1" si="9"/>
        <v>40470.53652858796</v>
      </c>
      <c r="T196" s="31">
        <f t="shared" ca="1" si="8"/>
        <v>21</v>
      </c>
      <c r="U196" s="32" t="s">
        <v>42</v>
      </c>
      <c r="V196" s="32" t="s">
        <v>28</v>
      </c>
      <c r="W196" s="32" t="s">
        <v>224</v>
      </c>
      <c r="X196" s="32" t="s">
        <v>56</v>
      </c>
      <c r="Y196" s="32" t="s">
        <v>42</v>
      </c>
      <c r="Z196" s="35">
        <v>24.86495</v>
      </c>
      <c r="AA196" s="35">
        <v>66.997110000000006</v>
      </c>
      <c r="AB196" s="32"/>
      <c r="AC196" s="12" t="s">
        <v>2525</v>
      </c>
      <c r="AD196" s="25">
        <v>39934</v>
      </c>
      <c r="AE196" s="25"/>
      <c r="AF196" s="25"/>
      <c r="AG196" s="25"/>
      <c r="AH196" s="11" t="s">
        <v>67</v>
      </c>
    </row>
    <row r="197" spans="1:34" s="37" customFormat="1" ht="12.75" customHeight="1">
      <c r="A197" s="1">
        <v>196</v>
      </c>
      <c r="B197" s="29">
        <v>39831</v>
      </c>
      <c r="C197" s="30">
        <v>39834</v>
      </c>
      <c r="D197" s="30"/>
      <c r="E197" s="38" t="s">
        <v>624</v>
      </c>
      <c r="F197" s="31"/>
      <c r="G197" s="32" t="s">
        <v>37</v>
      </c>
      <c r="H197" s="33">
        <v>30</v>
      </c>
      <c r="I197" s="32" t="s">
        <v>820</v>
      </c>
      <c r="J197" s="31" t="s">
        <v>821</v>
      </c>
      <c r="K197" s="31" t="s">
        <v>206</v>
      </c>
      <c r="L197" s="32" t="s">
        <v>24</v>
      </c>
      <c r="M197" s="30">
        <v>39834</v>
      </c>
      <c r="N197" s="33">
        <v>1</v>
      </c>
      <c r="O197" s="32" t="s">
        <v>25</v>
      </c>
      <c r="P197" s="32" t="s">
        <v>26</v>
      </c>
      <c r="Q197" s="32" t="s">
        <v>27</v>
      </c>
      <c r="R197" s="32" t="s">
        <v>65</v>
      </c>
      <c r="S197" s="30">
        <f t="shared" ca="1" si="9"/>
        <v>40470.53652858796</v>
      </c>
      <c r="T197" s="31">
        <f t="shared" ca="1" si="8"/>
        <v>21</v>
      </c>
      <c r="U197" s="32" t="s">
        <v>56</v>
      </c>
      <c r="V197" s="32" t="s">
        <v>56</v>
      </c>
      <c r="W197" s="32" t="s">
        <v>56</v>
      </c>
      <c r="X197" s="32" t="s">
        <v>56</v>
      </c>
      <c r="Y197" s="32" t="s">
        <v>42</v>
      </c>
      <c r="Z197" s="35">
        <v>24.81738</v>
      </c>
      <c r="AA197" s="35">
        <v>67.121369999999999</v>
      </c>
      <c r="AB197" s="32"/>
      <c r="AC197" s="12" t="s">
        <v>915</v>
      </c>
      <c r="AD197" s="25">
        <v>40109</v>
      </c>
      <c r="AE197" s="25"/>
      <c r="AF197" s="25"/>
      <c r="AG197" s="25"/>
      <c r="AH197" s="11" t="s">
        <v>61</v>
      </c>
    </row>
    <row r="198" spans="1:34" s="37" customFormat="1" ht="12.75" customHeight="1">
      <c r="A198" s="1">
        <v>197</v>
      </c>
      <c r="B198" s="29">
        <v>39822</v>
      </c>
      <c r="C198" s="30">
        <v>39836</v>
      </c>
      <c r="D198" s="30"/>
      <c r="E198" s="38" t="s">
        <v>822</v>
      </c>
      <c r="F198" s="31"/>
      <c r="G198" s="32" t="s">
        <v>37</v>
      </c>
      <c r="H198" s="33">
        <v>20</v>
      </c>
      <c r="I198" s="32" t="s">
        <v>823</v>
      </c>
      <c r="J198" s="31"/>
      <c r="K198" s="31" t="s">
        <v>223</v>
      </c>
      <c r="L198" s="32" t="s">
        <v>24</v>
      </c>
      <c r="M198" s="30">
        <v>39836</v>
      </c>
      <c r="N198" s="33">
        <v>1</v>
      </c>
      <c r="O198" s="32" t="s">
        <v>25</v>
      </c>
      <c r="P198" s="32" t="s">
        <v>26</v>
      </c>
      <c r="Q198" s="32" t="s">
        <v>27</v>
      </c>
      <c r="R198" s="32" t="s">
        <v>28</v>
      </c>
      <c r="S198" s="30">
        <f t="shared" ca="1" si="9"/>
        <v>40470.53652858796</v>
      </c>
      <c r="T198" s="31">
        <f t="shared" ca="1" si="8"/>
        <v>21</v>
      </c>
      <c r="U198" s="32" t="s">
        <v>224</v>
      </c>
      <c r="V198" s="32" t="s">
        <v>42</v>
      </c>
      <c r="W198" s="32" t="s">
        <v>224</v>
      </c>
      <c r="X198" s="32" t="s">
        <v>224</v>
      </c>
      <c r="Y198" s="32" t="s">
        <v>42</v>
      </c>
      <c r="Z198" s="35" t="s">
        <v>273</v>
      </c>
      <c r="AA198" s="35" t="s">
        <v>172</v>
      </c>
      <c r="AB198" s="32"/>
      <c r="AC198" s="12" t="s">
        <v>122</v>
      </c>
      <c r="AD198" s="25"/>
      <c r="AE198" s="25"/>
      <c r="AF198" s="25"/>
      <c r="AG198" s="25"/>
      <c r="AH198" s="11" t="s">
        <v>122</v>
      </c>
    </row>
    <row r="199" spans="1:34" s="37" customFormat="1">
      <c r="A199" s="1">
        <v>198</v>
      </c>
      <c r="B199" s="29">
        <v>39853</v>
      </c>
      <c r="C199" s="30">
        <v>39847</v>
      </c>
      <c r="D199" s="30"/>
      <c r="E199" s="38" t="s">
        <v>824</v>
      </c>
      <c r="F199" s="31"/>
      <c r="G199" s="32" t="s">
        <v>37</v>
      </c>
      <c r="H199" s="33">
        <v>25</v>
      </c>
      <c r="I199" s="32" t="s">
        <v>825</v>
      </c>
      <c r="J199" s="31" t="s">
        <v>826</v>
      </c>
      <c r="K199" s="31" t="s">
        <v>106</v>
      </c>
      <c r="L199" s="32" t="s">
        <v>24</v>
      </c>
      <c r="M199" s="30">
        <v>39847</v>
      </c>
      <c r="N199" s="33">
        <v>1</v>
      </c>
      <c r="O199" s="32" t="s">
        <v>40</v>
      </c>
      <c r="P199" s="32" t="s">
        <v>109</v>
      </c>
      <c r="Q199" s="32" t="s">
        <v>27</v>
      </c>
      <c r="R199" s="32" t="s">
        <v>56</v>
      </c>
      <c r="S199" s="30">
        <f t="shared" ca="1" si="9"/>
        <v>40470.53652858796</v>
      </c>
      <c r="T199" s="31">
        <f t="shared" ca="1" si="8"/>
        <v>20</v>
      </c>
      <c r="U199" s="32" t="s">
        <v>42</v>
      </c>
      <c r="V199" s="32" t="s">
        <v>42</v>
      </c>
      <c r="W199" s="32" t="s">
        <v>42</v>
      </c>
      <c r="X199" s="32" t="s">
        <v>42</v>
      </c>
      <c r="Y199" s="32" t="s">
        <v>42</v>
      </c>
      <c r="Z199" s="35">
        <v>24.825980000000001</v>
      </c>
      <c r="AA199" s="35">
        <v>67.136009999999999</v>
      </c>
      <c r="AB199" s="32"/>
      <c r="AC199" s="12" t="s">
        <v>2510</v>
      </c>
      <c r="AD199" s="25">
        <v>40091</v>
      </c>
      <c r="AE199" s="25"/>
      <c r="AF199" s="25"/>
      <c r="AG199" s="25"/>
      <c r="AH199" s="11" t="s">
        <v>44</v>
      </c>
    </row>
    <row r="200" spans="1:34" s="37" customFormat="1" ht="12.75" customHeight="1">
      <c r="A200" s="1">
        <v>199</v>
      </c>
      <c r="B200" s="29">
        <v>39853</v>
      </c>
      <c r="C200" s="30">
        <v>39847</v>
      </c>
      <c r="D200" s="30"/>
      <c r="E200" s="38" t="s">
        <v>827</v>
      </c>
      <c r="F200" s="31"/>
      <c r="G200" s="32" t="s">
        <v>37</v>
      </c>
      <c r="H200" s="33">
        <v>32</v>
      </c>
      <c r="I200" s="34" t="s">
        <v>828</v>
      </c>
      <c r="J200" s="31" t="s">
        <v>829</v>
      </c>
      <c r="K200" s="31" t="s">
        <v>291</v>
      </c>
      <c r="L200" s="32" t="s">
        <v>24</v>
      </c>
      <c r="M200" s="30">
        <v>39847</v>
      </c>
      <c r="N200" s="33">
        <v>1</v>
      </c>
      <c r="O200" s="32" t="s">
        <v>25</v>
      </c>
      <c r="P200" s="32" t="s">
        <v>26</v>
      </c>
      <c r="Q200" s="32" t="s">
        <v>110</v>
      </c>
      <c r="R200" s="32" t="s">
        <v>42</v>
      </c>
      <c r="S200" s="30">
        <f t="shared" ca="1" si="9"/>
        <v>40470.53652858796</v>
      </c>
      <c r="T200" s="31">
        <f t="shared" ca="1" si="8"/>
        <v>20</v>
      </c>
      <c r="U200" s="32" t="s">
        <v>42</v>
      </c>
      <c r="V200" s="32" t="s">
        <v>42</v>
      </c>
      <c r="W200" s="32" t="s">
        <v>42</v>
      </c>
      <c r="X200" s="32" t="s">
        <v>56</v>
      </c>
      <c r="Y200" s="32" t="s">
        <v>42</v>
      </c>
      <c r="Z200" s="35">
        <v>24.862220000000001</v>
      </c>
      <c r="AA200" s="35">
        <v>67.076599999999999</v>
      </c>
      <c r="AB200" s="32"/>
      <c r="AC200" s="12" t="s">
        <v>2516</v>
      </c>
      <c r="AD200" s="25">
        <v>39994</v>
      </c>
      <c r="AE200" s="25"/>
      <c r="AF200" s="25"/>
      <c r="AG200" s="25"/>
      <c r="AH200" s="11" t="s">
        <v>44</v>
      </c>
    </row>
    <row r="201" spans="1:34" s="37" customFormat="1">
      <c r="A201" s="1">
        <v>200</v>
      </c>
      <c r="B201" s="29">
        <v>39853</v>
      </c>
      <c r="C201" s="30">
        <v>39850</v>
      </c>
      <c r="D201" s="30"/>
      <c r="E201" s="38" t="s">
        <v>830</v>
      </c>
      <c r="F201" s="31"/>
      <c r="G201" s="32" t="s">
        <v>37</v>
      </c>
      <c r="H201" s="33">
        <v>17</v>
      </c>
      <c r="I201" s="32" t="s">
        <v>669</v>
      </c>
      <c r="J201" s="31" t="s">
        <v>670</v>
      </c>
      <c r="K201" s="31" t="s">
        <v>39</v>
      </c>
      <c r="L201" s="32" t="s">
        <v>24</v>
      </c>
      <c r="M201" s="30">
        <v>39850</v>
      </c>
      <c r="N201" s="33">
        <v>2</v>
      </c>
      <c r="O201" s="32" t="s">
        <v>40</v>
      </c>
      <c r="P201" s="32" t="s">
        <v>72</v>
      </c>
      <c r="Q201" s="32" t="s">
        <v>27</v>
      </c>
      <c r="R201" s="32" t="s">
        <v>28</v>
      </c>
      <c r="S201" s="30">
        <f t="shared" ca="1" si="9"/>
        <v>40470.53652858796</v>
      </c>
      <c r="T201" s="31">
        <f t="shared" ca="1" si="8"/>
        <v>20</v>
      </c>
      <c r="U201" s="32" t="s">
        <v>42</v>
      </c>
      <c r="V201" s="32" t="s">
        <v>42</v>
      </c>
      <c r="W201" s="32" t="s">
        <v>42</v>
      </c>
      <c r="X201" s="32" t="s">
        <v>42</v>
      </c>
      <c r="Y201" s="32" t="s">
        <v>42</v>
      </c>
      <c r="Z201" s="35">
        <v>24.81991</v>
      </c>
      <c r="AA201" s="35">
        <v>67.138639999999995</v>
      </c>
      <c r="AB201" s="32"/>
      <c r="AC201" s="12" t="s">
        <v>2510</v>
      </c>
      <c r="AD201" s="25">
        <v>40157</v>
      </c>
      <c r="AE201" s="25"/>
      <c r="AF201" s="25"/>
      <c r="AG201" s="25"/>
      <c r="AH201" s="11" t="s">
        <v>44</v>
      </c>
    </row>
    <row r="202" spans="1:34" s="37" customFormat="1">
      <c r="A202" s="1">
        <v>201</v>
      </c>
      <c r="B202" s="29">
        <v>39853</v>
      </c>
      <c r="C202" s="30">
        <v>39851</v>
      </c>
      <c r="D202" s="30"/>
      <c r="E202" s="38" t="s">
        <v>671</v>
      </c>
      <c r="F202" s="31"/>
      <c r="G202" s="32" t="s">
        <v>20</v>
      </c>
      <c r="H202" s="33">
        <v>60</v>
      </c>
      <c r="I202" s="32" t="s">
        <v>672</v>
      </c>
      <c r="J202" s="31" t="s">
        <v>673</v>
      </c>
      <c r="K202" s="31" t="s">
        <v>253</v>
      </c>
      <c r="L202" s="32" t="s">
        <v>24</v>
      </c>
      <c r="M202" s="30">
        <v>39851</v>
      </c>
      <c r="N202" s="33">
        <v>1</v>
      </c>
      <c r="O202" s="32" t="s">
        <v>40</v>
      </c>
      <c r="P202" s="32" t="s">
        <v>176</v>
      </c>
      <c r="Q202" s="32" t="s">
        <v>27</v>
      </c>
      <c r="R202" s="32" t="s">
        <v>2731</v>
      </c>
      <c r="S202" s="30">
        <f t="shared" ca="1" si="9"/>
        <v>40470.53652858796</v>
      </c>
      <c r="T202" s="31">
        <f t="shared" ca="1" si="8"/>
        <v>20</v>
      </c>
      <c r="U202" s="32" t="s">
        <v>42</v>
      </c>
      <c r="V202" s="32" t="s">
        <v>42</v>
      </c>
      <c r="W202" s="32" t="s">
        <v>42</v>
      </c>
      <c r="X202" s="32" t="s">
        <v>42</v>
      </c>
      <c r="Y202" s="32" t="s">
        <v>42</v>
      </c>
      <c r="Z202" s="35">
        <v>24.835170000000002</v>
      </c>
      <c r="AA202" s="35">
        <v>67.166250000000005</v>
      </c>
      <c r="AB202" s="32"/>
      <c r="AC202" s="12" t="s">
        <v>44</v>
      </c>
      <c r="AD202" s="25">
        <v>40179</v>
      </c>
      <c r="AE202" s="25"/>
      <c r="AF202" s="25"/>
      <c r="AG202" s="25"/>
      <c r="AH202" s="11" t="s">
        <v>44</v>
      </c>
    </row>
    <row r="203" spans="1:34" s="37" customFormat="1">
      <c r="A203" s="1">
        <v>202</v>
      </c>
      <c r="B203" s="29">
        <v>39853</v>
      </c>
      <c r="C203" s="30">
        <v>39854</v>
      </c>
      <c r="D203" s="30"/>
      <c r="E203" s="38" t="s">
        <v>674</v>
      </c>
      <c r="F203" s="31"/>
      <c r="G203" s="32" t="s">
        <v>37</v>
      </c>
      <c r="H203" s="33">
        <v>30</v>
      </c>
      <c r="I203" s="32" t="s">
        <v>675</v>
      </c>
      <c r="J203" s="31" t="s">
        <v>676</v>
      </c>
      <c r="K203" s="31" t="s">
        <v>223</v>
      </c>
      <c r="L203" s="32" t="s">
        <v>24</v>
      </c>
      <c r="M203" s="30">
        <v>39854</v>
      </c>
      <c r="N203" s="33">
        <v>2</v>
      </c>
      <c r="O203" s="32" t="s">
        <v>40</v>
      </c>
      <c r="P203" s="32" t="s">
        <v>213</v>
      </c>
      <c r="Q203" s="32" t="s">
        <v>49</v>
      </c>
      <c r="R203" s="32" t="s">
        <v>42</v>
      </c>
      <c r="S203" s="30">
        <f t="shared" ca="1" si="9"/>
        <v>40470.53652858796</v>
      </c>
      <c r="T203" s="31">
        <f t="shared" ca="1" si="8"/>
        <v>20</v>
      </c>
      <c r="U203" s="32" t="s">
        <v>42</v>
      </c>
      <c r="V203" s="32" t="s">
        <v>42</v>
      </c>
      <c r="W203" s="32" t="s">
        <v>42</v>
      </c>
      <c r="X203" s="32" t="s">
        <v>42</v>
      </c>
      <c r="Y203" s="32" t="s">
        <v>42</v>
      </c>
      <c r="Z203" s="35">
        <v>24.820630000000001</v>
      </c>
      <c r="AA203" s="35">
        <v>67.144819999999996</v>
      </c>
      <c r="AB203" s="32"/>
      <c r="AC203" s="12" t="s">
        <v>34</v>
      </c>
      <c r="AD203" s="25">
        <v>39884</v>
      </c>
      <c r="AE203" s="25"/>
      <c r="AF203" s="25"/>
      <c r="AG203" s="25"/>
      <c r="AH203" s="11" t="s">
        <v>35</v>
      </c>
    </row>
    <row r="204" spans="1:34" s="37" customFormat="1" ht="12.75" customHeight="1">
      <c r="A204" s="1">
        <v>203</v>
      </c>
      <c r="B204" s="29">
        <v>39853</v>
      </c>
      <c r="C204" s="30">
        <v>39855</v>
      </c>
      <c r="D204" s="30"/>
      <c r="E204" s="38" t="s">
        <v>677</v>
      </c>
      <c r="F204" s="31"/>
      <c r="G204" s="32" t="s">
        <v>20</v>
      </c>
      <c r="H204" s="33">
        <v>50</v>
      </c>
      <c r="I204" s="32" t="s">
        <v>678</v>
      </c>
      <c r="J204" s="31" t="s">
        <v>679</v>
      </c>
      <c r="K204" s="31" t="s">
        <v>291</v>
      </c>
      <c r="L204" s="32" t="s">
        <v>24</v>
      </c>
      <c r="M204" s="30">
        <v>39855</v>
      </c>
      <c r="N204" s="33">
        <v>1</v>
      </c>
      <c r="O204" s="32" t="s">
        <v>25</v>
      </c>
      <c r="P204" s="32" t="s">
        <v>26</v>
      </c>
      <c r="Q204" s="32" t="s">
        <v>27</v>
      </c>
      <c r="R204" s="32" t="s">
        <v>60</v>
      </c>
      <c r="S204" s="30">
        <f t="shared" ca="1" si="9"/>
        <v>40470.53652858796</v>
      </c>
      <c r="T204" s="31">
        <f t="shared" ca="1" si="8"/>
        <v>20</v>
      </c>
      <c r="U204" s="32" t="s">
        <v>224</v>
      </c>
      <c r="V204" s="32" t="s">
        <v>42</v>
      </c>
      <c r="W204" s="32" t="s">
        <v>224</v>
      </c>
      <c r="X204" s="32" t="s">
        <v>224</v>
      </c>
      <c r="Y204" s="32" t="s">
        <v>42</v>
      </c>
      <c r="Z204" s="35" t="s">
        <v>273</v>
      </c>
      <c r="AA204" s="35" t="s">
        <v>172</v>
      </c>
      <c r="AB204" s="32"/>
      <c r="AC204" s="12" t="s">
        <v>34</v>
      </c>
      <c r="AD204" s="25">
        <v>39855</v>
      </c>
      <c r="AE204" s="25"/>
      <c r="AF204" s="25"/>
      <c r="AG204" s="25"/>
      <c r="AH204" s="11" t="s">
        <v>35</v>
      </c>
    </row>
    <row r="205" spans="1:34" s="37" customFormat="1">
      <c r="A205" s="1">
        <v>204</v>
      </c>
      <c r="B205" s="29">
        <v>39854</v>
      </c>
      <c r="C205" s="30">
        <v>39856</v>
      </c>
      <c r="D205" s="30"/>
      <c r="E205" s="34" t="s">
        <v>680</v>
      </c>
      <c r="F205" s="32"/>
      <c r="G205" s="32" t="s">
        <v>37</v>
      </c>
      <c r="H205" s="33">
        <v>18</v>
      </c>
      <c r="I205" s="32" t="s">
        <v>681</v>
      </c>
      <c r="J205" s="32" t="s">
        <v>682</v>
      </c>
      <c r="K205" s="32" t="s">
        <v>223</v>
      </c>
      <c r="L205" s="32" t="s">
        <v>24</v>
      </c>
      <c r="M205" s="30">
        <v>39856</v>
      </c>
      <c r="N205" s="33">
        <v>1</v>
      </c>
      <c r="O205" s="32" t="s">
        <v>40</v>
      </c>
      <c r="P205" s="32" t="s">
        <v>176</v>
      </c>
      <c r="Q205" s="32" t="s">
        <v>27</v>
      </c>
      <c r="R205" s="32" t="s">
        <v>42</v>
      </c>
      <c r="S205" s="30">
        <f t="shared" ca="1" si="9"/>
        <v>40470.53652858796</v>
      </c>
      <c r="T205" s="31">
        <f t="shared" ca="1" si="8"/>
        <v>20</v>
      </c>
      <c r="U205" s="32" t="s">
        <v>42</v>
      </c>
      <c r="V205" s="32" t="s">
        <v>42</v>
      </c>
      <c r="W205" s="32" t="s">
        <v>42</v>
      </c>
      <c r="X205" s="32" t="s">
        <v>42</v>
      </c>
      <c r="Y205" s="32" t="s">
        <v>42</v>
      </c>
      <c r="Z205" s="35">
        <v>24.783359999999998</v>
      </c>
      <c r="AA205" s="35">
        <v>67.128749999999997</v>
      </c>
      <c r="AB205" s="32"/>
      <c r="AC205" s="12" t="s">
        <v>2516</v>
      </c>
      <c r="AD205" s="25">
        <v>40100</v>
      </c>
      <c r="AE205" s="25"/>
      <c r="AF205" s="25"/>
      <c r="AG205" s="25"/>
      <c r="AH205" s="11" t="s">
        <v>44</v>
      </c>
    </row>
    <row r="206" spans="1:34" s="37" customFormat="1">
      <c r="A206" s="1">
        <v>205</v>
      </c>
      <c r="B206" s="29">
        <v>39855</v>
      </c>
      <c r="C206" s="30">
        <v>39857</v>
      </c>
      <c r="D206" s="30"/>
      <c r="E206" s="34" t="s">
        <v>683</v>
      </c>
      <c r="F206" s="32"/>
      <c r="G206" s="32" t="s">
        <v>20</v>
      </c>
      <c r="H206" s="33">
        <v>30</v>
      </c>
      <c r="I206" s="34" t="s">
        <v>684</v>
      </c>
      <c r="J206" s="32" t="s">
        <v>685</v>
      </c>
      <c r="K206" s="32" t="s">
        <v>48</v>
      </c>
      <c r="L206" s="32" t="s">
        <v>24</v>
      </c>
      <c r="M206" s="30">
        <v>39857</v>
      </c>
      <c r="N206" s="33">
        <v>1</v>
      </c>
      <c r="O206" s="32" t="s">
        <v>40</v>
      </c>
      <c r="P206" s="32" t="s">
        <v>213</v>
      </c>
      <c r="Q206" s="32" t="s">
        <v>27</v>
      </c>
      <c r="R206" s="32" t="s">
        <v>56</v>
      </c>
      <c r="S206" s="30">
        <f t="shared" ca="1" si="9"/>
        <v>40470.53652858796</v>
      </c>
      <c r="T206" s="31">
        <f t="shared" ref="T206:T269" ca="1" si="10">(YEAR(S206)-YEAR(M206))*12+MONTH(S206)-MONTH(M206)</f>
        <v>20</v>
      </c>
      <c r="U206" s="32" t="s">
        <v>42</v>
      </c>
      <c r="V206" s="32" t="s">
        <v>42</v>
      </c>
      <c r="W206" s="32" t="s">
        <v>42</v>
      </c>
      <c r="X206" s="32" t="s">
        <v>42</v>
      </c>
      <c r="Y206" s="32" t="s">
        <v>42</v>
      </c>
      <c r="Z206" s="35">
        <v>24.828869999999998</v>
      </c>
      <c r="AA206" s="35">
        <v>67.142070000000004</v>
      </c>
      <c r="AB206" s="32"/>
      <c r="AC206" s="12" t="s">
        <v>2516</v>
      </c>
      <c r="AD206" s="25">
        <v>40094</v>
      </c>
      <c r="AE206" s="25"/>
      <c r="AF206" s="25"/>
      <c r="AG206" s="25"/>
      <c r="AH206" s="11" t="s">
        <v>44</v>
      </c>
    </row>
    <row r="207" spans="1:34" s="37" customFormat="1">
      <c r="A207" s="1">
        <v>206</v>
      </c>
      <c r="B207" s="29">
        <v>39856</v>
      </c>
      <c r="C207" s="30">
        <v>39860</v>
      </c>
      <c r="D207" s="30"/>
      <c r="E207" s="34" t="s">
        <v>686</v>
      </c>
      <c r="F207" s="32"/>
      <c r="G207" s="32" t="s">
        <v>37</v>
      </c>
      <c r="H207" s="33">
        <v>22</v>
      </c>
      <c r="I207" s="32" t="s">
        <v>687</v>
      </c>
      <c r="J207" s="32" t="s">
        <v>688</v>
      </c>
      <c r="K207" s="32" t="s">
        <v>39</v>
      </c>
      <c r="L207" s="32" t="s">
        <v>24</v>
      </c>
      <c r="M207" s="30">
        <v>39860</v>
      </c>
      <c r="N207" s="33">
        <v>1</v>
      </c>
      <c r="O207" s="32" t="s">
        <v>40</v>
      </c>
      <c r="P207" s="32" t="s">
        <v>315</v>
      </c>
      <c r="Q207" s="32" t="s">
        <v>27</v>
      </c>
      <c r="R207" s="32" t="s">
        <v>2731</v>
      </c>
      <c r="S207" s="30">
        <f t="shared" ca="1" si="9"/>
        <v>40470.53652858796</v>
      </c>
      <c r="T207" s="31">
        <f t="shared" ca="1" si="10"/>
        <v>20</v>
      </c>
      <c r="U207" s="32" t="s">
        <v>42</v>
      </c>
      <c r="V207" s="32" t="s">
        <v>42</v>
      </c>
      <c r="W207" s="32" t="s">
        <v>42</v>
      </c>
      <c r="X207" s="32" t="s">
        <v>42</v>
      </c>
      <c r="Y207" s="32" t="s">
        <v>42</v>
      </c>
      <c r="Z207" s="35">
        <v>24.836600000000001</v>
      </c>
      <c r="AA207" s="35">
        <v>67.214129999999997</v>
      </c>
      <c r="AB207" s="32"/>
      <c r="AC207" s="12" t="s">
        <v>2510</v>
      </c>
      <c r="AD207" s="25">
        <v>40098</v>
      </c>
      <c r="AE207" s="25"/>
      <c r="AF207" s="25"/>
      <c r="AG207" s="25"/>
      <c r="AH207" s="11" t="s">
        <v>44</v>
      </c>
    </row>
    <row r="208" spans="1:34" s="37" customFormat="1" ht="12.75" customHeight="1">
      <c r="A208" s="1">
        <v>207</v>
      </c>
      <c r="B208" s="29">
        <v>39857</v>
      </c>
      <c r="C208" s="30">
        <v>39861</v>
      </c>
      <c r="D208" s="30"/>
      <c r="E208" s="34" t="s">
        <v>689</v>
      </c>
      <c r="F208" s="32"/>
      <c r="G208" s="32" t="s">
        <v>37</v>
      </c>
      <c r="H208" s="33">
        <v>31</v>
      </c>
      <c r="I208" s="32" t="s">
        <v>690</v>
      </c>
      <c r="J208" s="32" t="s">
        <v>691</v>
      </c>
      <c r="K208" s="32" t="s">
        <v>206</v>
      </c>
      <c r="L208" s="32" t="s">
        <v>24</v>
      </c>
      <c r="M208" s="30">
        <v>39861</v>
      </c>
      <c r="N208" s="33">
        <v>2</v>
      </c>
      <c r="O208" s="32" t="s">
        <v>25</v>
      </c>
      <c r="P208" s="32" t="s">
        <v>26</v>
      </c>
      <c r="Q208" s="32" t="s">
        <v>477</v>
      </c>
      <c r="R208" s="32" t="s">
        <v>28</v>
      </c>
      <c r="S208" s="30">
        <f t="shared" ca="1" si="9"/>
        <v>40470.53652858796</v>
      </c>
      <c r="T208" s="31">
        <f t="shared" ca="1" si="10"/>
        <v>20</v>
      </c>
      <c r="U208" s="32" t="s">
        <v>42</v>
      </c>
      <c r="V208" s="32" t="s">
        <v>56</v>
      </c>
      <c r="W208" s="32" t="s">
        <v>56</v>
      </c>
      <c r="X208" s="32" t="s">
        <v>56</v>
      </c>
      <c r="Y208" s="32" t="s">
        <v>42</v>
      </c>
      <c r="Z208" s="35">
        <v>24.831320000000002</v>
      </c>
      <c r="AA208" s="35">
        <v>67.231589999999997</v>
      </c>
      <c r="AB208" s="32"/>
      <c r="AC208" s="12" t="s">
        <v>2516</v>
      </c>
      <c r="AD208" s="25">
        <v>40093</v>
      </c>
      <c r="AE208" s="25"/>
      <c r="AF208" s="25"/>
      <c r="AG208" s="25"/>
      <c r="AH208" s="11" t="s">
        <v>44</v>
      </c>
    </row>
    <row r="209" spans="1:34" s="37" customFormat="1" ht="12.75" customHeight="1">
      <c r="A209" s="1">
        <v>208</v>
      </c>
      <c r="B209" s="29">
        <v>39858</v>
      </c>
      <c r="C209" s="30">
        <v>39861</v>
      </c>
      <c r="D209" s="30"/>
      <c r="E209" s="34" t="s">
        <v>692</v>
      </c>
      <c r="F209" s="32"/>
      <c r="G209" s="32" t="s">
        <v>37</v>
      </c>
      <c r="H209" s="33">
        <v>30</v>
      </c>
      <c r="I209" s="32" t="s">
        <v>693</v>
      </c>
      <c r="J209" s="32" t="s">
        <v>694</v>
      </c>
      <c r="K209" s="32" t="s">
        <v>48</v>
      </c>
      <c r="L209" s="32" t="s">
        <v>24</v>
      </c>
      <c r="M209" s="30">
        <v>39861</v>
      </c>
      <c r="N209" s="33">
        <v>2</v>
      </c>
      <c r="O209" s="32" t="s">
        <v>25</v>
      </c>
      <c r="P209" s="32" t="s">
        <v>26</v>
      </c>
      <c r="Q209" s="32" t="s">
        <v>49</v>
      </c>
      <c r="R209" s="32" t="s">
        <v>28</v>
      </c>
      <c r="S209" s="30">
        <f t="shared" ca="1" si="9"/>
        <v>40470.53652858796</v>
      </c>
      <c r="T209" s="31">
        <f t="shared" ca="1" si="10"/>
        <v>20</v>
      </c>
      <c r="U209" s="32" t="s">
        <v>42</v>
      </c>
      <c r="V209" s="32" t="s">
        <v>56</v>
      </c>
      <c r="W209" s="32" t="s">
        <v>56</v>
      </c>
      <c r="X209" s="32" t="s">
        <v>56</v>
      </c>
      <c r="Y209" s="32" t="s">
        <v>42</v>
      </c>
      <c r="Z209" s="35">
        <v>25.00112</v>
      </c>
      <c r="AA209" s="35">
        <v>67.048509999999993</v>
      </c>
      <c r="AB209" s="32"/>
      <c r="AC209" s="12" t="s">
        <v>2526</v>
      </c>
      <c r="AD209" s="25">
        <v>39987</v>
      </c>
      <c r="AE209" s="25"/>
      <c r="AF209" s="25"/>
      <c r="AG209" s="25"/>
      <c r="AH209" s="11" t="s">
        <v>67</v>
      </c>
    </row>
    <row r="210" spans="1:34" s="37" customFormat="1">
      <c r="A210" s="1">
        <v>209</v>
      </c>
      <c r="B210" s="29">
        <v>39853</v>
      </c>
      <c r="C210" s="30">
        <v>39867</v>
      </c>
      <c r="D210" s="30"/>
      <c r="E210" s="34" t="s">
        <v>695</v>
      </c>
      <c r="F210" s="32"/>
      <c r="G210" s="32" t="s">
        <v>20</v>
      </c>
      <c r="H210" s="33">
        <v>24</v>
      </c>
      <c r="I210" s="32" t="s">
        <v>696</v>
      </c>
      <c r="J210" s="32" t="s">
        <v>697</v>
      </c>
      <c r="K210" s="32" t="s">
        <v>48</v>
      </c>
      <c r="L210" s="32" t="s">
        <v>24</v>
      </c>
      <c r="M210" s="30">
        <v>39867</v>
      </c>
      <c r="N210" s="33">
        <v>1</v>
      </c>
      <c r="O210" s="32" t="s">
        <v>40</v>
      </c>
      <c r="P210" s="32" t="s">
        <v>176</v>
      </c>
      <c r="Q210" s="32" t="s">
        <v>27</v>
      </c>
      <c r="R210" s="32" t="s">
        <v>26</v>
      </c>
      <c r="S210" s="30">
        <f t="shared" ca="1" si="9"/>
        <v>40470.53652858796</v>
      </c>
      <c r="T210" s="31">
        <f t="shared" ca="1" si="10"/>
        <v>20</v>
      </c>
      <c r="U210" s="32" t="s">
        <v>42</v>
      </c>
      <c r="V210" s="32" t="s">
        <v>26</v>
      </c>
      <c r="W210" s="32" t="s">
        <v>26</v>
      </c>
      <c r="X210" s="32" t="s">
        <v>26</v>
      </c>
      <c r="Y210" s="32" t="s">
        <v>42</v>
      </c>
      <c r="Z210" s="35"/>
      <c r="AA210" s="35"/>
      <c r="AB210" s="32"/>
      <c r="AC210" s="12" t="s">
        <v>2518</v>
      </c>
      <c r="AD210" s="25">
        <v>39918</v>
      </c>
      <c r="AE210" s="25"/>
      <c r="AF210" s="25"/>
      <c r="AG210" s="25"/>
      <c r="AH210" s="11" t="s">
        <v>122</v>
      </c>
    </row>
    <row r="211" spans="1:34" s="37" customFormat="1">
      <c r="A211" s="1">
        <v>210</v>
      </c>
      <c r="B211" s="29">
        <v>39853</v>
      </c>
      <c r="C211" s="30">
        <v>39868</v>
      </c>
      <c r="D211" s="30"/>
      <c r="E211" s="38" t="s">
        <v>698</v>
      </c>
      <c r="F211" s="31"/>
      <c r="G211" s="32" t="s">
        <v>37</v>
      </c>
      <c r="H211" s="33">
        <v>19</v>
      </c>
      <c r="I211" s="34" t="s">
        <v>699</v>
      </c>
      <c r="J211" s="31" t="s">
        <v>700</v>
      </c>
      <c r="K211" s="31" t="s">
        <v>39</v>
      </c>
      <c r="L211" s="32" t="s">
        <v>24</v>
      </c>
      <c r="M211" s="30">
        <v>39868</v>
      </c>
      <c r="N211" s="33">
        <v>1</v>
      </c>
      <c r="O211" s="32" t="s">
        <v>40</v>
      </c>
      <c r="P211" s="32" t="s">
        <v>72</v>
      </c>
      <c r="Q211" s="32" t="s">
        <v>27</v>
      </c>
      <c r="R211" s="32" t="s">
        <v>56</v>
      </c>
      <c r="S211" s="30">
        <f t="shared" ca="1" si="9"/>
        <v>40470.53652858796</v>
      </c>
      <c r="T211" s="31">
        <f t="shared" ca="1" si="10"/>
        <v>20</v>
      </c>
      <c r="U211" s="32" t="s">
        <v>42</v>
      </c>
      <c r="V211" s="32" t="s">
        <v>42</v>
      </c>
      <c r="W211" s="32" t="s">
        <v>42</v>
      </c>
      <c r="X211" s="32" t="s">
        <v>42</v>
      </c>
      <c r="Y211" s="32" t="s">
        <v>42</v>
      </c>
      <c r="Z211" s="35">
        <v>24.828040000000001</v>
      </c>
      <c r="AA211" s="35">
        <v>67.141869999999997</v>
      </c>
      <c r="AB211" s="32"/>
      <c r="AC211" s="12" t="s">
        <v>2516</v>
      </c>
      <c r="AD211" s="25">
        <v>40109</v>
      </c>
      <c r="AE211" s="25"/>
      <c r="AF211" s="25"/>
      <c r="AG211" s="25"/>
      <c r="AH211" s="11" t="s">
        <v>44</v>
      </c>
    </row>
    <row r="212" spans="1:34" s="37" customFormat="1" ht="12.75" customHeight="1">
      <c r="A212" s="1">
        <v>211</v>
      </c>
      <c r="B212" s="29">
        <v>39845</v>
      </c>
      <c r="C212" s="30">
        <v>39868</v>
      </c>
      <c r="D212" s="30"/>
      <c r="E212" s="38" t="s">
        <v>701</v>
      </c>
      <c r="F212" s="31"/>
      <c r="G212" s="32" t="s">
        <v>20</v>
      </c>
      <c r="H212" s="33">
        <v>52</v>
      </c>
      <c r="I212" s="32" t="s">
        <v>702</v>
      </c>
      <c r="J212" s="31" t="s">
        <v>703</v>
      </c>
      <c r="K212" s="31" t="s">
        <v>253</v>
      </c>
      <c r="L212" s="32" t="s">
        <v>24</v>
      </c>
      <c r="M212" s="30">
        <v>39868</v>
      </c>
      <c r="N212" s="33">
        <v>2</v>
      </c>
      <c r="O212" s="32" t="s">
        <v>25</v>
      </c>
      <c r="P212" s="32" t="s">
        <v>26</v>
      </c>
      <c r="Q212" s="32" t="s">
        <v>381</v>
      </c>
      <c r="R212" s="32" t="s">
        <v>28</v>
      </c>
      <c r="S212" s="30">
        <f t="shared" ca="1" si="9"/>
        <v>40470.53652858796</v>
      </c>
      <c r="T212" s="31">
        <f t="shared" ca="1" si="10"/>
        <v>20</v>
      </c>
      <c r="U212" s="32" t="s">
        <v>42</v>
      </c>
      <c r="V212" s="32" t="s">
        <v>56</v>
      </c>
      <c r="W212" s="32" t="s">
        <v>224</v>
      </c>
      <c r="X212" s="32" t="s">
        <v>56</v>
      </c>
      <c r="Y212" s="32" t="s">
        <v>42</v>
      </c>
      <c r="Z212" s="35">
        <v>24.81851</v>
      </c>
      <c r="AA212" s="35">
        <v>67.136170000000007</v>
      </c>
      <c r="AB212" s="32"/>
      <c r="AC212" s="12" t="s">
        <v>915</v>
      </c>
      <c r="AD212" s="25">
        <v>40113</v>
      </c>
      <c r="AE212" s="25"/>
      <c r="AF212" s="25"/>
      <c r="AG212" s="25"/>
      <c r="AH212" s="11" t="s">
        <v>61</v>
      </c>
    </row>
    <row r="213" spans="1:34" s="37" customFormat="1" ht="12.75" customHeight="1">
      <c r="A213" s="1">
        <v>212</v>
      </c>
      <c r="B213" s="29">
        <v>39853</v>
      </c>
      <c r="C213" s="30">
        <v>39868</v>
      </c>
      <c r="D213" s="30"/>
      <c r="E213" s="38" t="s">
        <v>704</v>
      </c>
      <c r="F213" s="31"/>
      <c r="G213" s="32" t="s">
        <v>37</v>
      </c>
      <c r="H213" s="33">
        <v>19</v>
      </c>
      <c r="I213" s="32" t="s">
        <v>705</v>
      </c>
      <c r="J213" s="31" t="s">
        <v>706</v>
      </c>
      <c r="K213" s="31" t="s">
        <v>39</v>
      </c>
      <c r="L213" s="32" t="s">
        <v>24</v>
      </c>
      <c r="M213" s="30">
        <v>39868</v>
      </c>
      <c r="N213" s="33">
        <v>1</v>
      </c>
      <c r="O213" s="32" t="s">
        <v>25</v>
      </c>
      <c r="P213" s="32" t="s">
        <v>26</v>
      </c>
      <c r="Q213" s="32" t="s">
        <v>27</v>
      </c>
      <c r="R213" s="32" t="s">
        <v>60</v>
      </c>
      <c r="S213" s="30">
        <f t="shared" ca="1" si="9"/>
        <v>40470.53652858796</v>
      </c>
      <c r="T213" s="31">
        <f t="shared" ca="1" si="10"/>
        <v>20</v>
      </c>
      <c r="U213" s="32" t="s">
        <v>56</v>
      </c>
      <c r="V213" s="32" t="s">
        <v>42</v>
      </c>
      <c r="W213" s="32" t="s">
        <v>42</v>
      </c>
      <c r="X213" s="32" t="s">
        <v>56</v>
      </c>
      <c r="Y213" s="32" t="s">
        <v>42</v>
      </c>
      <c r="Z213" s="35">
        <v>24.810089999999999</v>
      </c>
      <c r="AA213" s="35">
        <v>67.106830000000002</v>
      </c>
      <c r="AB213" s="32"/>
      <c r="AC213" s="12" t="s">
        <v>915</v>
      </c>
      <c r="AD213" s="25">
        <v>40113</v>
      </c>
      <c r="AE213" s="25"/>
      <c r="AF213" s="25"/>
      <c r="AG213" s="25"/>
      <c r="AH213" s="11" t="s">
        <v>61</v>
      </c>
    </row>
    <row r="214" spans="1:34" s="37" customFormat="1">
      <c r="A214" s="1">
        <v>213</v>
      </c>
      <c r="B214" s="29">
        <v>39853</v>
      </c>
      <c r="C214" s="30" t="s">
        <v>707</v>
      </c>
      <c r="D214" s="30"/>
      <c r="E214" s="38" t="s">
        <v>708</v>
      </c>
      <c r="F214" s="31"/>
      <c r="G214" s="32" t="s">
        <v>37</v>
      </c>
      <c r="H214" s="33">
        <v>33</v>
      </c>
      <c r="I214" s="32" t="s">
        <v>709</v>
      </c>
      <c r="J214" s="31" t="s">
        <v>710</v>
      </c>
      <c r="K214" s="31" t="s">
        <v>39</v>
      </c>
      <c r="L214" s="32" t="s">
        <v>24</v>
      </c>
      <c r="M214" s="30">
        <v>39870</v>
      </c>
      <c r="N214" s="33">
        <v>1</v>
      </c>
      <c r="O214" s="32" t="s">
        <v>40</v>
      </c>
      <c r="P214" s="32" t="s">
        <v>72</v>
      </c>
      <c r="Q214" s="32" t="s">
        <v>27</v>
      </c>
      <c r="R214" s="32" t="s">
        <v>56</v>
      </c>
      <c r="S214" s="30">
        <f t="shared" ca="1" si="9"/>
        <v>40470.53652858796</v>
      </c>
      <c r="T214" s="31">
        <f t="shared" ca="1" si="10"/>
        <v>20</v>
      </c>
      <c r="U214" s="32" t="s">
        <v>42</v>
      </c>
      <c r="V214" s="32" t="s">
        <v>42</v>
      </c>
      <c r="W214" s="32" t="s">
        <v>42</v>
      </c>
      <c r="X214" s="32" t="s">
        <v>42</v>
      </c>
      <c r="Y214" s="32" t="s">
        <v>42</v>
      </c>
      <c r="Z214" s="35">
        <v>24.835049999999999</v>
      </c>
      <c r="AA214" s="35">
        <v>67.158590000000004</v>
      </c>
      <c r="AB214" s="32"/>
      <c r="AC214" s="12" t="s">
        <v>2510</v>
      </c>
      <c r="AD214" s="25">
        <v>40112</v>
      </c>
      <c r="AE214" s="25"/>
      <c r="AF214" s="25"/>
      <c r="AG214" s="25"/>
      <c r="AH214" s="11" t="s">
        <v>44</v>
      </c>
    </row>
    <row r="215" spans="1:34" s="37" customFormat="1">
      <c r="A215" s="1">
        <v>214</v>
      </c>
      <c r="B215" s="29">
        <v>39881</v>
      </c>
      <c r="C215" s="30">
        <v>39875</v>
      </c>
      <c r="D215" s="30"/>
      <c r="E215" s="38" t="s">
        <v>711</v>
      </c>
      <c r="F215" s="31"/>
      <c r="G215" s="32" t="s">
        <v>37</v>
      </c>
      <c r="H215" s="33">
        <v>15</v>
      </c>
      <c r="I215" s="32" t="s">
        <v>712</v>
      </c>
      <c r="J215" s="31" t="s">
        <v>713</v>
      </c>
      <c r="K215" s="31" t="s">
        <v>39</v>
      </c>
      <c r="L215" s="32" t="s">
        <v>24</v>
      </c>
      <c r="M215" s="30">
        <v>39875</v>
      </c>
      <c r="N215" s="33">
        <v>1</v>
      </c>
      <c r="O215" s="32" t="s">
        <v>40</v>
      </c>
      <c r="P215" s="32" t="s">
        <v>213</v>
      </c>
      <c r="Q215" s="32" t="s">
        <v>27</v>
      </c>
      <c r="R215" s="32" t="s">
        <v>56</v>
      </c>
      <c r="S215" s="30">
        <f t="shared" ca="1" si="9"/>
        <v>40470.53652858796</v>
      </c>
      <c r="T215" s="31">
        <f t="shared" ca="1" si="10"/>
        <v>19</v>
      </c>
      <c r="U215" s="32" t="s">
        <v>42</v>
      </c>
      <c r="V215" s="32" t="s">
        <v>42</v>
      </c>
      <c r="W215" s="32" t="s">
        <v>42</v>
      </c>
      <c r="X215" s="32" t="s">
        <v>42</v>
      </c>
      <c r="Y215" s="32" t="s">
        <v>42</v>
      </c>
      <c r="Z215" s="35">
        <v>24.819690000000001</v>
      </c>
      <c r="AA215" s="35">
        <v>67.133229999999998</v>
      </c>
      <c r="AB215" s="32"/>
      <c r="AC215" s="12" t="s">
        <v>714</v>
      </c>
      <c r="AD215" s="25">
        <v>39896</v>
      </c>
      <c r="AE215" s="25"/>
      <c r="AF215" s="25"/>
      <c r="AG215" s="25"/>
      <c r="AH215" s="11" t="s">
        <v>35</v>
      </c>
    </row>
    <row r="216" spans="1:34" s="37" customFormat="1">
      <c r="A216" s="1">
        <v>215</v>
      </c>
      <c r="B216" s="29">
        <v>39882</v>
      </c>
      <c r="C216" s="30">
        <v>39876</v>
      </c>
      <c r="D216" s="30"/>
      <c r="E216" s="38" t="s">
        <v>715</v>
      </c>
      <c r="F216" s="31"/>
      <c r="G216" s="32" t="s">
        <v>20</v>
      </c>
      <c r="H216" s="33">
        <v>55</v>
      </c>
      <c r="I216" s="32" t="s">
        <v>716</v>
      </c>
      <c r="J216" s="31" t="s">
        <v>717</v>
      </c>
      <c r="K216" s="31" t="s">
        <v>253</v>
      </c>
      <c r="L216" s="32" t="s">
        <v>24</v>
      </c>
      <c r="M216" s="30">
        <v>39876</v>
      </c>
      <c r="N216" s="33">
        <v>1</v>
      </c>
      <c r="O216" s="32" t="s">
        <v>40</v>
      </c>
      <c r="P216" s="32" t="s">
        <v>109</v>
      </c>
      <c r="Q216" s="32" t="s">
        <v>27</v>
      </c>
      <c r="R216" s="32" t="s">
        <v>2729</v>
      </c>
      <c r="S216" s="30">
        <f t="shared" ca="1" si="9"/>
        <v>40470.53652858796</v>
      </c>
      <c r="T216" s="31">
        <f t="shared" ca="1" si="10"/>
        <v>19</v>
      </c>
      <c r="U216" s="32" t="s">
        <v>42</v>
      </c>
      <c r="V216" s="32" t="s">
        <v>42</v>
      </c>
      <c r="W216" s="32" t="s">
        <v>42</v>
      </c>
      <c r="X216" s="32" t="s">
        <v>42</v>
      </c>
      <c r="Y216" s="32" t="s">
        <v>42</v>
      </c>
      <c r="Z216" s="35">
        <v>24.8446</v>
      </c>
      <c r="AA216" s="35">
        <v>67.180909999999997</v>
      </c>
      <c r="AB216" s="32"/>
      <c r="AC216" s="12" t="s">
        <v>2516</v>
      </c>
      <c r="AD216" s="25">
        <v>40122</v>
      </c>
      <c r="AE216" s="25"/>
      <c r="AF216" s="25"/>
      <c r="AG216" s="25"/>
      <c r="AH216" s="11" t="s">
        <v>44</v>
      </c>
    </row>
    <row r="217" spans="1:34" s="37" customFormat="1" ht="12.75" customHeight="1">
      <c r="A217" s="1">
        <v>216</v>
      </c>
      <c r="B217" s="29">
        <v>39883</v>
      </c>
      <c r="C217" s="30">
        <v>39877</v>
      </c>
      <c r="D217" s="30"/>
      <c r="E217" s="38" t="s">
        <v>718</v>
      </c>
      <c r="F217" s="31"/>
      <c r="G217" s="32" t="s">
        <v>20</v>
      </c>
      <c r="H217" s="33">
        <v>20</v>
      </c>
      <c r="I217" s="32" t="s">
        <v>719</v>
      </c>
      <c r="J217" s="31" t="s">
        <v>720</v>
      </c>
      <c r="K217" s="31" t="s">
        <v>39</v>
      </c>
      <c r="L217" s="32" t="s">
        <v>24</v>
      </c>
      <c r="M217" s="30">
        <v>39877</v>
      </c>
      <c r="N217" s="33">
        <v>1</v>
      </c>
      <c r="O217" s="32" t="s">
        <v>25</v>
      </c>
      <c r="P217" s="32" t="s">
        <v>26</v>
      </c>
      <c r="Q217" s="32" t="s">
        <v>27</v>
      </c>
      <c r="R217" s="32" t="s">
        <v>28</v>
      </c>
      <c r="S217" s="30">
        <f t="shared" ca="1" si="9"/>
        <v>40470.53652858796</v>
      </c>
      <c r="T217" s="31">
        <f t="shared" ca="1" si="10"/>
        <v>19</v>
      </c>
      <c r="U217" s="32" t="s">
        <v>42</v>
      </c>
      <c r="V217" s="32" t="s">
        <v>56</v>
      </c>
      <c r="W217" s="32" t="s">
        <v>308</v>
      </c>
      <c r="X217" s="32" t="s">
        <v>56</v>
      </c>
      <c r="Y217" s="32" t="s">
        <v>42</v>
      </c>
      <c r="Z217" s="35">
        <v>24.833919999999999</v>
      </c>
      <c r="AA217" s="35">
        <v>67.134259999999998</v>
      </c>
      <c r="AB217" s="32"/>
      <c r="AC217" s="12" t="s">
        <v>915</v>
      </c>
      <c r="AD217" s="25">
        <v>40106</v>
      </c>
      <c r="AE217" s="25"/>
      <c r="AF217" s="25"/>
      <c r="AG217" s="25"/>
      <c r="AH217" s="11" t="s">
        <v>61</v>
      </c>
    </row>
    <row r="218" spans="1:34" s="37" customFormat="1" ht="12.75" customHeight="1">
      <c r="A218" s="1">
        <v>217</v>
      </c>
      <c r="B218" s="29">
        <v>39884</v>
      </c>
      <c r="C218" s="30">
        <v>39879</v>
      </c>
      <c r="D218" s="30"/>
      <c r="E218" s="38" t="s">
        <v>721</v>
      </c>
      <c r="F218" s="31"/>
      <c r="G218" s="32" t="s">
        <v>37</v>
      </c>
      <c r="H218" s="33">
        <v>20</v>
      </c>
      <c r="I218" s="32" t="s">
        <v>722</v>
      </c>
      <c r="J218" s="31" t="s">
        <v>754</v>
      </c>
      <c r="K218" s="31" t="s">
        <v>106</v>
      </c>
      <c r="L218" s="32" t="s">
        <v>24</v>
      </c>
      <c r="M218" s="30">
        <v>39879</v>
      </c>
      <c r="N218" s="33">
        <v>1</v>
      </c>
      <c r="O218" s="32" t="s">
        <v>25</v>
      </c>
      <c r="P218" s="32" t="s">
        <v>26</v>
      </c>
      <c r="Q218" s="32" t="s">
        <v>27</v>
      </c>
      <c r="R218" s="32" t="s">
        <v>56</v>
      </c>
      <c r="S218" s="30">
        <f t="shared" ca="1" si="9"/>
        <v>40470.53652858796</v>
      </c>
      <c r="T218" s="31">
        <f t="shared" ca="1" si="10"/>
        <v>19</v>
      </c>
      <c r="U218" s="32" t="s">
        <v>308</v>
      </c>
      <c r="V218" s="32" t="s">
        <v>42</v>
      </c>
      <c r="W218" s="32" t="s">
        <v>308</v>
      </c>
      <c r="X218" s="32" t="s">
        <v>308</v>
      </c>
      <c r="Y218" s="32" t="s">
        <v>42</v>
      </c>
      <c r="Z218" s="35">
        <v>24.82535</v>
      </c>
      <c r="AA218" s="35">
        <v>67.160719999999998</v>
      </c>
      <c r="AB218" s="32"/>
      <c r="AC218" s="12" t="s">
        <v>2520</v>
      </c>
      <c r="AD218" s="25">
        <v>39901</v>
      </c>
      <c r="AE218" s="25"/>
      <c r="AF218" s="25"/>
      <c r="AG218" s="25"/>
      <c r="AH218" s="11" t="s">
        <v>158</v>
      </c>
    </row>
    <row r="219" spans="1:34" s="37" customFormat="1" ht="12.75" customHeight="1">
      <c r="A219" s="1">
        <v>218</v>
      </c>
      <c r="B219" s="29">
        <v>39885</v>
      </c>
      <c r="C219" s="30">
        <v>39881</v>
      </c>
      <c r="D219" s="30"/>
      <c r="E219" s="38" t="s">
        <v>755</v>
      </c>
      <c r="F219" s="31"/>
      <c r="G219" s="32" t="s">
        <v>20</v>
      </c>
      <c r="H219" s="33">
        <v>21</v>
      </c>
      <c r="I219" s="32" t="s">
        <v>756</v>
      </c>
      <c r="J219" s="31" t="s">
        <v>757</v>
      </c>
      <c r="K219" s="31" t="s">
        <v>39</v>
      </c>
      <c r="L219" s="32" t="s">
        <v>24</v>
      </c>
      <c r="M219" s="30">
        <v>39881</v>
      </c>
      <c r="N219" s="33">
        <v>2</v>
      </c>
      <c r="O219" s="11" t="s">
        <v>25</v>
      </c>
      <c r="P219" s="32" t="s">
        <v>431</v>
      </c>
      <c r="Q219" s="32" t="s">
        <v>381</v>
      </c>
      <c r="R219" s="25" t="s">
        <v>56</v>
      </c>
      <c r="S219" s="30">
        <f t="shared" ca="1" si="9"/>
        <v>40470.53652858796</v>
      </c>
      <c r="T219" s="31">
        <f t="shared" ca="1" si="10"/>
        <v>19</v>
      </c>
      <c r="U219" s="32" t="s">
        <v>42</v>
      </c>
      <c r="V219" s="32" t="s">
        <v>42</v>
      </c>
      <c r="W219" s="32" t="s">
        <v>42</v>
      </c>
      <c r="X219" s="32" t="s">
        <v>42</v>
      </c>
      <c r="Y219" s="32" t="s">
        <v>42</v>
      </c>
      <c r="Z219" s="35">
        <v>24.958549999999999</v>
      </c>
      <c r="AA219" s="35">
        <v>67.040310000000005</v>
      </c>
      <c r="AB219" s="32"/>
      <c r="AC219" s="12" t="s">
        <v>2510</v>
      </c>
      <c r="AD219" s="25">
        <v>40198</v>
      </c>
      <c r="AE219" s="25"/>
      <c r="AF219" s="25"/>
      <c r="AG219" s="25"/>
      <c r="AH219" s="11" t="s">
        <v>44</v>
      </c>
    </row>
    <row r="220" spans="1:34" s="37" customFormat="1">
      <c r="A220" s="1">
        <v>219</v>
      </c>
      <c r="B220" s="29">
        <v>39886</v>
      </c>
      <c r="C220" s="30">
        <v>39889</v>
      </c>
      <c r="D220" s="30"/>
      <c r="E220" s="38" t="s">
        <v>758</v>
      </c>
      <c r="F220" s="31"/>
      <c r="G220" s="32" t="s">
        <v>20</v>
      </c>
      <c r="H220" s="33">
        <v>25</v>
      </c>
      <c r="I220" s="32" t="s">
        <v>759</v>
      </c>
      <c r="J220" s="31" t="s">
        <v>760</v>
      </c>
      <c r="K220" s="31" t="s">
        <v>291</v>
      </c>
      <c r="L220" s="32" t="s">
        <v>24</v>
      </c>
      <c r="M220" s="30">
        <v>39889</v>
      </c>
      <c r="N220" s="33">
        <v>1</v>
      </c>
      <c r="O220" s="32" t="s">
        <v>40</v>
      </c>
      <c r="P220" s="32" t="s">
        <v>109</v>
      </c>
      <c r="Q220" s="32" t="s">
        <v>27</v>
      </c>
      <c r="R220" s="32" t="s">
        <v>56</v>
      </c>
      <c r="S220" s="30">
        <f t="shared" ca="1" si="9"/>
        <v>40470.53652858796</v>
      </c>
      <c r="T220" s="31">
        <f t="shared" ca="1" si="10"/>
        <v>19</v>
      </c>
      <c r="U220" s="32" t="s">
        <v>42</v>
      </c>
      <c r="V220" s="32" t="s">
        <v>42</v>
      </c>
      <c r="W220" s="32" t="s">
        <v>42</v>
      </c>
      <c r="X220" s="32" t="s">
        <v>42</v>
      </c>
      <c r="Y220" s="32" t="s">
        <v>42</v>
      </c>
      <c r="Z220" s="35">
        <v>24.830020000000001</v>
      </c>
      <c r="AA220" s="35">
        <v>67.153630000000007</v>
      </c>
      <c r="AB220" s="32"/>
      <c r="AC220" s="12" t="s">
        <v>2516</v>
      </c>
      <c r="AD220" s="25">
        <v>40103</v>
      </c>
      <c r="AE220" s="25"/>
      <c r="AF220" s="25"/>
      <c r="AG220" s="25"/>
      <c r="AH220" s="11" t="s">
        <v>44</v>
      </c>
    </row>
    <row r="221" spans="1:34" s="37" customFormat="1" ht="12.75" customHeight="1">
      <c r="A221" s="1">
        <v>220</v>
      </c>
      <c r="B221" s="29">
        <v>39887</v>
      </c>
      <c r="C221" s="30">
        <v>39889</v>
      </c>
      <c r="D221" s="30"/>
      <c r="E221" s="38" t="s">
        <v>761</v>
      </c>
      <c r="F221" s="31"/>
      <c r="G221" s="32" t="s">
        <v>37</v>
      </c>
      <c r="H221" s="33">
        <v>26</v>
      </c>
      <c r="I221" s="32" t="s">
        <v>762</v>
      </c>
      <c r="J221" s="31" t="s">
        <v>763</v>
      </c>
      <c r="K221" s="31" t="s">
        <v>48</v>
      </c>
      <c r="L221" s="32" t="s">
        <v>24</v>
      </c>
      <c r="M221" s="30">
        <v>39889</v>
      </c>
      <c r="N221" s="33">
        <v>1</v>
      </c>
      <c r="O221" s="32" t="s">
        <v>25</v>
      </c>
      <c r="P221" s="32" t="s">
        <v>26</v>
      </c>
      <c r="Q221" s="32" t="s">
        <v>27</v>
      </c>
      <c r="R221" s="32" t="s">
        <v>28</v>
      </c>
      <c r="S221" s="30">
        <f t="shared" ca="1" si="9"/>
        <v>40470.53652858796</v>
      </c>
      <c r="T221" s="31">
        <f t="shared" ca="1" si="10"/>
        <v>19</v>
      </c>
      <c r="U221" s="32" t="s">
        <v>56</v>
      </c>
      <c r="V221" s="32" t="s">
        <v>42</v>
      </c>
      <c r="W221" s="32" t="s">
        <v>56</v>
      </c>
      <c r="X221" s="32" t="s">
        <v>56</v>
      </c>
      <c r="Y221" s="32" t="s">
        <v>42</v>
      </c>
      <c r="Z221" s="35">
        <v>24.855499999999999</v>
      </c>
      <c r="AA221" s="35">
        <v>67.185569999999998</v>
      </c>
      <c r="AB221" s="32"/>
      <c r="AC221" s="12" t="s">
        <v>915</v>
      </c>
      <c r="AD221" s="25">
        <v>40136</v>
      </c>
      <c r="AE221" s="25"/>
      <c r="AF221" s="25"/>
      <c r="AG221" s="25"/>
      <c r="AH221" s="11" t="s">
        <v>61</v>
      </c>
    </row>
    <row r="222" spans="1:34" s="37" customFormat="1" ht="12.75" customHeight="1">
      <c r="A222" s="1">
        <v>221</v>
      </c>
      <c r="B222" s="29">
        <v>39888</v>
      </c>
      <c r="C222" s="30">
        <v>39889</v>
      </c>
      <c r="D222" s="30"/>
      <c r="E222" s="38" t="s">
        <v>764</v>
      </c>
      <c r="F222" s="31"/>
      <c r="G222" s="32" t="s">
        <v>20</v>
      </c>
      <c r="H222" s="33">
        <v>35</v>
      </c>
      <c r="I222" s="34" t="s">
        <v>765</v>
      </c>
      <c r="J222" s="31" t="s">
        <v>766</v>
      </c>
      <c r="K222" s="31" t="s">
        <v>39</v>
      </c>
      <c r="L222" s="32" t="s">
        <v>24</v>
      </c>
      <c r="M222" s="30">
        <v>39889</v>
      </c>
      <c r="N222" s="33">
        <v>2</v>
      </c>
      <c r="O222" s="32" t="s">
        <v>25</v>
      </c>
      <c r="P222" s="32" t="s">
        <v>26</v>
      </c>
      <c r="Q222" s="32" t="s">
        <v>49</v>
      </c>
      <c r="R222" s="32" t="s">
        <v>28</v>
      </c>
      <c r="S222" s="30">
        <f t="shared" ca="1" si="9"/>
        <v>40470.53652858796</v>
      </c>
      <c r="T222" s="31">
        <f t="shared" ca="1" si="10"/>
        <v>19</v>
      </c>
      <c r="U222" s="32" t="s">
        <v>42</v>
      </c>
      <c r="V222" s="32" t="s">
        <v>56</v>
      </c>
      <c r="W222" s="32" t="s">
        <v>56</v>
      </c>
      <c r="X222" s="32" t="s">
        <v>56</v>
      </c>
      <c r="Y222" s="32" t="s">
        <v>42</v>
      </c>
      <c r="Z222" s="35">
        <v>24.814240000000002</v>
      </c>
      <c r="AA222" s="35">
        <v>67.144750000000002</v>
      </c>
      <c r="AB222" s="32"/>
      <c r="AC222" s="12" t="s">
        <v>122</v>
      </c>
      <c r="AD222" s="25">
        <v>40105</v>
      </c>
      <c r="AE222" s="25"/>
      <c r="AF222" s="25"/>
      <c r="AG222" s="25"/>
      <c r="AH222" s="11" t="s">
        <v>122</v>
      </c>
    </row>
    <row r="223" spans="1:34" s="37" customFormat="1" ht="12.75" customHeight="1">
      <c r="A223" s="1">
        <v>222</v>
      </c>
      <c r="B223" s="29">
        <v>39889</v>
      </c>
      <c r="C223" s="30">
        <v>39889</v>
      </c>
      <c r="D223" s="30"/>
      <c r="E223" s="38" t="s">
        <v>767</v>
      </c>
      <c r="F223" s="31"/>
      <c r="G223" s="32" t="s">
        <v>20</v>
      </c>
      <c r="H223" s="33">
        <v>40</v>
      </c>
      <c r="I223" s="34" t="s">
        <v>768</v>
      </c>
      <c r="J223" s="31" t="s">
        <v>769</v>
      </c>
      <c r="K223" s="31" t="s">
        <v>253</v>
      </c>
      <c r="L223" s="32" t="s">
        <v>24</v>
      </c>
      <c r="M223" s="30">
        <v>39889</v>
      </c>
      <c r="N223" s="33">
        <v>1</v>
      </c>
      <c r="O223" s="32" t="s">
        <v>25</v>
      </c>
      <c r="P223" s="32" t="s">
        <v>26</v>
      </c>
      <c r="Q223" s="32" t="s">
        <v>27</v>
      </c>
      <c r="R223" s="32" t="s">
        <v>28</v>
      </c>
      <c r="S223" s="30">
        <f t="shared" ca="1" si="9"/>
        <v>40470.53652858796</v>
      </c>
      <c r="T223" s="31">
        <f t="shared" ca="1" si="10"/>
        <v>19</v>
      </c>
      <c r="U223" s="32" t="s">
        <v>56</v>
      </c>
      <c r="V223" s="32" t="s">
        <v>42</v>
      </c>
      <c r="W223" s="32" t="s">
        <v>56</v>
      </c>
      <c r="X223" s="32" t="s">
        <v>56</v>
      </c>
      <c r="Y223" s="32" t="s">
        <v>42</v>
      </c>
      <c r="Z223" s="35">
        <v>24.826969999999999</v>
      </c>
      <c r="AA223" s="35">
        <v>67.152730000000005</v>
      </c>
      <c r="AB223" s="32"/>
      <c r="AC223" s="12" t="s">
        <v>915</v>
      </c>
      <c r="AD223" s="25">
        <v>40163</v>
      </c>
      <c r="AE223" s="25"/>
      <c r="AF223" s="25"/>
      <c r="AG223" s="25"/>
      <c r="AH223" s="11" t="s">
        <v>61</v>
      </c>
    </row>
    <row r="224" spans="1:34" s="37" customFormat="1" ht="12.75" customHeight="1">
      <c r="A224" s="1">
        <v>223</v>
      </c>
      <c r="B224" s="29">
        <v>39890</v>
      </c>
      <c r="C224" s="30">
        <v>39890</v>
      </c>
      <c r="D224" s="30"/>
      <c r="E224" s="38" t="s">
        <v>770</v>
      </c>
      <c r="F224" s="31"/>
      <c r="G224" s="32" t="s">
        <v>20</v>
      </c>
      <c r="H224" s="33">
        <v>27</v>
      </c>
      <c r="I224" s="32" t="s">
        <v>771</v>
      </c>
      <c r="J224" s="31" t="s">
        <v>772</v>
      </c>
      <c r="K224" s="31" t="s">
        <v>291</v>
      </c>
      <c r="L224" s="32" t="s">
        <v>24</v>
      </c>
      <c r="M224" s="30">
        <v>39890</v>
      </c>
      <c r="N224" s="33">
        <v>1</v>
      </c>
      <c r="O224" s="32" t="s">
        <v>25</v>
      </c>
      <c r="P224" s="32" t="s">
        <v>26</v>
      </c>
      <c r="Q224" s="32" t="s">
        <v>27</v>
      </c>
      <c r="R224" s="32" t="s">
        <v>28</v>
      </c>
      <c r="S224" s="30">
        <f t="shared" ca="1" si="9"/>
        <v>40470.53652858796</v>
      </c>
      <c r="T224" s="31">
        <f t="shared" ca="1" si="10"/>
        <v>19</v>
      </c>
      <c r="U224" s="32" t="s">
        <v>56</v>
      </c>
      <c r="V224" s="32" t="s">
        <v>42</v>
      </c>
      <c r="W224" s="32" t="s">
        <v>56</v>
      </c>
      <c r="X224" s="32" t="s">
        <v>56</v>
      </c>
      <c r="Y224" s="32" t="s">
        <v>42</v>
      </c>
      <c r="Z224" s="35">
        <v>24.82141</v>
      </c>
      <c r="AA224" s="35">
        <v>67.151169999999993</v>
      </c>
      <c r="AB224" s="32"/>
      <c r="AC224" s="12" t="s">
        <v>915</v>
      </c>
      <c r="AD224" s="25">
        <v>40135</v>
      </c>
      <c r="AE224" s="25"/>
      <c r="AF224" s="25"/>
      <c r="AG224" s="25"/>
      <c r="AH224" s="11" t="s">
        <v>61</v>
      </c>
    </row>
    <row r="225" spans="1:34" s="37" customFormat="1">
      <c r="A225" s="1">
        <v>224</v>
      </c>
      <c r="B225" s="29">
        <v>39891</v>
      </c>
      <c r="C225" s="30">
        <v>39891</v>
      </c>
      <c r="D225" s="30"/>
      <c r="E225" s="38" t="s">
        <v>773</v>
      </c>
      <c r="F225" s="31"/>
      <c r="G225" s="32" t="s">
        <v>37</v>
      </c>
      <c r="H225" s="33">
        <v>16</v>
      </c>
      <c r="I225" s="32" t="s">
        <v>774</v>
      </c>
      <c r="J225" s="31" t="s">
        <v>775</v>
      </c>
      <c r="K225" s="31" t="s">
        <v>106</v>
      </c>
      <c r="L225" s="32" t="s">
        <v>24</v>
      </c>
      <c r="M225" s="30">
        <v>39891</v>
      </c>
      <c r="N225" s="33">
        <v>1</v>
      </c>
      <c r="O225" s="32" t="s">
        <v>40</v>
      </c>
      <c r="P225" s="32" t="s">
        <v>176</v>
      </c>
      <c r="Q225" s="32" t="s">
        <v>27</v>
      </c>
      <c r="R225" s="32" t="s">
        <v>56</v>
      </c>
      <c r="S225" s="30">
        <f t="shared" ca="1" si="9"/>
        <v>40470.53652858796</v>
      </c>
      <c r="T225" s="31">
        <f t="shared" ca="1" si="10"/>
        <v>19</v>
      </c>
      <c r="U225" s="32" t="s">
        <v>42</v>
      </c>
      <c r="V225" s="32" t="s">
        <v>42</v>
      </c>
      <c r="W225" s="32" t="s">
        <v>42</v>
      </c>
      <c r="X225" s="32" t="s">
        <v>42</v>
      </c>
      <c r="Y225" s="32" t="s">
        <v>42</v>
      </c>
      <c r="Z225" s="35">
        <v>24.828340000000001</v>
      </c>
      <c r="AA225" s="35">
        <v>67.127170000000007</v>
      </c>
      <c r="AB225" s="32"/>
      <c r="AC225" s="12" t="s">
        <v>122</v>
      </c>
      <c r="AD225" s="25">
        <v>40001</v>
      </c>
      <c r="AE225" s="25"/>
      <c r="AF225" s="25"/>
      <c r="AG225" s="25"/>
      <c r="AH225" s="11" t="s">
        <v>122</v>
      </c>
    </row>
    <row r="226" spans="1:34" s="37" customFormat="1" ht="12.75" customHeight="1">
      <c r="A226" s="1">
        <v>225</v>
      </c>
      <c r="B226" s="29">
        <v>39892</v>
      </c>
      <c r="C226" s="30">
        <v>39891</v>
      </c>
      <c r="D226" s="30"/>
      <c r="E226" s="38" t="s">
        <v>776</v>
      </c>
      <c r="F226" s="31"/>
      <c r="G226" s="32" t="s">
        <v>37</v>
      </c>
      <c r="H226" s="33">
        <v>25</v>
      </c>
      <c r="I226" s="32" t="s">
        <v>777</v>
      </c>
      <c r="J226" s="31" t="s">
        <v>778</v>
      </c>
      <c r="K226" s="31" t="s">
        <v>206</v>
      </c>
      <c r="L226" s="32" t="s">
        <v>24</v>
      </c>
      <c r="M226" s="30">
        <v>39891</v>
      </c>
      <c r="N226" s="33">
        <v>1</v>
      </c>
      <c r="O226" s="32" t="s">
        <v>25</v>
      </c>
      <c r="P226" s="32" t="s">
        <v>26</v>
      </c>
      <c r="Q226" s="32" t="s">
        <v>27</v>
      </c>
      <c r="R226" s="32" t="s">
        <v>56</v>
      </c>
      <c r="S226" s="30">
        <f t="shared" ca="1" si="9"/>
        <v>40470.53652858796</v>
      </c>
      <c r="T226" s="31">
        <f t="shared" ca="1" si="10"/>
        <v>19</v>
      </c>
      <c r="U226" s="32" t="s">
        <v>224</v>
      </c>
      <c r="V226" s="32" t="s">
        <v>42</v>
      </c>
      <c r="W226" s="32" t="s">
        <v>224</v>
      </c>
      <c r="X226" s="32" t="s">
        <v>224</v>
      </c>
      <c r="Y226" s="32" t="s">
        <v>42</v>
      </c>
      <c r="Z226" s="35">
        <v>24.831420000000001</v>
      </c>
      <c r="AA226" s="35">
        <v>67.137730000000005</v>
      </c>
      <c r="AB226" s="32"/>
      <c r="AC226" s="12" t="s">
        <v>2527</v>
      </c>
      <c r="AD226" s="25">
        <v>39873</v>
      </c>
      <c r="AE226" s="25"/>
      <c r="AF226" s="25"/>
      <c r="AG226" s="25"/>
      <c r="AH226" s="11" t="s">
        <v>122</v>
      </c>
    </row>
    <row r="227" spans="1:34" s="37" customFormat="1" ht="12.75" customHeight="1">
      <c r="A227" s="1">
        <v>226</v>
      </c>
      <c r="B227" s="29">
        <v>39893</v>
      </c>
      <c r="C227" s="30">
        <v>39891</v>
      </c>
      <c r="D227" s="30"/>
      <c r="E227" s="38" t="s">
        <v>779</v>
      </c>
      <c r="F227" s="31"/>
      <c r="G227" s="32" t="s">
        <v>20</v>
      </c>
      <c r="H227" s="33">
        <v>19</v>
      </c>
      <c r="I227" s="32" t="s">
        <v>780</v>
      </c>
      <c r="J227" s="31" t="s">
        <v>781</v>
      </c>
      <c r="K227" s="31" t="s">
        <v>106</v>
      </c>
      <c r="L227" s="32" t="s">
        <v>24</v>
      </c>
      <c r="M227" s="30">
        <v>39891</v>
      </c>
      <c r="N227" s="33">
        <v>1</v>
      </c>
      <c r="O227" s="32" t="s">
        <v>25</v>
      </c>
      <c r="P227" s="32" t="s">
        <v>26</v>
      </c>
      <c r="Q227" s="32" t="s">
        <v>27</v>
      </c>
      <c r="R227" s="32" t="s">
        <v>28</v>
      </c>
      <c r="S227" s="30">
        <f t="shared" ca="1" si="9"/>
        <v>40470.53652858796</v>
      </c>
      <c r="T227" s="31">
        <f t="shared" ca="1" si="10"/>
        <v>19</v>
      </c>
      <c r="U227" s="32" t="s">
        <v>224</v>
      </c>
      <c r="V227" s="32" t="s">
        <v>42</v>
      </c>
      <c r="W227" s="32" t="s">
        <v>224</v>
      </c>
      <c r="X227" s="32" t="s">
        <v>224</v>
      </c>
      <c r="Y227" s="32" t="s">
        <v>42</v>
      </c>
      <c r="Z227" s="35"/>
      <c r="AA227" s="35"/>
      <c r="AB227" s="32"/>
      <c r="AC227" s="12" t="s">
        <v>2518</v>
      </c>
      <c r="AD227" s="25">
        <v>39873</v>
      </c>
      <c r="AE227" s="25"/>
      <c r="AF227" s="25"/>
      <c r="AG227" s="25"/>
      <c r="AH227" s="11" t="s">
        <v>122</v>
      </c>
    </row>
    <row r="228" spans="1:34" s="37" customFormat="1" ht="12.75" customHeight="1">
      <c r="A228" s="1">
        <v>227</v>
      </c>
      <c r="B228" s="29">
        <v>39894</v>
      </c>
      <c r="C228" s="30">
        <v>39896</v>
      </c>
      <c r="D228" s="30"/>
      <c r="E228" s="38" t="s">
        <v>782</v>
      </c>
      <c r="F228" s="31"/>
      <c r="G228" s="11" t="s">
        <v>20</v>
      </c>
      <c r="H228" s="1">
        <v>18</v>
      </c>
      <c r="I228" s="11" t="s">
        <v>783</v>
      </c>
      <c r="J228" s="8" t="s">
        <v>784</v>
      </c>
      <c r="K228" s="8" t="s">
        <v>106</v>
      </c>
      <c r="L228" s="11" t="s">
        <v>24</v>
      </c>
      <c r="M228" s="15">
        <v>39896</v>
      </c>
      <c r="N228" s="1">
        <v>2</v>
      </c>
      <c r="O228" s="11" t="s">
        <v>25</v>
      </c>
      <c r="P228" s="11" t="s">
        <v>26</v>
      </c>
      <c r="Q228" s="11" t="s">
        <v>110</v>
      </c>
      <c r="R228" s="32" t="s">
        <v>56</v>
      </c>
      <c r="S228" s="30">
        <f t="shared" ca="1" si="9"/>
        <v>40470.53652858796</v>
      </c>
      <c r="T228" s="31">
        <f t="shared" ca="1" si="10"/>
        <v>19</v>
      </c>
      <c r="U228" s="32" t="s">
        <v>56</v>
      </c>
      <c r="V228" s="32" t="s">
        <v>224</v>
      </c>
      <c r="W228" s="32" t="s">
        <v>224</v>
      </c>
      <c r="X228" s="32" t="s">
        <v>224</v>
      </c>
      <c r="Y228" s="32" t="s">
        <v>42</v>
      </c>
      <c r="Z228" s="35"/>
      <c r="AA228" s="35"/>
      <c r="AB228" s="32"/>
      <c r="AC228" s="12" t="s">
        <v>785</v>
      </c>
      <c r="AD228" s="25">
        <v>39896</v>
      </c>
      <c r="AE228" s="25"/>
      <c r="AF228" s="25"/>
      <c r="AG228" s="25"/>
      <c r="AH228" s="11" t="s">
        <v>122</v>
      </c>
    </row>
    <row r="229" spans="1:34" s="37" customFormat="1" ht="12.75" customHeight="1">
      <c r="A229" s="1">
        <v>228</v>
      </c>
      <c r="B229" s="29">
        <v>39895</v>
      </c>
      <c r="C229" s="30">
        <v>39896</v>
      </c>
      <c r="D229" s="30"/>
      <c r="E229" s="38" t="s">
        <v>786</v>
      </c>
      <c r="F229" s="31"/>
      <c r="G229" s="32" t="s">
        <v>37</v>
      </c>
      <c r="H229" s="33">
        <v>17</v>
      </c>
      <c r="I229" s="32" t="s">
        <v>787</v>
      </c>
      <c r="J229" s="31" t="s">
        <v>788</v>
      </c>
      <c r="K229" s="31" t="s">
        <v>39</v>
      </c>
      <c r="L229" s="32" t="s">
        <v>24</v>
      </c>
      <c r="M229" s="30">
        <v>39896</v>
      </c>
      <c r="N229" s="33">
        <v>1</v>
      </c>
      <c r="O229" s="32" t="s">
        <v>25</v>
      </c>
      <c r="P229" s="32" t="s">
        <v>26</v>
      </c>
      <c r="Q229" s="32" t="s">
        <v>27</v>
      </c>
      <c r="R229" s="32" t="s">
        <v>28</v>
      </c>
      <c r="S229" s="30">
        <f t="shared" ca="1" si="9"/>
        <v>40470.53652858796</v>
      </c>
      <c r="T229" s="31">
        <f t="shared" ca="1" si="10"/>
        <v>19</v>
      </c>
      <c r="U229" s="32" t="s">
        <v>56</v>
      </c>
      <c r="V229" s="32" t="s">
        <v>42</v>
      </c>
      <c r="W229" s="32" t="s">
        <v>56</v>
      </c>
      <c r="X229" s="32" t="s">
        <v>56</v>
      </c>
      <c r="Y229" s="32" t="s">
        <v>42</v>
      </c>
      <c r="Z229" s="35">
        <v>24.823450000000001</v>
      </c>
      <c r="AA229" s="35">
        <v>67.177070000000001</v>
      </c>
      <c r="AB229" s="32"/>
      <c r="AC229" s="12" t="s">
        <v>915</v>
      </c>
      <c r="AD229" s="25">
        <v>40148</v>
      </c>
      <c r="AE229" s="25"/>
      <c r="AF229" s="25"/>
      <c r="AG229" s="25"/>
      <c r="AH229" s="11" t="s">
        <v>61</v>
      </c>
    </row>
    <row r="230" spans="1:34" s="37" customFormat="1" ht="12.75" customHeight="1">
      <c r="A230" s="1">
        <v>229</v>
      </c>
      <c r="B230" s="29">
        <v>39896</v>
      </c>
      <c r="C230" s="30">
        <v>39896</v>
      </c>
      <c r="D230" s="30"/>
      <c r="E230" s="38" t="s">
        <v>789</v>
      </c>
      <c r="F230" s="31"/>
      <c r="G230" s="32" t="s">
        <v>20</v>
      </c>
      <c r="H230" s="33">
        <v>23</v>
      </c>
      <c r="I230" s="32" t="s">
        <v>790</v>
      </c>
      <c r="J230" s="31" t="s">
        <v>791</v>
      </c>
      <c r="K230" s="31" t="s">
        <v>291</v>
      </c>
      <c r="L230" s="32" t="s">
        <v>24</v>
      </c>
      <c r="M230" s="30">
        <v>39896</v>
      </c>
      <c r="N230" s="33">
        <v>2</v>
      </c>
      <c r="O230" s="32" t="s">
        <v>25</v>
      </c>
      <c r="P230" s="32" t="s">
        <v>26</v>
      </c>
      <c r="Q230" s="32" t="s">
        <v>27</v>
      </c>
      <c r="R230" s="32" t="s">
        <v>65</v>
      </c>
      <c r="S230" s="30">
        <f t="shared" ca="1" si="9"/>
        <v>40470.53652858796</v>
      </c>
      <c r="T230" s="31">
        <f t="shared" ca="1" si="10"/>
        <v>19</v>
      </c>
      <c r="U230" s="32" t="s">
        <v>28</v>
      </c>
      <c r="V230" s="32" t="s">
        <v>56</v>
      </c>
      <c r="W230" s="32" t="s">
        <v>56</v>
      </c>
      <c r="X230" s="32" t="s">
        <v>56</v>
      </c>
      <c r="Y230" s="32" t="s">
        <v>42</v>
      </c>
      <c r="Z230" s="35">
        <v>24.815270000000002</v>
      </c>
      <c r="AA230" s="35">
        <v>67.103800000000007</v>
      </c>
      <c r="AB230" s="32"/>
      <c r="AC230" s="12" t="s">
        <v>2510</v>
      </c>
      <c r="AD230" s="25">
        <v>40141</v>
      </c>
      <c r="AE230" s="25"/>
      <c r="AF230" s="25"/>
      <c r="AG230" s="25"/>
      <c r="AH230" s="11" t="s">
        <v>44</v>
      </c>
    </row>
    <row r="231" spans="1:34" s="37" customFormat="1">
      <c r="A231" s="1">
        <v>230</v>
      </c>
      <c r="B231" s="29">
        <v>39897</v>
      </c>
      <c r="C231" s="30">
        <v>39897</v>
      </c>
      <c r="D231" s="30"/>
      <c r="E231" s="38" t="s">
        <v>792</v>
      </c>
      <c r="F231" s="31"/>
      <c r="G231" s="32" t="s">
        <v>20</v>
      </c>
      <c r="H231" s="33">
        <v>26</v>
      </c>
      <c r="I231" s="32" t="s">
        <v>793</v>
      </c>
      <c r="J231" s="31" t="s">
        <v>794</v>
      </c>
      <c r="K231" s="31" t="s">
        <v>100</v>
      </c>
      <c r="L231" s="32" t="s">
        <v>24</v>
      </c>
      <c r="M231" s="30">
        <v>39897</v>
      </c>
      <c r="N231" s="33">
        <v>1</v>
      </c>
      <c r="O231" s="32" t="s">
        <v>40</v>
      </c>
      <c r="P231" s="32" t="s">
        <v>109</v>
      </c>
      <c r="Q231" s="32" t="s">
        <v>27</v>
      </c>
      <c r="R231" s="32" t="s">
        <v>56</v>
      </c>
      <c r="S231" s="30">
        <f t="shared" ca="1" si="9"/>
        <v>40470.53652858796</v>
      </c>
      <c r="T231" s="31">
        <f t="shared" ca="1" si="10"/>
        <v>19</v>
      </c>
      <c r="U231" s="32" t="s">
        <v>42</v>
      </c>
      <c r="V231" s="32" t="s">
        <v>42</v>
      </c>
      <c r="W231" s="32" t="s">
        <v>42</v>
      </c>
      <c r="X231" s="32" t="s">
        <v>42</v>
      </c>
      <c r="Y231" s="32" t="s">
        <v>42</v>
      </c>
      <c r="Z231" s="35">
        <v>24.822959999999998</v>
      </c>
      <c r="AA231" s="35">
        <v>67.145120000000006</v>
      </c>
      <c r="AB231" s="32"/>
      <c r="AC231" s="12" t="s">
        <v>2510</v>
      </c>
      <c r="AD231" s="25">
        <v>40142</v>
      </c>
      <c r="AE231" s="25"/>
      <c r="AF231" s="25"/>
      <c r="AG231" s="25"/>
      <c r="AH231" s="11" t="s">
        <v>44</v>
      </c>
    </row>
    <row r="232" spans="1:34" s="37" customFormat="1" ht="12.75" customHeight="1">
      <c r="A232" s="1">
        <v>231</v>
      </c>
      <c r="B232" s="29">
        <v>39898</v>
      </c>
      <c r="C232" s="30">
        <v>39898</v>
      </c>
      <c r="D232" s="30"/>
      <c r="E232" s="38" t="s">
        <v>795</v>
      </c>
      <c r="F232" s="31"/>
      <c r="G232" s="32" t="s">
        <v>37</v>
      </c>
      <c r="H232" s="33">
        <v>18</v>
      </c>
      <c r="I232" s="32" t="s">
        <v>796</v>
      </c>
      <c r="J232" s="31"/>
      <c r="K232" s="31"/>
      <c r="L232" s="32" t="s">
        <v>24</v>
      </c>
      <c r="M232" s="30">
        <v>39898</v>
      </c>
      <c r="N232" s="33">
        <v>1</v>
      </c>
      <c r="O232" s="32" t="s">
        <v>25</v>
      </c>
      <c r="P232" s="32" t="s">
        <v>26</v>
      </c>
      <c r="Q232" s="32" t="s">
        <v>27</v>
      </c>
      <c r="R232" s="32" t="s">
        <v>28</v>
      </c>
      <c r="S232" s="30">
        <f t="shared" ca="1" si="9"/>
        <v>40470.53652858796</v>
      </c>
      <c r="T232" s="31">
        <f t="shared" ca="1" si="10"/>
        <v>19</v>
      </c>
      <c r="U232" s="32" t="s">
        <v>56</v>
      </c>
      <c r="V232" s="32" t="s">
        <v>42</v>
      </c>
      <c r="W232" s="32" t="s">
        <v>224</v>
      </c>
      <c r="X232" s="32" t="s">
        <v>224</v>
      </c>
      <c r="Y232" s="32" t="s">
        <v>42</v>
      </c>
      <c r="Z232" s="35">
        <v>24.84346</v>
      </c>
      <c r="AA232" s="35">
        <v>67.172139999999999</v>
      </c>
      <c r="AB232" s="32"/>
      <c r="AC232" s="12" t="s">
        <v>122</v>
      </c>
      <c r="AD232" s="25"/>
      <c r="AE232" s="25"/>
      <c r="AF232" s="25"/>
      <c r="AG232" s="25"/>
      <c r="AH232" s="11" t="s">
        <v>122</v>
      </c>
    </row>
    <row r="233" spans="1:34" s="37" customFormat="1">
      <c r="A233" s="1">
        <v>232</v>
      </c>
      <c r="B233" s="29">
        <v>39899</v>
      </c>
      <c r="C233" s="30">
        <v>39898</v>
      </c>
      <c r="D233" s="30"/>
      <c r="E233" s="38" t="s">
        <v>797</v>
      </c>
      <c r="F233" s="31"/>
      <c r="G233" s="32" t="s">
        <v>20</v>
      </c>
      <c r="H233" s="33">
        <v>29</v>
      </c>
      <c r="I233" s="32" t="s">
        <v>798</v>
      </c>
      <c r="J233" s="31" t="s">
        <v>799</v>
      </c>
      <c r="K233" s="31" t="s">
        <v>291</v>
      </c>
      <c r="L233" s="32" t="s">
        <v>24</v>
      </c>
      <c r="M233" s="30">
        <v>39898</v>
      </c>
      <c r="N233" s="33">
        <v>1</v>
      </c>
      <c r="O233" s="32" t="s">
        <v>40</v>
      </c>
      <c r="P233" s="32" t="s">
        <v>109</v>
      </c>
      <c r="Q233" s="32" t="s">
        <v>27</v>
      </c>
      <c r="R233" s="32" t="s">
        <v>56</v>
      </c>
      <c r="S233" s="30">
        <f t="shared" ca="1" si="9"/>
        <v>40470.53652858796</v>
      </c>
      <c r="T233" s="31">
        <f t="shared" ca="1" si="10"/>
        <v>19</v>
      </c>
      <c r="U233" s="32" t="s">
        <v>42</v>
      </c>
      <c r="V233" s="32" t="s">
        <v>42</v>
      </c>
      <c r="W233" s="32" t="s">
        <v>42</v>
      </c>
      <c r="X233" s="32" t="s">
        <v>42</v>
      </c>
      <c r="Y233" s="32" t="s">
        <v>42</v>
      </c>
      <c r="Z233" s="35">
        <v>24.8157</v>
      </c>
      <c r="AA233" s="35">
        <v>67.102609999999999</v>
      </c>
      <c r="AB233" s="32"/>
      <c r="AC233" s="12" t="s">
        <v>915</v>
      </c>
      <c r="AD233" s="25">
        <v>40168</v>
      </c>
      <c r="AE233" s="25"/>
      <c r="AF233" s="25"/>
      <c r="AG233" s="25"/>
      <c r="AH233" s="11" t="s">
        <v>61</v>
      </c>
    </row>
    <row r="234" spans="1:34" s="37" customFormat="1">
      <c r="A234" s="1">
        <v>233</v>
      </c>
      <c r="B234" s="29">
        <v>39900</v>
      </c>
      <c r="C234" s="30">
        <v>39899</v>
      </c>
      <c r="D234" s="30"/>
      <c r="E234" s="38" t="s">
        <v>800</v>
      </c>
      <c r="F234" s="31"/>
      <c r="G234" s="32" t="s">
        <v>37</v>
      </c>
      <c r="H234" s="33">
        <v>27</v>
      </c>
      <c r="I234" s="32" t="s">
        <v>801</v>
      </c>
      <c r="J234" s="31" t="s">
        <v>802</v>
      </c>
      <c r="K234" s="31"/>
      <c r="L234" s="32" t="s">
        <v>24</v>
      </c>
      <c r="M234" s="30">
        <v>39899</v>
      </c>
      <c r="N234" s="33">
        <v>1</v>
      </c>
      <c r="O234" s="32" t="s">
        <v>40</v>
      </c>
      <c r="P234" s="32" t="s">
        <v>176</v>
      </c>
      <c r="Q234" s="32" t="s">
        <v>27</v>
      </c>
      <c r="R234" s="32" t="s">
        <v>56</v>
      </c>
      <c r="S234" s="30">
        <f t="shared" ca="1" si="9"/>
        <v>40470.53652858796</v>
      </c>
      <c r="T234" s="31">
        <f t="shared" ca="1" si="10"/>
        <v>19</v>
      </c>
      <c r="U234" s="32" t="s">
        <v>42</v>
      </c>
      <c r="V234" s="32" t="s">
        <v>42</v>
      </c>
      <c r="W234" s="32" t="s">
        <v>42</v>
      </c>
      <c r="X234" s="32" t="s">
        <v>42</v>
      </c>
      <c r="Y234" s="32" t="s">
        <v>42</v>
      </c>
      <c r="Z234" s="35">
        <v>24.83634</v>
      </c>
      <c r="AA234" s="35">
        <v>67.161249999999995</v>
      </c>
      <c r="AB234" s="32"/>
      <c r="AC234" s="12" t="s">
        <v>2510</v>
      </c>
      <c r="AD234" s="25">
        <v>40245</v>
      </c>
      <c r="AE234" s="25"/>
      <c r="AF234" s="25"/>
      <c r="AG234" s="25"/>
      <c r="AH234" s="11" t="s">
        <v>44</v>
      </c>
    </row>
    <row r="235" spans="1:34" s="37" customFormat="1" ht="12.75" customHeight="1">
      <c r="A235" s="1">
        <v>234</v>
      </c>
      <c r="B235" s="29">
        <v>39901</v>
      </c>
      <c r="C235" s="30">
        <v>39900</v>
      </c>
      <c r="D235" s="30"/>
      <c r="E235" s="38" t="s">
        <v>803</v>
      </c>
      <c r="F235" s="31"/>
      <c r="G235" s="32" t="s">
        <v>37</v>
      </c>
      <c r="H235" s="33">
        <v>14</v>
      </c>
      <c r="I235" s="34" t="s">
        <v>804</v>
      </c>
      <c r="J235" s="31" t="s">
        <v>805</v>
      </c>
      <c r="K235" s="31" t="s">
        <v>39</v>
      </c>
      <c r="L235" s="32" t="s">
        <v>24</v>
      </c>
      <c r="M235" s="30">
        <v>39900</v>
      </c>
      <c r="N235" s="33">
        <v>1</v>
      </c>
      <c r="O235" s="32" t="s">
        <v>25</v>
      </c>
      <c r="P235" s="32" t="s">
        <v>26</v>
      </c>
      <c r="Q235" s="32" t="s">
        <v>27</v>
      </c>
      <c r="R235" s="32" t="s">
        <v>65</v>
      </c>
      <c r="S235" s="30">
        <f t="shared" ca="1" si="9"/>
        <v>40470.53652858796</v>
      </c>
      <c r="T235" s="31">
        <f t="shared" ca="1" si="10"/>
        <v>19</v>
      </c>
      <c r="U235" s="32" t="s">
        <v>56</v>
      </c>
      <c r="V235" s="32" t="s">
        <v>42</v>
      </c>
      <c r="W235" s="32" t="s">
        <v>56</v>
      </c>
      <c r="X235" s="32" t="s">
        <v>56</v>
      </c>
      <c r="Y235" s="32" t="s">
        <v>42</v>
      </c>
      <c r="Z235" s="35"/>
      <c r="AA235" s="35"/>
      <c r="AB235" s="32"/>
      <c r="AC235" s="12" t="s">
        <v>915</v>
      </c>
      <c r="AD235" s="25">
        <v>40190</v>
      </c>
      <c r="AE235" s="25"/>
      <c r="AF235" s="25"/>
      <c r="AG235" s="25"/>
      <c r="AH235" s="11" t="s">
        <v>61</v>
      </c>
    </row>
    <row r="236" spans="1:34" s="37" customFormat="1">
      <c r="A236" s="1">
        <v>235</v>
      </c>
      <c r="B236" s="29">
        <v>39912</v>
      </c>
      <c r="C236" s="30">
        <v>39904</v>
      </c>
      <c r="D236" s="30"/>
      <c r="E236" s="38" t="s">
        <v>806</v>
      </c>
      <c r="F236" s="31"/>
      <c r="G236" s="32" t="s">
        <v>37</v>
      </c>
      <c r="H236" s="33">
        <v>11</v>
      </c>
      <c r="I236" s="32" t="s">
        <v>807</v>
      </c>
      <c r="J236" s="31" t="s">
        <v>808</v>
      </c>
      <c r="K236" s="31" t="s">
        <v>39</v>
      </c>
      <c r="L236" s="32" t="s">
        <v>24</v>
      </c>
      <c r="M236" s="30">
        <v>39904</v>
      </c>
      <c r="N236" s="33">
        <v>1</v>
      </c>
      <c r="O236" s="32" t="s">
        <v>40</v>
      </c>
      <c r="P236" s="32" t="s">
        <v>213</v>
      </c>
      <c r="Q236" s="32" t="s">
        <v>27</v>
      </c>
      <c r="R236" s="32" t="s">
        <v>42</v>
      </c>
      <c r="S236" s="30">
        <f t="shared" ca="1" si="9"/>
        <v>40470.53652858796</v>
      </c>
      <c r="T236" s="31">
        <f t="shared" ca="1" si="10"/>
        <v>18</v>
      </c>
      <c r="U236" s="32" t="s">
        <v>42</v>
      </c>
      <c r="V236" s="32" t="s">
        <v>42</v>
      </c>
      <c r="W236" s="32" t="s">
        <v>42</v>
      </c>
      <c r="X236" s="32" t="s">
        <v>42</v>
      </c>
      <c r="Y236" s="32" t="s">
        <v>42</v>
      </c>
      <c r="Z236" s="35">
        <v>24.817409999999999</v>
      </c>
      <c r="AA236" s="35">
        <v>67.145740000000004</v>
      </c>
      <c r="AB236" s="32"/>
      <c r="AC236" s="12" t="s">
        <v>122</v>
      </c>
      <c r="AD236" s="25">
        <v>40092</v>
      </c>
      <c r="AE236" s="25"/>
      <c r="AF236" s="25"/>
      <c r="AG236" s="25"/>
      <c r="AH236" s="11" t="s">
        <v>122</v>
      </c>
    </row>
    <row r="237" spans="1:34" s="37" customFormat="1">
      <c r="A237" s="1">
        <v>236</v>
      </c>
      <c r="B237" s="29">
        <v>39913</v>
      </c>
      <c r="C237" s="30">
        <v>39904</v>
      </c>
      <c r="D237" s="30"/>
      <c r="E237" s="38" t="s">
        <v>809</v>
      </c>
      <c r="F237" s="31"/>
      <c r="G237" s="32" t="s">
        <v>37</v>
      </c>
      <c r="H237" s="33">
        <v>22</v>
      </c>
      <c r="I237" s="32" t="s">
        <v>810</v>
      </c>
      <c r="J237" s="31" t="s">
        <v>811</v>
      </c>
      <c r="K237" s="31" t="s">
        <v>812</v>
      </c>
      <c r="L237" s="32" t="s">
        <v>24</v>
      </c>
      <c r="M237" s="30">
        <v>39904</v>
      </c>
      <c r="N237" s="33">
        <v>1</v>
      </c>
      <c r="O237" s="32" t="s">
        <v>40</v>
      </c>
      <c r="P237" s="32" t="s">
        <v>72</v>
      </c>
      <c r="Q237" s="32" t="s">
        <v>27</v>
      </c>
      <c r="R237" s="32" t="s">
        <v>42</v>
      </c>
      <c r="S237" s="30">
        <f t="shared" ca="1" si="9"/>
        <v>40470.53652858796</v>
      </c>
      <c r="T237" s="31">
        <f t="shared" ca="1" si="10"/>
        <v>18</v>
      </c>
      <c r="U237" s="32" t="s">
        <v>42</v>
      </c>
      <c r="V237" s="32" t="s">
        <v>42</v>
      </c>
      <c r="W237" s="32" t="s">
        <v>42</v>
      </c>
      <c r="X237" s="32" t="s">
        <v>42</v>
      </c>
      <c r="Y237" s="32" t="s">
        <v>42</v>
      </c>
      <c r="Z237" s="35">
        <v>24.836449999999999</v>
      </c>
      <c r="AA237" s="35">
        <v>67.165940000000006</v>
      </c>
      <c r="AB237" s="32"/>
      <c r="AC237" s="12" t="s">
        <v>2528</v>
      </c>
      <c r="AD237" s="25">
        <v>40149</v>
      </c>
      <c r="AE237" s="25"/>
      <c r="AF237" s="25"/>
      <c r="AG237" s="25"/>
      <c r="AH237" s="11" t="s">
        <v>44</v>
      </c>
    </row>
    <row r="238" spans="1:34" s="37" customFormat="1" ht="12.75" customHeight="1">
      <c r="A238" s="1">
        <v>237</v>
      </c>
      <c r="B238" s="29">
        <v>39914</v>
      </c>
      <c r="C238" s="30">
        <v>39904</v>
      </c>
      <c r="D238" s="30"/>
      <c r="E238" s="38" t="s">
        <v>813</v>
      </c>
      <c r="F238" s="31"/>
      <c r="G238" s="32" t="s">
        <v>20</v>
      </c>
      <c r="H238" s="33">
        <v>51</v>
      </c>
      <c r="I238" s="32" t="s">
        <v>814</v>
      </c>
      <c r="J238" s="31" t="s">
        <v>815</v>
      </c>
      <c r="K238" s="31" t="s">
        <v>291</v>
      </c>
      <c r="L238" s="32" t="s">
        <v>24</v>
      </c>
      <c r="M238" s="30">
        <v>39904</v>
      </c>
      <c r="N238" s="33">
        <v>2</v>
      </c>
      <c r="O238" s="32" t="s">
        <v>25</v>
      </c>
      <c r="P238" s="32" t="s">
        <v>26</v>
      </c>
      <c r="Q238" s="32" t="s">
        <v>49</v>
      </c>
      <c r="R238" s="32" t="s">
        <v>56</v>
      </c>
      <c r="S238" s="30">
        <f t="shared" ca="1" si="9"/>
        <v>40470.53652858796</v>
      </c>
      <c r="T238" s="31">
        <f t="shared" ca="1" si="10"/>
        <v>18</v>
      </c>
      <c r="U238" s="32" t="s">
        <v>42</v>
      </c>
      <c r="V238" s="32" t="s">
        <v>224</v>
      </c>
      <c r="W238" s="32" t="s">
        <v>224</v>
      </c>
      <c r="X238" s="32" t="s">
        <v>224</v>
      </c>
      <c r="Y238" s="32" t="s">
        <v>42</v>
      </c>
      <c r="Z238" s="35">
        <v>24.81887</v>
      </c>
      <c r="AA238" s="35">
        <v>67.128159999999994</v>
      </c>
      <c r="AB238" s="32"/>
      <c r="AC238" s="12" t="s">
        <v>2525</v>
      </c>
      <c r="AD238" s="25">
        <v>40026</v>
      </c>
      <c r="AE238" s="25"/>
      <c r="AF238" s="25"/>
      <c r="AG238" s="25"/>
      <c r="AH238" s="11" t="s">
        <v>67</v>
      </c>
    </row>
    <row r="239" spans="1:34" s="37" customFormat="1" ht="12.75" customHeight="1">
      <c r="A239" s="1">
        <v>238</v>
      </c>
      <c r="B239" s="29">
        <v>39915</v>
      </c>
      <c r="C239" s="30">
        <v>39905</v>
      </c>
      <c r="D239" s="30"/>
      <c r="E239" s="38" t="s">
        <v>816</v>
      </c>
      <c r="F239" s="31"/>
      <c r="G239" s="32" t="s">
        <v>20</v>
      </c>
      <c r="H239" s="33">
        <v>20</v>
      </c>
      <c r="I239" s="32" t="s">
        <v>817</v>
      </c>
      <c r="J239" s="31" t="s">
        <v>818</v>
      </c>
      <c r="K239" s="31" t="s">
        <v>39</v>
      </c>
      <c r="L239" s="32" t="s">
        <v>24</v>
      </c>
      <c r="M239" s="30">
        <v>39905</v>
      </c>
      <c r="N239" s="33">
        <v>1</v>
      </c>
      <c r="O239" s="32" t="s">
        <v>25</v>
      </c>
      <c r="P239" s="32" t="s">
        <v>26</v>
      </c>
      <c r="Q239" s="32" t="s">
        <v>27</v>
      </c>
      <c r="R239" s="32" t="s">
        <v>56</v>
      </c>
      <c r="S239" s="30">
        <f t="shared" ca="1" si="9"/>
        <v>40470.53652858796</v>
      </c>
      <c r="T239" s="31">
        <f t="shared" ca="1" si="10"/>
        <v>18</v>
      </c>
      <c r="U239" s="32" t="s">
        <v>224</v>
      </c>
      <c r="V239" s="32" t="s">
        <v>42</v>
      </c>
      <c r="W239" s="32" t="s">
        <v>224</v>
      </c>
      <c r="X239" s="32" t="s">
        <v>224</v>
      </c>
      <c r="Y239" s="32" t="s">
        <v>42</v>
      </c>
      <c r="Z239" s="35">
        <v>24.81427</v>
      </c>
      <c r="AA239" s="35">
        <v>67.141390000000001</v>
      </c>
      <c r="AB239" s="32"/>
      <c r="AC239" s="12" t="s">
        <v>2528</v>
      </c>
      <c r="AD239" s="25">
        <v>40198</v>
      </c>
      <c r="AE239" s="25"/>
      <c r="AF239" s="25"/>
      <c r="AG239" s="25"/>
      <c r="AH239" s="11" t="s">
        <v>44</v>
      </c>
    </row>
    <row r="240" spans="1:34" s="37" customFormat="1">
      <c r="A240" s="1">
        <v>239</v>
      </c>
      <c r="B240" s="29">
        <v>39916</v>
      </c>
      <c r="C240" s="30">
        <v>39905</v>
      </c>
      <c r="D240" s="30"/>
      <c r="E240" s="38" t="s">
        <v>819</v>
      </c>
      <c r="F240" s="31"/>
      <c r="G240" s="32" t="s">
        <v>37</v>
      </c>
      <c r="H240" s="33">
        <v>15</v>
      </c>
      <c r="I240" s="32" t="s">
        <v>856</v>
      </c>
      <c r="J240" s="31" t="s">
        <v>857</v>
      </c>
      <c r="K240" s="31" t="s">
        <v>48</v>
      </c>
      <c r="L240" s="32" t="s">
        <v>24</v>
      </c>
      <c r="M240" s="30">
        <v>39905</v>
      </c>
      <c r="N240" s="33">
        <v>1</v>
      </c>
      <c r="O240" s="32" t="s">
        <v>40</v>
      </c>
      <c r="P240" s="32" t="s">
        <v>109</v>
      </c>
      <c r="Q240" s="32" t="s">
        <v>27</v>
      </c>
      <c r="R240" s="32" t="s">
        <v>56</v>
      </c>
      <c r="S240" s="30">
        <f t="shared" ca="1" si="9"/>
        <v>40470.53652858796</v>
      </c>
      <c r="T240" s="31">
        <f t="shared" ca="1" si="10"/>
        <v>18</v>
      </c>
      <c r="U240" s="32" t="s">
        <v>42</v>
      </c>
      <c r="V240" s="32" t="s">
        <v>42</v>
      </c>
      <c r="W240" s="32" t="s">
        <v>42</v>
      </c>
      <c r="X240" s="32" t="s">
        <v>42</v>
      </c>
      <c r="Y240" s="32" t="s">
        <v>42</v>
      </c>
      <c r="Z240" s="35">
        <v>24.845459999999999</v>
      </c>
      <c r="AA240" s="35">
        <v>67.193820000000002</v>
      </c>
      <c r="AB240" s="32"/>
      <c r="AC240" s="12" t="s">
        <v>2529</v>
      </c>
      <c r="AD240" s="25">
        <v>40026</v>
      </c>
      <c r="AE240" s="25"/>
      <c r="AF240" s="25"/>
      <c r="AG240" s="25"/>
      <c r="AH240" s="11" t="s">
        <v>858</v>
      </c>
    </row>
    <row r="241" spans="1:34" s="37" customFormat="1" ht="12.75" customHeight="1">
      <c r="A241" s="1">
        <v>240</v>
      </c>
      <c r="B241" s="29">
        <v>39917</v>
      </c>
      <c r="C241" s="30">
        <v>39909</v>
      </c>
      <c r="D241" s="30"/>
      <c r="E241" s="38" t="s">
        <v>859</v>
      </c>
      <c r="F241" s="31"/>
      <c r="G241" s="32" t="s">
        <v>37</v>
      </c>
      <c r="H241" s="33">
        <v>18</v>
      </c>
      <c r="I241" s="32" t="s">
        <v>356</v>
      </c>
      <c r="J241" s="31" t="s">
        <v>860</v>
      </c>
      <c r="K241" s="31" t="s">
        <v>106</v>
      </c>
      <c r="L241" s="32" t="s">
        <v>24</v>
      </c>
      <c r="M241" s="30">
        <v>39909</v>
      </c>
      <c r="N241" s="33">
        <v>1</v>
      </c>
      <c r="O241" s="32" t="s">
        <v>25</v>
      </c>
      <c r="P241" s="32" t="s">
        <v>26</v>
      </c>
      <c r="Q241" s="32" t="s">
        <v>27</v>
      </c>
      <c r="R241" s="32" t="s">
        <v>28</v>
      </c>
      <c r="S241" s="30">
        <f t="shared" ca="1" si="9"/>
        <v>40470.53652858796</v>
      </c>
      <c r="T241" s="31">
        <f t="shared" ca="1" si="10"/>
        <v>18</v>
      </c>
      <c r="U241" s="32" t="s">
        <v>56</v>
      </c>
      <c r="V241" s="32" t="s">
        <v>42</v>
      </c>
      <c r="W241" s="32" t="s">
        <v>56</v>
      </c>
      <c r="X241" s="32" t="s">
        <v>56</v>
      </c>
      <c r="Y241" s="32" t="s">
        <v>42</v>
      </c>
      <c r="Z241" s="35">
        <v>24.838159999999998</v>
      </c>
      <c r="AA241" s="35">
        <v>67.155619999999999</v>
      </c>
      <c r="AB241" s="32"/>
      <c r="AC241" s="12" t="s">
        <v>2525</v>
      </c>
      <c r="AD241" s="25">
        <v>39980</v>
      </c>
      <c r="AE241" s="25"/>
      <c r="AF241" s="25"/>
      <c r="AG241" s="25"/>
      <c r="AH241" s="11" t="s">
        <v>67</v>
      </c>
    </row>
    <row r="242" spans="1:34" s="37" customFormat="1" ht="12.75" customHeight="1">
      <c r="A242" s="1">
        <v>241</v>
      </c>
      <c r="B242" s="29">
        <v>39918</v>
      </c>
      <c r="C242" s="30">
        <v>39909</v>
      </c>
      <c r="D242" s="30"/>
      <c r="E242" s="38" t="s">
        <v>861</v>
      </c>
      <c r="F242" s="31"/>
      <c r="G242" s="32" t="s">
        <v>37</v>
      </c>
      <c r="H242" s="33">
        <v>48</v>
      </c>
      <c r="I242" s="32" t="s">
        <v>862</v>
      </c>
      <c r="J242" s="31" t="s">
        <v>863</v>
      </c>
      <c r="K242" s="31" t="s">
        <v>206</v>
      </c>
      <c r="L242" s="32" t="s">
        <v>24</v>
      </c>
      <c r="M242" s="30">
        <v>39909</v>
      </c>
      <c r="N242" s="33">
        <v>1</v>
      </c>
      <c r="O242" s="32" t="s">
        <v>25</v>
      </c>
      <c r="P242" s="32" t="s">
        <v>26</v>
      </c>
      <c r="Q242" s="32" t="s">
        <v>27</v>
      </c>
      <c r="R242" s="32" t="s">
        <v>28</v>
      </c>
      <c r="S242" s="30">
        <f t="shared" ca="1" si="9"/>
        <v>40470.53652858796</v>
      </c>
      <c r="T242" s="31">
        <f t="shared" ca="1" si="10"/>
        <v>18</v>
      </c>
      <c r="U242" s="32" t="s">
        <v>2729</v>
      </c>
      <c r="V242" s="32" t="s">
        <v>42</v>
      </c>
      <c r="W242" s="32" t="s">
        <v>224</v>
      </c>
      <c r="X242" s="32" t="s">
        <v>224</v>
      </c>
      <c r="Y242" s="32" t="s">
        <v>42</v>
      </c>
      <c r="Z242" s="35">
        <v>24.809380000000001</v>
      </c>
      <c r="AA242" s="35">
        <v>67.160259999999994</v>
      </c>
      <c r="AB242" s="32"/>
      <c r="AC242" s="12" t="s">
        <v>44</v>
      </c>
      <c r="AD242" s="25"/>
      <c r="AE242" s="25"/>
      <c r="AF242" s="25"/>
      <c r="AG242" s="25"/>
      <c r="AH242" s="11" t="s">
        <v>219</v>
      </c>
    </row>
    <row r="243" spans="1:34" s="37" customFormat="1">
      <c r="A243" s="1">
        <v>242</v>
      </c>
      <c r="B243" s="29">
        <v>39919</v>
      </c>
      <c r="C243" s="30">
        <v>39910</v>
      </c>
      <c r="D243" s="30"/>
      <c r="E243" s="38" t="s">
        <v>864</v>
      </c>
      <c r="F243" s="31"/>
      <c r="G243" s="32" t="s">
        <v>37</v>
      </c>
      <c r="H243" s="33">
        <v>12</v>
      </c>
      <c r="I243" s="32" t="s">
        <v>865</v>
      </c>
      <c r="J243" s="31" t="s">
        <v>866</v>
      </c>
      <c r="K243" s="31" t="s">
        <v>39</v>
      </c>
      <c r="L243" s="32" t="s">
        <v>24</v>
      </c>
      <c r="M243" s="30">
        <v>39910</v>
      </c>
      <c r="N243" s="33">
        <v>1</v>
      </c>
      <c r="O243" s="32" t="s">
        <v>40</v>
      </c>
      <c r="P243" s="32" t="s">
        <v>72</v>
      </c>
      <c r="Q243" s="32" t="s">
        <v>27</v>
      </c>
      <c r="R243" s="32" t="s">
        <v>42</v>
      </c>
      <c r="S243" s="30">
        <f t="shared" ca="1" si="9"/>
        <v>40470.53652858796</v>
      </c>
      <c r="T243" s="31">
        <f t="shared" ca="1" si="10"/>
        <v>18</v>
      </c>
      <c r="U243" s="32" t="s">
        <v>42</v>
      </c>
      <c r="V243" s="32" t="s">
        <v>42</v>
      </c>
      <c r="W243" s="32" t="s">
        <v>42</v>
      </c>
      <c r="X243" s="32" t="s">
        <v>42</v>
      </c>
      <c r="Y243" s="32" t="s">
        <v>42</v>
      </c>
      <c r="Z243" s="35"/>
      <c r="AA243" s="35"/>
      <c r="AB243" s="32"/>
      <c r="AC243" s="12" t="s">
        <v>44</v>
      </c>
      <c r="AD243" s="25">
        <v>40102</v>
      </c>
      <c r="AE243" s="25"/>
      <c r="AF243" s="25"/>
      <c r="AG243" s="25"/>
      <c r="AH243" s="11" t="s">
        <v>219</v>
      </c>
    </row>
    <row r="244" spans="1:34" s="37" customFormat="1" ht="12.75" customHeight="1">
      <c r="A244" s="1">
        <v>243</v>
      </c>
      <c r="B244" s="29">
        <v>39920</v>
      </c>
      <c r="C244" s="30">
        <v>39911</v>
      </c>
      <c r="D244" s="30"/>
      <c r="E244" s="38" t="s">
        <v>867</v>
      </c>
      <c r="F244" s="31"/>
      <c r="G244" s="32" t="s">
        <v>37</v>
      </c>
      <c r="H244" s="33">
        <v>15</v>
      </c>
      <c r="I244" s="32" t="s">
        <v>868</v>
      </c>
      <c r="J244" s="31" t="s">
        <v>869</v>
      </c>
      <c r="K244" s="31" t="s">
        <v>106</v>
      </c>
      <c r="L244" s="32" t="s">
        <v>24</v>
      </c>
      <c r="M244" s="30">
        <v>39911</v>
      </c>
      <c r="N244" s="33">
        <v>1</v>
      </c>
      <c r="O244" s="32" t="s">
        <v>25</v>
      </c>
      <c r="P244" s="32" t="s">
        <v>26</v>
      </c>
      <c r="Q244" s="32" t="s">
        <v>27</v>
      </c>
      <c r="R244" s="32" t="s">
        <v>28</v>
      </c>
      <c r="S244" s="30">
        <f t="shared" ca="1" si="9"/>
        <v>40470.53652858796</v>
      </c>
      <c r="T244" s="31">
        <f t="shared" ca="1" si="10"/>
        <v>18</v>
      </c>
      <c r="U244" s="32" t="s">
        <v>42</v>
      </c>
      <c r="V244" s="32" t="s">
        <v>56</v>
      </c>
      <c r="W244" s="32" t="s">
        <v>56</v>
      </c>
      <c r="X244" s="32" t="s">
        <v>56</v>
      </c>
      <c r="Y244" s="32" t="s">
        <v>42</v>
      </c>
      <c r="Z244" s="35"/>
      <c r="AA244" s="35"/>
      <c r="AB244" s="32"/>
      <c r="AC244" s="12" t="s">
        <v>870</v>
      </c>
      <c r="AD244" s="25">
        <v>40406</v>
      </c>
      <c r="AE244" s="25"/>
      <c r="AF244" s="25"/>
      <c r="AG244" s="25"/>
      <c r="AH244" s="11" t="s">
        <v>871</v>
      </c>
    </row>
    <row r="245" spans="1:34" s="37" customFormat="1">
      <c r="A245" s="1">
        <v>244</v>
      </c>
      <c r="B245" s="29">
        <v>39921</v>
      </c>
      <c r="C245" s="30">
        <v>39912</v>
      </c>
      <c r="D245" s="30"/>
      <c r="E245" s="38" t="s">
        <v>872</v>
      </c>
      <c r="F245" s="31"/>
      <c r="G245" s="32" t="s">
        <v>37</v>
      </c>
      <c r="H245" s="33">
        <v>20</v>
      </c>
      <c r="I245" s="32" t="s">
        <v>873</v>
      </c>
      <c r="J245" s="31" t="s">
        <v>874</v>
      </c>
      <c r="K245" s="31" t="s">
        <v>106</v>
      </c>
      <c r="L245" s="32" t="s">
        <v>24</v>
      </c>
      <c r="M245" s="30">
        <v>39912</v>
      </c>
      <c r="N245" s="33">
        <v>1</v>
      </c>
      <c r="O245" s="32" t="s">
        <v>40</v>
      </c>
      <c r="P245" s="32" t="s">
        <v>72</v>
      </c>
      <c r="Q245" s="32" t="s">
        <v>27</v>
      </c>
      <c r="R245" s="32" t="s">
        <v>42</v>
      </c>
      <c r="S245" s="30">
        <f t="shared" ca="1" si="9"/>
        <v>40470.53652858796</v>
      </c>
      <c r="T245" s="31">
        <f t="shared" ca="1" si="10"/>
        <v>18</v>
      </c>
      <c r="U245" s="32" t="s">
        <v>42</v>
      </c>
      <c r="V245" s="32" t="s">
        <v>42</v>
      </c>
      <c r="W245" s="32" t="s">
        <v>42</v>
      </c>
      <c r="X245" s="32" t="s">
        <v>42</v>
      </c>
      <c r="Y245" s="32" t="s">
        <v>42</v>
      </c>
      <c r="Z245" s="35"/>
      <c r="AA245" s="35"/>
      <c r="AB245" s="32"/>
      <c r="AC245" s="12" t="s">
        <v>2510</v>
      </c>
      <c r="AD245" s="25">
        <v>40157</v>
      </c>
      <c r="AE245" s="25"/>
      <c r="AF245" s="25"/>
      <c r="AG245" s="25"/>
      <c r="AH245" s="11" t="s">
        <v>44</v>
      </c>
    </row>
    <row r="246" spans="1:34">
      <c r="A246" s="1">
        <v>245</v>
      </c>
      <c r="B246" s="29">
        <v>39922</v>
      </c>
      <c r="C246" s="30">
        <v>39912</v>
      </c>
      <c r="D246" s="30"/>
      <c r="E246" s="38" t="s">
        <v>875</v>
      </c>
      <c r="F246" s="31"/>
      <c r="G246" s="32" t="s">
        <v>37</v>
      </c>
      <c r="H246" s="33">
        <v>40</v>
      </c>
      <c r="I246" s="34" t="s">
        <v>876</v>
      </c>
      <c r="J246" s="31"/>
      <c r="K246" s="31" t="s">
        <v>291</v>
      </c>
      <c r="L246" s="32" t="s">
        <v>24</v>
      </c>
      <c r="M246" s="30">
        <v>39912</v>
      </c>
      <c r="N246" s="33">
        <v>1</v>
      </c>
      <c r="O246" s="32" t="s">
        <v>40</v>
      </c>
      <c r="P246" s="32" t="s">
        <v>72</v>
      </c>
      <c r="Q246" s="32" t="s">
        <v>27</v>
      </c>
      <c r="R246" s="32" t="s">
        <v>42</v>
      </c>
      <c r="S246" s="30">
        <f t="shared" ca="1" si="9"/>
        <v>40470.53652858796</v>
      </c>
      <c r="T246" s="31">
        <f t="shared" ca="1" si="10"/>
        <v>18</v>
      </c>
      <c r="U246" s="32" t="s">
        <v>42</v>
      </c>
      <c r="V246" s="32" t="s">
        <v>42</v>
      </c>
      <c r="W246" s="32" t="s">
        <v>42</v>
      </c>
      <c r="X246" s="32" t="s">
        <v>42</v>
      </c>
      <c r="Y246" s="32" t="s">
        <v>42</v>
      </c>
      <c r="Z246" s="35">
        <v>24.815110000000001</v>
      </c>
      <c r="AA246" s="35">
        <v>67.109269999999995</v>
      </c>
      <c r="AB246" s="32"/>
      <c r="AC246" s="12" t="s">
        <v>2510</v>
      </c>
      <c r="AD246" s="39">
        <v>40128</v>
      </c>
      <c r="AE246" s="39"/>
      <c r="AF246" s="39"/>
      <c r="AG246" s="39"/>
      <c r="AH246" s="39" t="s">
        <v>44</v>
      </c>
    </row>
    <row r="247" spans="1:34" s="37" customFormat="1">
      <c r="A247" s="1">
        <v>246</v>
      </c>
      <c r="B247" s="29">
        <v>39923</v>
      </c>
      <c r="C247" s="30">
        <v>39913</v>
      </c>
      <c r="D247" s="30"/>
      <c r="E247" s="38" t="s">
        <v>877</v>
      </c>
      <c r="F247" s="31"/>
      <c r="G247" s="32" t="s">
        <v>37</v>
      </c>
      <c r="H247" s="33">
        <v>16</v>
      </c>
      <c r="I247" s="32" t="s">
        <v>878</v>
      </c>
      <c r="J247" s="31" t="s">
        <v>879</v>
      </c>
      <c r="K247" s="31" t="s">
        <v>39</v>
      </c>
      <c r="L247" s="32" t="s">
        <v>24</v>
      </c>
      <c r="M247" s="30">
        <v>39913</v>
      </c>
      <c r="N247" s="33">
        <v>1</v>
      </c>
      <c r="O247" s="32" t="s">
        <v>40</v>
      </c>
      <c r="P247" s="32" t="s">
        <v>176</v>
      </c>
      <c r="Q247" s="32" t="s">
        <v>27</v>
      </c>
      <c r="R247" s="32" t="s">
        <v>56</v>
      </c>
      <c r="S247" s="30">
        <f t="shared" ca="1" si="9"/>
        <v>40470.53652858796</v>
      </c>
      <c r="T247" s="31">
        <f t="shared" ca="1" si="10"/>
        <v>18</v>
      </c>
      <c r="U247" s="32" t="s">
        <v>42</v>
      </c>
      <c r="V247" s="32" t="s">
        <v>42</v>
      </c>
      <c r="W247" s="32" t="s">
        <v>42</v>
      </c>
      <c r="X247" s="32" t="s">
        <v>42</v>
      </c>
      <c r="Y247" s="32" t="s">
        <v>42</v>
      </c>
      <c r="Z247" s="35">
        <v>24.82789</v>
      </c>
      <c r="AA247" s="35">
        <v>67.144329999999997</v>
      </c>
      <c r="AB247" s="32"/>
      <c r="AC247" s="12" t="s">
        <v>2510</v>
      </c>
      <c r="AD247" s="25">
        <v>40162</v>
      </c>
      <c r="AE247" s="25"/>
      <c r="AF247" s="25"/>
      <c r="AG247" s="25"/>
      <c r="AH247" s="11" t="s">
        <v>44</v>
      </c>
    </row>
    <row r="248" spans="1:34" s="37" customFormat="1">
      <c r="A248" s="1">
        <v>247</v>
      </c>
      <c r="B248" s="29">
        <v>39924</v>
      </c>
      <c r="C248" s="30">
        <v>39913</v>
      </c>
      <c r="D248" s="30"/>
      <c r="E248" s="38" t="s">
        <v>880</v>
      </c>
      <c r="F248" s="31"/>
      <c r="G248" s="32" t="s">
        <v>20</v>
      </c>
      <c r="H248" s="33">
        <v>23</v>
      </c>
      <c r="I248" s="32" t="s">
        <v>881</v>
      </c>
      <c r="J248" s="31" t="s">
        <v>882</v>
      </c>
      <c r="K248" s="31" t="s">
        <v>291</v>
      </c>
      <c r="L248" s="32" t="s">
        <v>24</v>
      </c>
      <c r="M248" s="30">
        <v>39913</v>
      </c>
      <c r="N248" s="33">
        <v>1</v>
      </c>
      <c r="O248" s="32" t="s">
        <v>40</v>
      </c>
      <c r="P248" s="32" t="s">
        <v>176</v>
      </c>
      <c r="Q248" s="32" t="s">
        <v>27</v>
      </c>
      <c r="R248" s="32" t="s">
        <v>42</v>
      </c>
      <c r="S248" s="30">
        <f t="shared" ca="1" si="9"/>
        <v>40470.53652858796</v>
      </c>
      <c r="T248" s="31">
        <f t="shared" ca="1" si="10"/>
        <v>18</v>
      </c>
      <c r="U248" s="32" t="s">
        <v>42</v>
      </c>
      <c r="V248" s="32" t="s">
        <v>42</v>
      </c>
      <c r="W248" s="32" t="s">
        <v>42</v>
      </c>
      <c r="X248" s="32" t="s">
        <v>42</v>
      </c>
      <c r="Y248" s="32" t="s">
        <v>42</v>
      </c>
      <c r="Z248" s="35">
        <v>24.863219999999998</v>
      </c>
      <c r="AA248" s="35">
        <v>67.044120000000007</v>
      </c>
      <c r="AB248" s="32"/>
      <c r="AC248" s="12" t="s">
        <v>2510</v>
      </c>
      <c r="AD248" s="25">
        <v>40169</v>
      </c>
      <c r="AE248" s="25"/>
      <c r="AF248" s="25"/>
      <c r="AG248" s="25"/>
      <c r="AH248" s="11" t="s">
        <v>44</v>
      </c>
    </row>
    <row r="249" spans="1:34" s="37" customFormat="1" ht="12.75" customHeight="1">
      <c r="A249" s="1">
        <v>248</v>
      </c>
      <c r="B249" s="29">
        <v>39925</v>
      </c>
      <c r="C249" s="30">
        <v>39916</v>
      </c>
      <c r="D249" s="30"/>
      <c r="E249" s="38" t="s">
        <v>883</v>
      </c>
      <c r="F249" s="31"/>
      <c r="G249" s="32" t="s">
        <v>20</v>
      </c>
      <c r="H249" s="33">
        <v>20</v>
      </c>
      <c r="I249" s="32" t="s">
        <v>884</v>
      </c>
      <c r="J249" s="31" t="s">
        <v>885</v>
      </c>
      <c r="K249" s="31" t="s">
        <v>48</v>
      </c>
      <c r="L249" s="32" t="s">
        <v>24</v>
      </c>
      <c r="M249" s="30">
        <v>39916</v>
      </c>
      <c r="N249" s="33">
        <v>1</v>
      </c>
      <c r="O249" s="32" t="s">
        <v>25</v>
      </c>
      <c r="P249" s="32" t="s">
        <v>26</v>
      </c>
      <c r="Q249" s="32" t="s">
        <v>27</v>
      </c>
      <c r="R249" s="32" t="s">
        <v>28</v>
      </c>
      <c r="S249" s="30">
        <f t="shared" ca="1" si="9"/>
        <v>40470.53652858796</v>
      </c>
      <c r="T249" s="31">
        <f t="shared" ca="1" si="10"/>
        <v>18</v>
      </c>
      <c r="U249" s="32" t="s">
        <v>56</v>
      </c>
      <c r="V249" s="32" t="s">
        <v>42</v>
      </c>
      <c r="W249" s="32" t="s">
        <v>56</v>
      </c>
      <c r="X249" s="32" t="s">
        <v>56</v>
      </c>
      <c r="Y249" s="32" t="s">
        <v>42</v>
      </c>
      <c r="Z249" s="35">
        <v>24.816379999999999</v>
      </c>
      <c r="AA249" s="35">
        <v>67.137389999999996</v>
      </c>
      <c r="AB249" s="32"/>
      <c r="AC249" s="12" t="s">
        <v>122</v>
      </c>
      <c r="AD249" s="25"/>
      <c r="AE249" s="25"/>
      <c r="AF249" s="25"/>
      <c r="AG249" s="25"/>
      <c r="AH249" s="11" t="s">
        <v>122</v>
      </c>
    </row>
    <row r="250" spans="1:34" s="37" customFormat="1" ht="12.75" customHeight="1">
      <c r="A250" s="1">
        <v>249</v>
      </c>
      <c r="B250" s="29">
        <v>39926</v>
      </c>
      <c r="C250" s="30">
        <v>39916</v>
      </c>
      <c r="D250" s="30"/>
      <c r="E250" s="38" t="s">
        <v>886</v>
      </c>
      <c r="F250" s="31"/>
      <c r="G250" s="32" t="s">
        <v>37</v>
      </c>
      <c r="H250" s="33">
        <v>58</v>
      </c>
      <c r="I250" s="32" t="s">
        <v>887</v>
      </c>
      <c r="J250" s="31" t="s">
        <v>888</v>
      </c>
      <c r="K250" s="31" t="s">
        <v>71</v>
      </c>
      <c r="L250" s="32" t="s">
        <v>24</v>
      </c>
      <c r="M250" s="30">
        <v>39916</v>
      </c>
      <c r="N250" s="33">
        <v>2</v>
      </c>
      <c r="O250" s="32" t="s">
        <v>25</v>
      </c>
      <c r="P250" s="32" t="s">
        <v>26</v>
      </c>
      <c r="Q250" s="32" t="s">
        <v>49</v>
      </c>
      <c r="R250" s="32" t="s">
        <v>28</v>
      </c>
      <c r="S250" s="30">
        <f t="shared" ca="1" si="9"/>
        <v>40470.53652858796</v>
      </c>
      <c r="T250" s="31">
        <f t="shared" ca="1" si="10"/>
        <v>18</v>
      </c>
      <c r="U250" s="32" t="s">
        <v>42</v>
      </c>
      <c r="V250" s="32" t="s">
        <v>56</v>
      </c>
      <c r="W250" s="32" t="s">
        <v>42</v>
      </c>
      <c r="X250" s="32" t="s">
        <v>56</v>
      </c>
      <c r="Y250" s="32" t="s">
        <v>42</v>
      </c>
      <c r="Z250" s="35">
        <v>24.844550000000002</v>
      </c>
      <c r="AA250" s="35">
        <v>67.118620000000007</v>
      </c>
      <c r="AB250" s="32"/>
      <c r="AC250" s="12" t="s">
        <v>915</v>
      </c>
      <c r="AD250" s="25">
        <v>40219</v>
      </c>
      <c r="AE250" s="25"/>
      <c r="AF250" s="25"/>
      <c r="AG250" s="25"/>
      <c r="AH250" s="11" t="s">
        <v>61</v>
      </c>
    </row>
    <row r="251" spans="1:34" s="37" customFormat="1" ht="12.75" customHeight="1">
      <c r="A251" s="1">
        <v>250</v>
      </c>
      <c r="B251" s="29">
        <v>39927</v>
      </c>
      <c r="C251" s="30">
        <v>39916</v>
      </c>
      <c r="D251" s="30"/>
      <c r="E251" s="38" t="s">
        <v>889</v>
      </c>
      <c r="F251" s="31"/>
      <c r="G251" s="32" t="s">
        <v>20</v>
      </c>
      <c r="H251" s="33">
        <v>20</v>
      </c>
      <c r="I251" s="32" t="s">
        <v>890</v>
      </c>
      <c r="J251" s="31" t="s">
        <v>891</v>
      </c>
      <c r="K251" s="31" t="s">
        <v>291</v>
      </c>
      <c r="L251" s="32" t="s">
        <v>24</v>
      </c>
      <c r="M251" s="30">
        <v>39916</v>
      </c>
      <c r="N251" s="33">
        <v>1</v>
      </c>
      <c r="O251" s="32" t="s">
        <v>25</v>
      </c>
      <c r="P251" s="32" t="s">
        <v>26</v>
      </c>
      <c r="Q251" s="32" t="s">
        <v>27</v>
      </c>
      <c r="R251" s="32" t="s">
        <v>28</v>
      </c>
      <c r="S251" s="30">
        <f t="shared" ca="1" si="9"/>
        <v>40470.53652858796</v>
      </c>
      <c r="T251" s="31">
        <f t="shared" ca="1" si="10"/>
        <v>18</v>
      </c>
      <c r="U251" s="32" t="s">
        <v>56</v>
      </c>
      <c r="V251" s="32" t="s">
        <v>42</v>
      </c>
      <c r="W251" s="32" t="s">
        <v>224</v>
      </c>
      <c r="X251" s="32" t="s">
        <v>224</v>
      </c>
      <c r="Y251" s="32" t="s">
        <v>42</v>
      </c>
      <c r="Z251" s="35">
        <v>24.81861</v>
      </c>
      <c r="AA251" s="35">
        <v>67.179000000000002</v>
      </c>
      <c r="AB251" s="32"/>
      <c r="AC251" s="12" t="s">
        <v>44</v>
      </c>
      <c r="AD251" s="25"/>
      <c r="AE251" s="25"/>
      <c r="AF251" s="25"/>
      <c r="AG251" s="25"/>
      <c r="AH251" s="11" t="s">
        <v>219</v>
      </c>
    </row>
    <row r="252" spans="1:34" s="37" customFormat="1" ht="12.75" customHeight="1">
      <c r="A252" s="1">
        <v>251</v>
      </c>
      <c r="B252" s="29">
        <v>39928</v>
      </c>
      <c r="C252" s="30">
        <v>39917</v>
      </c>
      <c r="D252" s="30"/>
      <c r="E252" s="38" t="s">
        <v>892</v>
      </c>
      <c r="F252" s="31"/>
      <c r="G252" s="32" t="s">
        <v>20</v>
      </c>
      <c r="H252" s="33">
        <v>22</v>
      </c>
      <c r="I252" s="32" t="s">
        <v>893</v>
      </c>
      <c r="J252" s="31" t="s">
        <v>894</v>
      </c>
      <c r="K252" s="31" t="s">
        <v>106</v>
      </c>
      <c r="L252" s="32" t="s">
        <v>24</v>
      </c>
      <c r="M252" s="30">
        <v>39917</v>
      </c>
      <c r="N252" s="33">
        <v>1</v>
      </c>
      <c r="O252" s="32" t="s">
        <v>25</v>
      </c>
      <c r="P252" s="32" t="s">
        <v>26</v>
      </c>
      <c r="Q252" s="32" t="s">
        <v>27</v>
      </c>
      <c r="R252" s="32" t="s">
        <v>56</v>
      </c>
      <c r="S252" s="30">
        <f t="shared" ca="1" si="9"/>
        <v>40470.53652858796</v>
      </c>
      <c r="T252" s="31">
        <f t="shared" ca="1" si="10"/>
        <v>18</v>
      </c>
      <c r="U252" s="32" t="s">
        <v>42</v>
      </c>
      <c r="V252" s="32" t="s">
        <v>42</v>
      </c>
      <c r="W252" s="32" t="s">
        <v>224</v>
      </c>
      <c r="X252" s="32" t="s">
        <v>224</v>
      </c>
      <c r="Y252" s="32" t="s">
        <v>42</v>
      </c>
      <c r="Z252" s="35">
        <v>24.83079</v>
      </c>
      <c r="AA252" s="35">
        <v>67.152370000000005</v>
      </c>
      <c r="AB252" s="32"/>
      <c r="AC252" s="12" t="s">
        <v>44</v>
      </c>
      <c r="AD252" s="25">
        <v>40100</v>
      </c>
      <c r="AE252" s="25"/>
      <c r="AF252" s="25"/>
      <c r="AG252" s="25"/>
      <c r="AH252" s="11" t="s">
        <v>219</v>
      </c>
    </row>
    <row r="253" spans="1:34" s="37" customFormat="1" ht="12.75" customHeight="1">
      <c r="A253" s="1">
        <v>252</v>
      </c>
      <c r="B253" s="29">
        <v>39912</v>
      </c>
      <c r="C253" s="30">
        <v>39918</v>
      </c>
      <c r="D253" s="30"/>
      <c r="E253" s="38" t="s">
        <v>895</v>
      </c>
      <c r="F253" s="31"/>
      <c r="G253" s="32" t="s">
        <v>37</v>
      </c>
      <c r="H253" s="33">
        <v>13</v>
      </c>
      <c r="I253" s="32" t="s">
        <v>306</v>
      </c>
      <c r="J253" s="31" t="s">
        <v>896</v>
      </c>
      <c r="K253" s="31" t="s">
        <v>39</v>
      </c>
      <c r="L253" s="32" t="s">
        <v>24</v>
      </c>
      <c r="M253" s="30">
        <v>39918</v>
      </c>
      <c r="N253" s="33">
        <v>2</v>
      </c>
      <c r="O253" s="32" t="s">
        <v>25</v>
      </c>
      <c r="P253" s="32" t="s">
        <v>26</v>
      </c>
      <c r="Q253" s="32" t="s">
        <v>49</v>
      </c>
      <c r="R253" s="32" t="s">
        <v>65</v>
      </c>
      <c r="S253" s="30">
        <f t="shared" ca="1" si="9"/>
        <v>40470.53652858796</v>
      </c>
      <c r="T253" s="31">
        <f t="shared" ca="1" si="10"/>
        <v>18</v>
      </c>
      <c r="U253" s="32" t="s">
        <v>56</v>
      </c>
      <c r="V253" s="32" t="s">
        <v>224</v>
      </c>
      <c r="W253" s="32" t="s">
        <v>224</v>
      </c>
      <c r="X253" s="32" t="s">
        <v>224</v>
      </c>
      <c r="Y253" s="32" t="s">
        <v>42</v>
      </c>
      <c r="Z253" s="35">
        <v>24.81673</v>
      </c>
      <c r="AA253" s="35">
        <v>67.138059999999996</v>
      </c>
      <c r="AB253" s="32"/>
      <c r="AC253" s="12" t="s">
        <v>44</v>
      </c>
      <c r="AD253" s="25">
        <v>40225</v>
      </c>
      <c r="AE253" s="25"/>
      <c r="AF253" s="25"/>
      <c r="AG253" s="25"/>
      <c r="AH253" s="11" t="s">
        <v>219</v>
      </c>
    </row>
    <row r="254" spans="1:34" s="37" customFormat="1">
      <c r="A254" s="1">
        <v>253</v>
      </c>
      <c r="B254" s="29">
        <v>39912</v>
      </c>
      <c r="C254" s="30">
        <v>39919</v>
      </c>
      <c r="D254" s="30"/>
      <c r="E254" s="38" t="s">
        <v>897</v>
      </c>
      <c r="F254" s="31"/>
      <c r="G254" s="32" t="s">
        <v>20</v>
      </c>
      <c r="H254" s="33">
        <v>25</v>
      </c>
      <c r="I254" s="32" t="s">
        <v>898</v>
      </c>
      <c r="J254" s="31" t="s">
        <v>899</v>
      </c>
      <c r="K254" s="31" t="s">
        <v>106</v>
      </c>
      <c r="L254" s="32" t="s">
        <v>24</v>
      </c>
      <c r="M254" s="30">
        <v>39919</v>
      </c>
      <c r="N254" s="33">
        <v>1</v>
      </c>
      <c r="O254" s="32" t="s">
        <v>40</v>
      </c>
      <c r="P254" s="32" t="s">
        <v>109</v>
      </c>
      <c r="Q254" s="32" t="s">
        <v>27</v>
      </c>
      <c r="R254" s="32" t="s">
        <v>56</v>
      </c>
      <c r="S254" s="30">
        <f t="shared" ca="1" si="9"/>
        <v>40470.53652858796</v>
      </c>
      <c r="T254" s="31">
        <f t="shared" ca="1" si="10"/>
        <v>18</v>
      </c>
      <c r="U254" s="32" t="s">
        <v>42</v>
      </c>
      <c r="V254" s="32" t="s">
        <v>42</v>
      </c>
      <c r="W254" s="32" t="s">
        <v>42</v>
      </c>
      <c r="X254" s="32" t="s">
        <v>42</v>
      </c>
      <c r="Y254" s="32" t="s">
        <v>42</v>
      </c>
      <c r="Z254" s="35">
        <v>24.817319999999999</v>
      </c>
      <c r="AA254" s="35">
        <v>67.120050000000006</v>
      </c>
      <c r="AB254" s="32"/>
      <c r="AC254" s="12" t="s">
        <v>44</v>
      </c>
      <c r="AD254" s="25">
        <v>40133</v>
      </c>
      <c r="AE254" s="25"/>
      <c r="AF254" s="25"/>
      <c r="AG254" s="25"/>
      <c r="AH254" s="11" t="s">
        <v>219</v>
      </c>
    </row>
    <row r="255" spans="1:34" s="37" customFormat="1">
      <c r="A255" s="1">
        <v>254</v>
      </c>
      <c r="B255" s="29">
        <v>39912</v>
      </c>
      <c r="C255" s="30">
        <v>39919</v>
      </c>
      <c r="D255" s="30"/>
      <c r="E255" s="38" t="s">
        <v>900</v>
      </c>
      <c r="F255" s="31"/>
      <c r="G255" s="32" t="s">
        <v>20</v>
      </c>
      <c r="H255" s="33">
        <v>26</v>
      </c>
      <c r="I255" s="32" t="s">
        <v>901</v>
      </c>
      <c r="J255" s="31" t="s">
        <v>902</v>
      </c>
      <c r="K255" s="31" t="s">
        <v>291</v>
      </c>
      <c r="L255" s="32" t="s">
        <v>24</v>
      </c>
      <c r="M255" s="30">
        <v>39919</v>
      </c>
      <c r="N255" s="33">
        <v>1</v>
      </c>
      <c r="O255" s="32" t="s">
        <v>40</v>
      </c>
      <c r="P255" s="32" t="s">
        <v>109</v>
      </c>
      <c r="Q255" s="32" t="s">
        <v>27</v>
      </c>
      <c r="R255" s="32" t="s">
        <v>56</v>
      </c>
      <c r="S255" s="30">
        <f t="shared" ca="1" si="9"/>
        <v>40470.53652858796</v>
      </c>
      <c r="T255" s="31">
        <f t="shared" ca="1" si="10"/>
        <v>18</v>
      </c>
      <c r="U255" s="32" t="s">
        <v>42</v>
      </c>
      <c r="V255" s="32" t="s">
        <v>42</v>
      </c>
      <c r="W255" s="32" t="s">
        <v>42</v>
      </c>
      <c r="X255" s="32" t="s">
        <v>42</v>
      </c>
      <c r="Y255" s="32" t="s">
        <v>42</v>
      </c>
      <c r="Z255" s="35">
        <v>24.8401</v>
      </c>
      <c r="AA255" s="35">
        <v>67.072860000000006</v>
      </c>
      <c r="AB255" s="32"/>
      <c r="AC255" s="12" t="s">
        <v>44</v>
      </c>
      <c r="AD255" s="25">
        <v>40133</v>
      </c>
      <c r="AE255" s="25"/>
      <c r="AF255" s="25"/>
      <c r="AG255" s="25"/>
      <c r="AH255" s="11" t="s">
        <v>219</v>
      </c>
    </row>
    <row r="256" spans="1:34" s="37" customFormat="1">
      <c r="A256" s="1">
        <v>255</v>
      </c>
      <c r="B256" s="29">
        <v>39912</v>
      </c>
      <c r="C256" s="30">
        <v>39920</v>
      </c>
      <c r="D256" s="30"/>
      <c r="E256" s="38" t="s">
        <v>903</v>
      </c>
      <c r="F256" s="31"/>
      <c r="G256" s="32" t="s">
        <v>37</v>
      </c>
      <c r="H256" s="33">
        <v>10</v>
      </c>
      <c r="I256" s="32" t="s">
        <v>904</v>
      </c>
      <c r="J256" s="31" t="s">
        <v>905</v>
      </c>
      <c r="K256" s="31" t="s">
        <v>39</v>
      </c>
      <c r="L256" s="32" t="s">
        <v>24</v>
      </c>
      <c r="M256" s="30">
        <v>39920</v>
      </c>
      <c r="N256" s="33">
        <v>1</v>
      </c>
      <c r="O256" s="32" t="s">
        <v>40</v>
      </c>
      <c r="P256" s="32" t="s">
        <v>72</v>
      </c>
      <c r="Q256" s="32" t="s">
        <v>27</v>
      </c>
      <c r="R256" s="32" t="s">
        <v>42</v>
      </c>
      <c r="S256" s="30">
        <f t="shared" ca="1" si="9"/>
        <v>40470.53652858796</v>
      </c>
      <c r="T256" s="31">
        <f t="shared" ca="1" si="10"/>
        <v>18</v>
      </c>
      <c r="U256" s="32" t="s">
        <v>42</v>
      </c>
      <c r="V256" s="32" t="s">
        <v>42</v>
      </c>
      <c r="W256" s="32" t="s">
        <v>42</v>
      </c>
      <c r="X256" s="32" t="s">
        <v>42</v>
      </c>
      <c r="Y256" s="32" t="s">
        <v>42</v>
      </c>
      <c r="Z256" s="35">
        <v>24.81081</v>
      </c>
      <c r="AA256" s="35">
        <v>67.146960000000007</v>
      </c>
      <c r="AB256" s="32"/>
      <c r="AC256" s="12" t="s">
        <v>44</v>
      </c>
      <c r="AD256" s="25">
        <v>40253</v>
      </c>
      <c r="AE256" s="25"/>
      <c r="AF256" s="25"/>
      <c r="AG256" s="25"/>
      <c r="AH256" s="11" t="s">
        <v>219</v>
      </c>
    </row>
    <row r="257" spans="1:36">
      <c r="A257" s="1">
        <v>256</v>
      </c>
      <c r="B257" s="29">
        <v>39912</v>
      </c>
      <c r="C257" s="30">
        <v>39924</v>
      </c>
      <c r="D257" s="30"/>
      <c r="E257" s="38" t="s">
        <v>906</v>
      </c>
      <c r="F257" s="31"/>
      <c r="G257" s="32" t="s">
        <v>20</v>
      </c>
      <c r="H257" s="33">
        <v>17</v>
      </c>
      <c r="I257" s="32" t="s">
        <v>907</v>
      </c>
      <c r="J257" s="31" t="s">
        <v>908</v>
      </c>
      <c r="K257" s="31" t="s">
        <v>106</v>
      </c>
      <c r="L257" s="32" t="s">
        <v>24</v>
      </c>
      <c r="M257" s="30">
        <v>39924</v>
      </c>
      <c r="N257" s="33">
        <v>1</v>
      </c>
      <c r="O257" s="32" t="s">
        <v>40</v>
      </c>
      <c r="P257" s="32" t="s">
        <v>213</v>
      </c>
      <c r="Q257" s="32" t="s">
        <v>27</v>
      </c>
      <c r="R257" s="32" t="s">
        <v>42</v>
      </c>
      <c r="S257" s="30">
        <f t="shared" ca="1" si="9"/>
        <v>40470.53652858796</v>
      </c>
      <c r="T257" s="31">
        <f t="shared" ca="1" si="10"/>
        <v>18</v>
      </c>
      <c r="U257" s="32" t="s">
        <v>42</v>
      </c>
      <c r="V257" s="32" t="s">
        <v>42</v>
      </c>
      <c r="W257" s="32" t="s">
        <v>42</v>
      </c>
      <c r="X257" s="32" t="s">
        <v>42</v>
      </c>
      <c r="Y257" s="32" t="s">
        <v>42</v>
      </c>
      <c r="Z257" s="19">
        <v>24.83595</v>
      </c>
      <c r="AA257" s="19">
        <v>67.145380000000003</v>
      </c>
      <c r="AC257" s="12" t="s">
        <v>44</v>
      </c>
      <c r="AD257" s="25">
        <v>40238</v>
      </c>
      <c r="AH257" s="11" t="s">
        <v>219</v>
      </c>
      <c r="AI257" s="37"/>
      <c r="AJ257" s="37"/>
    </row>
    <row r="258" spans="1:36" s="37" customFormat="1" ht="12.75" customHeight="1">
      <c r="A258" s="1">
        <v>257</v>
      </c>
      <c r="B258" s="29">
        <v>39912</v>
      </c>
      <c r="C258" s="30">
        <v>39927</v>
      </c>
      <c r="D258" s="30"/>
      <c r="E258" s="38" t="s">
        <v>909</v>
      </c>
      <c r="F258" s="31"/>
      <c r="G258" s="32" t="s">
        <v>20</v>
      </c>
      <c r="H258" s="33">
        <v>14</v>
      </c>
      <c r="I258" s="32" t="s">
        <v>910</v>
      </c>
      <c r="J258" s="31" t="s">
        <v>911</v>
      </c>
      <c r="K258" s="31" t="s">
        <v>106</v>
      </c>
      <c r="L258" s="32" t="s">
        <v>24</v>
      </c>
      <c r="M258" s="30">
        <v>39927</v>
      </c>
      <c r="N258" s="33">
        <v>1</v>
      </c>
      <c r="O258" s="32" t="s">
        <v>25</v>
      </c>
      <c r="P258" s="32" t="s">
        <v>26</v>
      </c>
      <c r="Q258" s="32" t="s">
        <v>27</v>
      </c>
      <c r="R258" s="32" t="s">
        <v>56</v>
      </c>
      <c r="S258" s="30">
        <f t="shared" ref="S258:S321" ca="1" si="11">NOW()</f>
        <v>40470.53652858796</v>
      </c>
      <c r="T258" s="31">
        <f t="shared" ca="1" si="10"/>
        <v>18</v>
      </c>
      <c r="U258" s="32" t="s">
        <v>42</v>
      </c>
      <c r="V258" s="32" t="s">
        <v>42</v>
      </c>
      <c r="W258" s="32" t="s">
        <v>224</v>
      </c>
      <c r="X258" s="32" t="s">
        <v>224</v>
      </c>
      <c r="Y258" s="32" t="s">
        <v>42</v>
      </c>
      <c r="Z258" s="35">
        <v>24.845700000000001</v>
      </c>
      <c r="AA258" s="35">
        <v>67.181120000000007</v>
      </c>
      <c r="AB258" s="32"/>
      <c r="AC258" s="12" t="s">
        <v>785</v>
      </c>
      <c r="AD258" s="25"/>
      <c r="AE258" s="25"/>
      <c r="AF258" s="25"/>
      <c r="AG258" s="25"/>
      <c r="AH258" s="11" t="s">
        <v>122</v>
      </c>
    </row>
    <row r="259" spans="1:36" s="37" customFormat="1" ht="12.75" customHeight="1">
      <c r="A259" s="1">
        <v>258</v>
      </c>
      <c r="B259" s="29">
        <v>39912</v>
      </c>
      <c r="C259" s="30">
        <v>39931</v>
      </c>
      <c r="D259" s="30"/>
      <c r="E259" s="38" t="s">
        <v>912</v>
      </c>
      <c r="F259" s="31"/>
      <c r="G259" s="32" t="s">
        <v>20</v>
      </c>
      <c r="H259" s="33">
        <v>19</v>
      </c>
      <c r="I259" s="32" t="s">
        <v>913</v>
      </c>
      <c r="J259" s="31" t="s">
        <v>914</v>
      </c>
      <c r="K259" s="31" t="s">
        <v>106</v>
      </c>
      <c r="L259" s="32" t="s">
        <v>24</v>
      </c>
      <c r="M259" s="30">
        <v>39931</v>
      </c>
      <c r="N259" s="33">
        <v>1</v>
      </c>
      <c r="O259" s="32" t="s">
        <v>25</v>
      </c>
      <c r="P259" s="32" t="s">
        <v>26</v>
      </c>
      <c r="Q259" s="32" t="s">
        <v>27</v>
      </c>
      <c r="R259" s="32" t="s">
        <v>65</v>
      </c>
      <c r="S259" s="30">
        <f t="shared" ca="1" si="11"/>
        <v>40470.53652858796</v>
      </c>
      <c r="T259" s="31">
        <f t="shared" ca="1" si="10"/>
        <v>18</v>
      </c>
      <c r="U259" s="32" t="s">
        <v>28</v>
      </c>
      <c r="V259" s="32" t="s">
        <v>452</v>
      </c>
      <c r="W259" s="32" t="s">
        <v>224</v>
      </c>
      <c r="X259" s="32" t="s">
        <v>224</v>
      </c>
      <c r="Y259" s="32" t="s">
        <v>42</v>
      </c>
      <c r="Z259" s="35">
        <v>24.846830000000001</v>
      </c>
      <c r="AA259" s="35">
        <v>67.076840000000004</v>
      </c>
      <c r="AB259" s="32"/>
      <c r="AC259" s="12" t="s">
        <v>915</v>
      </c>
      <c r="AD259" s="25">
        <v>40169</v>
      </c>
      <c r="AE259" s="25"/>
      <c r="AF259" s="25"/>
      <c r="AG259" s="25"/>
      <c r="AH259" s="11" t="s">
        <v>61</v>
      </c>
    </row>
    <row r="260" spans="1:36" s="37" customFormat="1">
      <c r="A260" s="1">
        <v>259</v>
      </c>
      <c r="B260" s="29">
        <v>39912</v>
      </c>
      <c r="C260" s="30">
        <v>39930</v>
      </c>
      <c r="D260" s="30"/>
      <c r="E260" s="38" t="s">
        <v>916</v>
      </c>
      <c r="F260" s="31"/>
      <c r="G260" s="32" t="s">
        <v>37</v>
      </c>
      <c r="H260" s="33">
        <v>13</v>
      </c>
      <c r="I260" s="32" t="s">
        <v>917</v>
      </c>
      <c r="J260" s="31" t="s">
        <v>746</v>
      </c>
      <c r="K260" s="31" t="s">
        <v>39</v>
      </c>
      <c r="L260" s="32" t="s">
        <v>24</v>
      </c>
      <c r="M260" s="30">
        <v>39930</v>
      </c>
      <c r="N260" s="33">
        <v>1</v>
      </c>
      <c r="O260" s="32" t="s">
        <v>40</v>
      </c>
      <c r="P260" s="32" t="s">
        <v>265</v>
      </c>
      <c r="Q260" s="32" t="s">
        <v>27</v>
      </c>
      <c r="R260" s="32" t="s">
        <v>56</v>
      </c>
      <c r="S260" s="30">
        <f t="shared" ca="1" si="11"/>
        <v>40470.53652858796</v>
      </c>
      <c r="T260" s="31">
        <f t="shared" ca="1" si="10"/>
        <v>18</v>
      </c>
      <c r="U260" s="32" t="s">
        <v>42</v>
      </c>
      <c r="V260" s="32" t="s">
        <v>42</v>
      </c>
      <c r="W260" s="32" t="s">
        <v>42</v>
      </c>
      <c r="X260" s="32" t="s">
        <v>42</v>
      </c>
      <c r="Y260" s="32" t="s">
        <v>42</v>
      </c>
      <c r="Z260" s="35">
        <v>24.826809999999998</v>
      </c>
      <c r="AA260" s="35">
        <v>67.129230000000007</v>
      </c>
      <c r="AB260" s="32"/>
      <c r="AC260" s="12" t="s">
        <v>122</v>
      </c>
      <c r="AD260" s="25"/>
      <c r="AE260" s="25"/>
      <c r="AF260" s="25"/>
      <c r="AG260" s="25"/>
      <c r="AH260" s="11" t="s">
        <v>122</v>
      </c>
    </row>
    <row r="261" spans="1:36" s="37" customFormat="1">
      <c r="A261" s="1">
        <v>260</v>
      </c>
      <c r="B261" s="29">
        <v>39942</v>
      </c>
      <c r="C261" s="30">
        <v>39938</v>
      </c>
      <c r="D261" s="30"/>
      <c r="E261" s="38" t="s">
        <v>747</v>
      </c>
      <c r="F261" s="31"/>
      <c r="G261" s="32" t="s">
        <v>37</v>
      </c>
      <c r="H261" s="33">
        <v>53</v>
      </c>
      <c r="I261" s="32" t="s">
        <v>748</v>
      </c>
      <c r="J261" s="31" t="s">
        <v>749</v>
      </c>
      <c r="K261" s="31" t="s">
        <v>71</v>
      </c>
      <c r="L261" s="32" t="s">
        <v>24</v>
      </c>
      <c r="M261" s="30">
        <v>39938</v>
      </c>
      <c r="N261" s="33">
        <v>1</v>
      </c>
      <c r="O261" s="32" t="s">
        <v>40</v>
      </c>
      <c r="P261" s="32" t="s">
        <v>72</v>
      </c>
      <c r="Q261" s="32" t="s">
        <v>27</v>
      </c>
      <c r="R261" s="32" t="s">
        <v>42</v>
      </c>
      <c r="S261" s="30">
        <f t="shared" ca="1" si="11"/>
        <v>40470.53652858796</v>
      </c>
      <c r="T261" s="31">
        <f t="shared" ca="1" si="10"/>
        <v>17</v>
      </c>
      <c r="U261" s="32" t="s">
        <v>42</v>
      </c>
      <c r="V261" s="32" t="s">
        <v>42</v>
      </c>
      <c r="W261" s="32" t="s">
        <v>42</v>
      </c>
      <c r="X261" s="32" t="s">
        <v>42</v>
      </c>
      <c r="Y261" s="32" t="s">
        <v>42</v>
      </c>
      <c r="Z261" s="35">
        <v>24.837569999999999</v>
      </c>
      <c r="AA261" s="35">
        <v>67.157169999999994</v>
      </c>
      <c r="AB261" s="32"/>
      <c r="AC261" s="12" t="s">
        <v>44</v>
      </c>
      <c r="AD261" s="25">
        <v>40231</v>
      </c>
      <c r="AE261" s="25"/>
      <c r="AF261" s="25"/>
      <c r="AG261" s="25"/>
      <c r="AH261" s="11" t="s">
        <v>219</v>
      </c>
    </row>
    <row r="262" spans="1:36" s="37" customFormat="1">
      <c r="A262" s="1">
        <v>261</v>
      </c>
      <c r="B262" s="29">
        <v>39942</v>
      </c>
      <c r="C262" s="30">
        <v>39938</v>
      </c>
      <c r="D262" s="30"/>
      <c r="E262" s="38" t="s">
        <v>750</v>
      </c>
      <c r="F262" s="31"/>
      <c r="G262" s="32" t="s">
        <v>37</v>
      </c>
      <c r="H262" s="33">
        <v>10</v>
      </c>
      <c r="I262" s="32" t="s">
        <v>751</v>
      </c>
      <c r="J262" s="31" t="s">
        <v>752</v>
      </c>
      <c r="K262" s="31" t="s">
        <v>106</v>
      </c>
      <c r="L262" s="32" t="s">
        <v>24</v>
      </c>
      <c r="M262" s="30">
        <v>39938</v>
      </c>
      <c r="N262" s="33">
        <v>1</v>
      </c>
      <c r="O262" s="32" t="s">
        <v>40</v>
      </c>
      <c r="P262" s="32" t="s">
        <v>72</v>
      </c>
      <c r="Q262" s="32" t="s">
        <v>27</v>
      </c>
      <c r="R262" s="32" t="s">
        <v>42</v>
      </c>
      <c r="S262" s="30">
        <f t="shared" ca="1" si="11"/>
        <v>40470.53652858796</v>
      </c>
      <c r="T262" s="31">
        <f t="shared" ca="1" si="10"/>
        <v>17</v>
      </c>
      <c r="U262" s="32" t="s">
        <v>42</v>
      </c>
      <c r="V262" s="32" t="s">
        <v>42</v>
      </c>
      <c r="W262" s="32" t="s">
        <v>42</v>
      </c>
      <c r="X262" s="32" t="s">
        <v>42</v>
      </c>
      <c r="Y262" s="32" t="s">
        <v>42</v>
      </c>
      <c r="Z262" s="35"/>
      <c r="AA262" s="35"/>
      <c r="AB262" s="32"/>
      <c r="AC262" s="12" t="s">
        <v>2510</v>
      </c>
      <c r="AD262" s="25">
        <v>40193</v>
      </c>
      <c r="AE262" s="25"/>
      <c r="AF262" s="25"/>
      <c r="AG262" s="25"/>
      <c r="AH262" s="11" t="s">
        <v>219</v>
      </c>
    </row>
    <row r="263" spans="1:36" s="37" customFormat="1" ht="12.75" customHeight="1">
      <c r="A263" s="1">
        <v>262</v>
      </c>
      <c r="B263" s="29">
        <v>39943</v>
      </c>
      <c r="C263" s="30">
        <v>39938</v>
      </c>
      <c r="D263" s="30"/>
      <c r="E263" s="38" t="s">
        <v>753</v>
      </c>
      <c r="F263" s="31"/>
      <c r="G263" s="32" t="s">
        <v>37</v>
      </c>
      <c r="H263" s="33">
        <v>16</v>
      </c>
      <c r="I263" s="32" t="s">
        <v>961</v>
      </c>
      <c r="J263" s="31" t="s">
        <v>962</v>
      </c>
      <c r="K263" s="31" t="s">
        <v>39</v>
      </c>
      <c r="L263" s="32" t="s">
        <v>24</v>
      </c>
      <c r="M263" s="30">
        <v>39938</v>
      </c>
      <c r="N263" s="33">
        <v>1</v>
      </c>
      <c r="O263" s="32" t="s">
        <v>25</v>
      </c>
      <c r="P263" s="32" t="s">
        <v>26</v>
      </c>
      <c r="Q263" s="32" t="s">
        <v>27</v>
      </c>
      <c r="R263" s="32" t="s">
        <v>56</v>
      </c>
      <c r="S263" s="30">
        <f t="shared" ca="1" si="11"/>
        <v>40470.53652858796</v>
      </c>
      <c r="T263" s="31">
        <f t="shared" ca="1" si="10"/>
        <v>17</v>
      </c>
      <c r="U263" s="32" t="s">
        <v>56</v>
      </c>
      <c r="V263" s="32" t="s">
        <v>42</v>
      </c>
      <c r="W263" s="32" t="s">
        <v>56</v>
      </c>
      <c r="X263" s="32" t="s">
        <v>56</v>
      </c>
      <c r="Y263" s="32" t="s">
        <v>42</v>
      </c>
      <c r="Z263" s="35">
        <v>24.817620000000002</v>
      </c>
      <c r="AA263" s="35">
        <v>67.103579999999994</v>
      </c>
      <c r="AB263" s="32"/>
      <c r="AC263" s="12" t="s">
        <v>2510</v>
      </c>
      <c r="AD263" s="25">
        <v>40219</v>
      </c>
      <c r="AE263" s="25"/>
      <c r="AF263" s="25"/>
      <c r="AG263" s="25"/>
      <c r="AH263" s="11" t="s">
        <v>219</v>
      </c>
    </row>
    <row r="264" spans="1:36" s="37" customFormat="1" ht="12.75" customHeight="1">
      <c r="A264" s="1">
        <v>263</v>
      </c>
      <c r="B264" s="29">
        <v>39944</v>
      </c>
      <c r="C264" s="30">
        <v>39938</v>
      </c>
      <c r="D264" s="30"/>
      <c r="E264" s="38" t="s">
        <v>963</v>
      </c>
      <c r="F264" s="31"/>
      <c r="G264" s="32" t="s">
        <v>37</v>
      </c>
      <c r="H264" s="33">
        <v>23</v>
      </c>
      <c r="I264" s="32" t="s">
        <v>964</v>
      </c>
      <c r="J264" s="31" t="s">
        <v>965</v>
      </c>
      <c r="K264" s="31" t="s">
        <v>106</v>
      </c>
      <c r="L264" s="32" t="s">
        <v>24</v>
      </c>
      <c r="M264" s="30">
        <v>39938</v>
      </c>
      <c r="N264" s="33">
        <v>1</v>
      </c>
      <c r="O264" s="32" t="s">
        <v>25</v>
      </c>
      <c r="P264" s="32" t="s">
        <v>26</v>
      </c>
      <c r="Q264" s="32" t="s">
        <v>27</v>
      </c>
      <c r="R264" s="32" t="s">
        <v>60</v>
      </c>
      <c r="S264" s="30">
        <f t="shared" ca="1" si="11"/>
        <v>40470.53652858796</v>
      </c>
      <c r="T264" s="31">
        <f t="shared" ca="1" si="10"/>
        <v>17</v>
      </c>
      <c r="U264" s="32" t="s">
        <v>224</v>
      </c>
      <c r="V264" s="32" t="s">
        <v>42</v>
      </c>
      <c r="W264" s="32" t="s">
        <v>224</v>
      </c>
      <c r="X264" s="32" t="s">
        <v>224</v>
      </c>
      <c r="Y264" s="32" t="s">
        <v>42</v>
      </c>
      <c r="Z264" s="35"/>
      <c r="AA264" s="35"/>
      <c r="AB264" s="32"/>
      <c r="AC264" s="12" t="s">
        <v>966</v>
      </c>
      <c r="AD264" s="25">
        <v>39934</v>
      </c>
      <c r="AE264" s="25"/>
      <c r="AF264" s="25"/>
      <c r="AG264" s="25"/>
      <c r="AH264" s="11" t="s">
        <v>35</v>
      </c>
    </row>
    <row r="265" spans="1:36" s="37" customFormat="1" ht="12.75" customHeight="1">
      <c r="A265" s="1">
        <v>264</v>
      </c>
      <c r="B265" s="29">
        <v>39945</v>
      </c>
      <c r="C265" s="30">
        <v>39939</v>
      </c>
      <c r="D265" s="30"/>
      <c r="E265" s="38" t="s">
        <v>967</v>
      </c>
      <c r="F265" s="31"/>
      <c r="G265" s="32" t="s">
        <v>37</v>
      </c>
      <c r="H265" s="33">
        <v>24</v>
      </c>
      <c r="I265" s="32" t="s">
        <v>968</v>
      </c>
      <c r="J265" s="31" t="s">
        <v>969</v>
      </c>
      <c r="K265" s="31" t="s">
        <v>206</v>
      </c>
      <c r="L265" s="32" t="s">
        <v>24</v>
      </c>
      <c r="M265" s="30">
        <v>39939</v>
      </c>
      <c r="N265" s="33">
        <v>1</v>
      </c>
      <c r="O265" s="32" t="s">
        <v>25</v>
      </c>
      <c r="P265" s="32" t="s">
        <v>26</v>
      </c>
      <c r="Q265" s="32" t="s">
        <v>27</v>
      </c>
      <c r="R265" s="32" t="s">
        <v>28</v>
      </c>
      <c r="S265" s="30">
        <f t="shared" ca="1" si="11"/>
        <v>40470.53652858796</v>
      </c>
      <c r="T265" s="31">
        <f t="shared" ca="1" si="10"/>
        <v>17</v>
      </c>
      <c r="U265" s="32" t="s">
        <v>56</v>
      </c>
      <c r="V265" s="32" t="s">
        <v>42</v>
      </c>
      <c r="W265" s="32" t="s">
        <v>56</v>
      </c>
      <c r="X265" s="32" t="s">
        <v>56</v>
      </c>
      <c r="Y265" s="32" t="s">
        <v>42</v>
      </c>
      <c r="Z265" s="35">
        <v>24.857749999999999</v>
      </c>
      <c r="AA265" s="35">
        <v>67.130690000000001</v>
      </c>
      <c r="AB265" s="32"/>
      <c r="AC265" s="12" t="s">
        <v>915</v>
      </c>
      <c r="AD265" s="25">
        <v>40196</v>
      </c>
      <c r="AE265" s="25"/>
      <c r="AF265" s="25"/>
      <c r="AG265" s="25"/>
      <c r="AH265" s="11" t="s">
        <v>61</v>
      </c>
    </row>
    <row r="266" spans="1:36" s="37" customFormat="1">
      <c r="A266" s="1">
        <v>265</v>
      </c>
      <c r="B266" s="29">
        <v>39946</v>
      </c>
      <c r="C266" s="30">
        <v>39940</v>
      </c>
      <c r="D266" s="30"/>
      <c r="E266" s="38" t="s">
        <v>970</v>
      </c>
      <c r="F266" s="31"/>
      <c r="G266" s="32" t="s">
        <v>37</v>
      </c>
      <c r="H266" s="33">
        <v>53</v>
      </c>
      <c r="I266" s="32" t="s">
        <v>971</v>
      </c>
      <c r="J266" s="31" t="s">
        <v>972</v>
      </c>
      <c r="K266" s="31" t="s">
        <v>59</v>
      </c>
      <c r="L266" s="32" t="s">
        <v>24</v>
      </c>
      <c r="M266" s="30">
        <v>39940</v>
      </c>
      <c r="N266" s="33">
        <v>1</v>
      </c>
      <c r="O266" s="32" t="s">
        <v>40</v>
      </c>
      <c r="P266" s="32" t="s">
        <v>213</v>
      </c>
      <c r="Q266" s="32" t="s">
        <v>27</v>
      </c>
      <c r="R266" s="32" t="s">
        <v>42</v>
      </c>
      <c r="S266" s="30">
        <f t="shared" ca="1" si="11"/>
        <v>40470.53652858796</v>
      </c>
      <c r="T266" s="31">
        <f t="shared" ca="1" si="10"/>
        <v>17</v>
      </c>
      <c r="U266" s="32" t="s">
        <v>42</v>
      </c>
      <c r="V266" s="32" t="s">
        <v>42</v>
      </c>
      <c r="W266" s="32" t="s">
        <v>42</v>
      </c>
      <c r="X266" s="32" t="s">
        <v>42</v>
      </c>
      <c r="Y266" s="32" t="s">
        <v>42</v>
      </c>
      <c r="Z266" s="35"/>
      <c r="AA266" s="35"/>
      <c r="AB266" s="32"/>
      <c r="AC266" s="12" t="s">
        <v>785</v>
      </c>
      <c r="AD266" s="25">
        <v>39944</v>
      </c>
      <c r="AE266" s="25"/>
      <c r="AF266" s="25"/>
      <c r="AG266" s="25"/>
      <c r="AH266" s="11" t="s">
        <v>122</v>
      </c>
    </row>
    <row r="267" spans="1:36" s="37" customFormat="1">
      <c r="A267" s="1">
        <v>266</v>
      </c>
      <c r="B267" s="29">
        <v>39947</v>
      </c>
      <c r="C267" s="30">
        <v>39944</v>
      </c>
      <c r="D267" s="30"/>
      <c r="E267" s="38" t="s">
        <v>973</v>
      </c>
      <c r="F267" s="31"/>
      <c r="G267" s="32" t="s">
        <v>20</v>
      </c>
      <c r="H267" s="33">
        <v>48</v>
      </c>
      <c r="I267" s="32" t="s">
        <v>974</v>
      </c>
      <c r="J267" s="31" t="s">
        <v>975</v>
      </c>
      <c r="K267" s="31" t="s">
        <v>253</v>
      </c>
      <c r="L267" s="32" t="s">
        <v>24</v>
      </c>
      <c r="M267" s="30">
        <v>39944</v>
      </c>
      <c r="N267" s="33">
        <v>1</v>
      </c>
      <c r="O267" s="32" t="s">
        <v>40</v>
      </c>
      <c r="P267" s="32" t="s">
        <v>109</v>
      </c>
      <c r="Q267" s="32" t="s">
        <v>27</v>
      </c>
      <c r="R267" s="32" t="s">
        <v>56</v>
      </c>
      <c r="S267" s="30">
        <f t="shared" ca="1" si="11"/>
        <v>40470.53652858796</v>
      </c>
      <c r="T267" s="31">
        <f t="shared" ca="1" si="10"/>
        <v>17</v>
      </c>
      <c r="U267" s="32" t="s">
        <v>42</v>
      </c>
      <c r="V267" s="32" t="s">
        <v>42</v>
      </c>
      <c r="W267" s="32" t="s">
        <v>42</v>
      </c>
      <c r="X267" s="32" t="s">
        <v>42</v>
      </c>
      <c r="Y267" s="32" t="s">
        <v>42</v>
      </c>
      <c r="Z267" s="35">
        <v>24.832059999999998</v>
      </c>
      <c r="AA267" s="35">
        <v>67.174430000000001</v>
      </c>
      <c r="AB267" s="32"/>
      <c r="AC267" s="12" t="s">
        <v>2510</v>
      </c>
      <c r="AD267" s="25">
        <v>40224</v>
      </c>
      <c r="AE267" s="25"/>
      <c r="AF267" s="25"/>
      <c r="AG267" s="25"/>
      <c r="AH267" s="11" t="s">
        <v>219</v>
      </c>
    </row>
    <row r="268" spans="1:36" s="37" customFormat="1">
      <c r="A268" s="1">
        <v>267</v>
      </c>
      <c r="B268" s="29">
        <v>39948</v>
      </c>
      <c r="C268" s="30">
        <v>39944</v>
      </c>
      <c r="D268" s="30"/>
      <c r="E268" s="38" t="s">
        <v>976</v>
      </c>
      <c r="F268" s="31"/>
      <c r="G268" s="32" t="s">
        <v>20</v>
      </c>
      <c r="H268" s="33">
        <v>39</v>
      </c>
      <c r="I268" s="34" t="s">
        <v>977</v>
      </c>
      <c r="J268" s="31" t="s">
        <v>978</v>
      </c>
      <c r="K268" s="31" t="s">
        <v>291</v>
      </c>
      <c r="L268" s="32" t="s">
        <v>24</v>
      </c>
      <c r="M268" s="30">
        <v>39944</v>
      </c>
      <c r="N268" s="33">
        <v>1</v>
      </c>
      <c r="O268" s="32" t="s">
        <v>40</v>
      </c>
      <c r="P268" s="32" t="s">
        <v>109</v>
      </c>
      <c r="Q268" s="32" t="s">
        <v>27</v>
      </c>
      <c r="R268" s="32" t="s">
        <v>56</v>
      </c>
      <c r="S268" s="30">
        <f t="shared" ca="1" si="11"/>
        <v>40470.53652858796</v>
      </c>
      <c r="T268" s="31">
        <f t="shared" ca="1" si="10"/>
        <v>17</v>
      </c>
      <c r="U268" s="32" t="s">
        <v>42</v>
      </c>
      <c r="V268" s="32" t="s">
        <v>42</v>
      </c>
      <c r="W268" s="32" t="s">
        <v>42</v>
      </c>
      <c r="X268" s="32" t="s">
        <v>42</v>
      </c>
      <c r="Y268" s="32" t="s">
        <v>42</v>
      </c>
      <c r="Z268" s="35">
        <v>24.826730000000001</v>
      </c>
      <c r="AA268" s="35">
        <v>67.1297</v>
      </c>
      <c r="AB268" s="32"/>
      <c r="AC268" s="12" t="s">
        <v>2510</v>
      </c>
      <c r="AD268" s="25">
        <v>40225</v>
      </c>
      <c r="AE268" s="25"/>
      <c r="AF268" s="25"/>
      <c r="AG268" s="25"/>
      <c r="AH268" s="11" t="s">
        <v>219</v>
      </c>
    </row>
    <row r="269" spans="1:36" s="37" customFormat="1" ht="12.75" customHeight="1">
      <c r="A269" s="1">
        <v>268</v>
      </c>
      <c r="B269" s="29">
        <v>39949</v>
      </c>
      <c r="C269" s="30">
        <v>39945</v>
      </c>
      <c r="D269" s="30"/>
      <c r="E269" s="38" t="s">
        <v>979</v>
      </c>
      <c r="F269" s="31"/>
      <c r="G269" s="32" t="s">
        <v>20</v>
      </c>
      <c r="H269" s="33">
        <v>31</v>
      </c>
      <c r="I269" s="32" t="s">
        <v>980</v>
      </c>
      <c r="J269" s="31" t="s">
        <v>981</v>
      </c>
      <c r="K269" s="31"/>
      <c r="L269" s="32" t="s">
        <v>24</v>
      </c>
      <c r="M269" s="30">
        <v>39945</v>
      </c>
      <c r="N269" s="33">
        <v>1</v>
      </c>
      <c r="O269" s="32" t="s">
        <v>25</v>
      </c>
      <c r="P269" s="32" t="s">
        <v>26</v>
      </c>
      <c r="Q269" s="32" t="s">
        <v>27</v>
      </c>
      <c r="R269" s="32" t="s">
        <v>56</v>
      </c>
      <c r="S269" s="30">
        <f t="shared" ca="1" si="11"/>
        <v>40470.53652858796</v>
      </c>
      <c r="T269" s="31">
        <f t="shared" ca="1" si="10"/>
        <v>17</v>
      </c>
      <c r="U269" s="32" t="s">
        <v>56</v>
      </c>
      <c r="V269" s="32" t="s">
        <v>42</v>
      </c>
      <c r="W269" s="32" t="s">
        <v>42</v>
      </c>
      <c r="X269" s="32" t="s">
        <v>42</v>
      </c>
      <c r="Y269" s="32" t="s">
        <v>42</v>
      </c>
      <c r="Z269" s="35">
        <v>24.853259999999999</v>
      </c>
      <c r="AA269" s="35">
        <v>67.203630000000004</v>
      </c>
      <c r="AB269" s="32"/>
      <c r="AC269" s="12" t="s">
        <v>982</v>
      </c>
      <c r="AD269" s="25">
        <v>40001</v>
      </c>
      <c r="AE269" s="25"/>
      <c r="AF269" s="25"/>
      <c r="AG269" s="25"/>
      <c r="AH269" s="11" t="s">
        <v>122</v>
      </c>
    </row>
    <row r="270" spans="1:36" s="37" customFormat="1">
      <c r="A270" s="1">
        <v>269</v>
      </c>
      <c r="B270" s="29">
        <v>39950</v>
      </c>
      <c r="C270" s="30">
        <v>39947</v>
      </c>
      <c r="D270" s="30"/>
      <c r="E270" s="38" t="s">
        <v>983</v>
      </c>
      <c r="F270" s="31"/>
      <c r="G270" s="32" t="s">
        <v>20</v>
      </c>
      <c r="H270" s="33">
        <v>24</v>
      </c>
      <c r="I270" s="32" t="s">
        <v>558</v>
      </c>
      <c r="J270" s="31"/>
      <c r="K270" s="31" t="s">
        <v>291</v>
      </c>
      <c r="L270" s="32" t="s">
        <v>24</v>
      </c>
      <c r="M270" s="30">
        <v>39947</v>
      </c>
      <c r="N270" s="33">
        <v>1</v>
      </c>
      <c r="O270" s="32" t="s">
        <v>40</v>
      </c>
      <c r="P270" s="32" t="s">
        <v>109</v>
      </c>
      <c r="Q270" s="32" t="s">
        <v>27</v>
      </c>
      <c r="R270" s="32" t="s">
        <v>56</v>
      </c>
      <c r="S270" s="30">
        <f t="shared" ca="1" si="11"/>
        <v>40470.53652858796</v>
      </c>
      <c r="T270" s="31">
        <f t="shared" ref="T270:T333" ca="1" si="12">(YEAR(S270)-YEAR(M270))*12+MONTH(S270)-MONTH(M270)</f>
        <v>17</v>
      </c>
      <c r="U270" s="32" t="s">
        <v>42</v>
      </c>
      <c r="V270" s="32" t="s">
        <v>42</v>
      </c>
      <c r="W270" s="32" t="s">
        <v>42</v>
      </c>
      <c r="X270" s="32" t="s">
        <v>42</v>
      </c>
      <c r="Y270" s="32" t="s">
        <v>42</v>
      </c>
      <c r="Z270" s="35">
        <v>24.838730000000002</v>
      </c>
      <c r="AA270" s="35">
        <v>67.137479999999996</v>
      </c>
      <c r="AB270" s="32"/>
      <c r="AC270" s="12" t="s">
        <v>785</v>
      </c>
      <c r="AD270" s="25">
        <v>40162</v>
      </c>
      <c r="AE270" s="25"/>
      <c r="AF270" s="25"/>
      <c r="AG270" s="25"/>
      <c r="AH270" s="11" t="s">
        <v>122</v>
      </c>
    </row>
    <row r="271" spans="1:36" s="37" customFormat="1">
      <c r="A271" s="1">
        <v>270</v>
      </c>
      <c r="B271" s="29">
        <v>39942</v>
      </c>
      <c r="C271" s="30">
        <v>39952</v>
      </c>
      <c r="D271" s="30"/>
      <c r="E271" s="38" t="s">
        <v>984</v>
      </c>
      <c r="F271" s="31"/>
      <c r="G271" s="32" t="s">
        <v>37</v>
      </c>
      <c r="H271" s="33">
        <v>35</v>
      </c>
      <c r="I271" s="32" t="s">
        <v>985</v>
      </c>
      <c r="J271" s="31" t="s">
        <v>986</v>
      </c>
      <c r="K271" s="31" t="s">
        <v>291</v>
      </c>
      <c r="L271" s="32" t="s">
        <v>24</v>
      </c>
      <c r="M271" s="30">
        <v>39952</v>
      </c>
      <c r="N271" s="33">
        <v>1</v>
      </c>
      <c r="O271" s="32" t="s">
        <v>40</v>
      </c>
      <c r="P271" s="32" t="s">
        <v>72</v>
      </c>
      <c r="Q271" s="32" t="s">
        <v>27</v>
      </c>
      <c r="R271" s="32" t="s">
        <v>42</v>
      </c>
      <c r="S271" s="30">
        <f t="shared" ca="1" si="11"/>
        <v>40470.53652858796</v>
      </c>
      <c r="T271" s="31">
        <f t="shared" ca="1" si="12"/>
        <v>17</v>
      </c>
      <c r="U271" s="32" t="s">
        <v>42</v>
      </c>
      <c r="V271" s="32" t="s">
        <v>42</v>
      </c>
      <c r="W271" s="32" t="s">
        <v>42</v>
      </c>
      <c r="X271" s="32" t="s">
        <v>42</v>
      </c>
      <c r="Y271" s="32" t="s">
        <v>42</v>
      </c>
      <c r="Z271" s="35">
        <v>24.826930000000001</v>
      </c>
      <c r="AA271" s="35">
        <v>67.125399999999999</v>
      </c>
      <c r="AB271" s="32"/>
      <c r="AC271" s="12" t="s">
        <v>2510</v>
      </c>
      <c r="AD271" s="25">
        <v>40191</v>
      </c>
      <c r="AE271" s="25"/>
      <c r="AF271" s="25"/>
      <c r="AG271" s="25"/>
      <c r="AH271" s="11" t="s">
        <v>219</v>
      </c>
    </row>
    <row r="272" spans="1:36" s="37" customFormat="1">
      <c r="A272" s="1">
        <v>271</v>
      </c>
      <c r="B272" s="29">
        <v>39942</v>
      </c>
      <c r="C272" s="30">
        <v>39952</v>
      </c>
      <c r="D272" s="30"/>
      <c r="E272" s="38" t="s">
        <v>987</v>
      </c>
      <c r="F272" s="31"/>
      <c r="G272" s="32" t="s">
        <v>20</v>
      </c>
      <c r="H272" s="33">
        <v>48</v>
      </c>
      <c r="I272" s="32" t="s">
        <v>988</v>
      </c>
      <c r="J272" s="31"/>
      <c r="K272" s="31" t="s">
        <v>291</v>
      </c>
      <c r="L272" s="32" t="s">
        <v>24</v>
      </c>
      <c r="M272" s="30">
        <v>39952</v>
      </c>
      <c r="N272" s="33">
        <v>1</v>
      </c>
      <c r="O272" s="32" t="s">
        <v>40</v>
      </c>
      <c r="P272" s="32" t="s">
        <v>109</v>
      </c>
      <c r="Q272" s="32" t="s">
        <v>27</v>
      </c>
      <c r="R272" s="32" t="s">
        <v>56</v>
      </c>
      <c r="S272" s="30">
        <f t="shared" ca="1" si="11"/>
        <v>40470.53652858796</v>
      </c>
      <c r="T272" s="31">
        <f t="shared" ca="1" si="12"/>
        <v>17</v>
      </c>
      <c r="U272" s="32" t="s">
        <v>42</v>
      </c>
      <c r="V272" s="32" t="s">
        <v>42</v>
      </c>
      <c r="W272" s="32" t="s">
        <v>42</v>
      </c>
      <c r="X272" s="32" t="s">
        <v>42</v>
      </c>
      <c r="Y272" s="32" t="s">
        <v>42</v>
      </c>
      <c r="Z272" s="35">
        <v>24.830179999999999</v>
      </c>
      <c r="AA272" s="35">
        <v>67.147900000000007</v>
      </c>
      <c r="AB272" s="32"/>
      <c r="AC272" s="12" t="s">
        <v>2519</v>
      </c>
      <c r="AD272" s="25">
        <v>39965</v>
      </c>
      <c r="AE272" s="25"/>
      <c r="AF272" s="25"/>
      <c r="AG272" s="25"/>
      <c r="AH272" s="11" t="s">
        <v>158</v>
      </c>
    </row>
    <row r="273" spans="1:34" s="37" customFormat="1">
      <c r="A273" s="1">
        <v>272</v>
      </c>
      <c r="B273" s="29">
        <v>39942</v>
      </c>
      <c r="C273" s="30">
        <v>39952</v>
      </c>
      <c r="D273" s="30"/>
      <c r="E273" s="38" t="s">
        <v>989</v>
      </c>
      <c r="F273" s="31"/>
      <c r="G273" s="32" t="s">
        <v>20</v>
      </c>
      <c r="H273" s="33">
        <v>23</v>
      </c>
      <c r="I273" s="32" t="s">
        <v>990</v>
      </c>
      <c r="J273" s="31" t="s">
        <v>991</v>
      </c>
      <c r="K273" s="31" t="s">
        <v>291</v>
      </c>
      <c r="L273" s="32" t="s">
        <v>24</v>
      </c>
      <c r="M273" s="30">
        <v>39952</v>
      </c>
      <c r="N273" s="33">
        <v>1</v>
      </c>
      <c r="O273" s="32" t="s">
        <v>40</v>
      </c>
      <c r="P273" s="32" t="s">
        <v>315</v>
      </c>
      <c r="Q273" s="32" t="s">
        <v>27</v>
      </c>
      <c r="R273" s="32" t="s">
        <v>42</v>
      </c>
      <c r="S273" s="30">
        <f t="shared" ca="1" si="11"/>
        <v>40470.53652858796</v>
      </c>
      <c r="T273" s="31">
        <f t="shared" ca="1" si="12"/>
        <v>17</v>
      </c>
      <c r="U273" s="32" t="s">
        <v>42</v>
      </c>
      <c r="V273" s="32" t="s">
        <v>42</v>
      </c>
      <c r="W273" s="32" t="s">
        <v>42</v>
      </c>
      <c r="X273" s="32" t="s">
        <v>42</v>
      </c>
      <c r="Y273" s="32" t="s">
        <v>42</v>
      </c>
      <c r="Z273" s="35"/>
      <c r="AA273" s="35"/>
      <c r="AB273" s="32"/>
      <c r="AC273" s="12" t="s">
        <v>785</v>
      </c>
      <c r="AD273" s="25">
        <v>39952</v>
      </c>
      <c r="AE273" s="25"/>
      <c r="AF273" s="25"/>
      <c r="AG273" s="25"/>
      <c r="AH273" s="11" t="s">
        <v>122</v>
      </c>
    </row>
    <row r="274" spans="1:34" s="37" customFormat="1" ht="12.75" customHeight="1">
      <c r="A274" s="1">
        <v>273</v>
      </c>
      <c r="B274" s="29">
        <v>39942</v>
      </c>
      <c r="C274" s="30">
        <v>39952</v>
      </c>
      <c r="D274" s="30"/>
      <c r="E274" s="38" t="s">
        <v>992</v>
      </c>
      <c r="F274" s="31"/>
      <c r="G274" s="32" t="s">
        <v>37</v>
      </c>
      <c r="H274" s="33">
        <v>14</v>
      </c>
      <c r="I274" s="32" t="s">
        <v>993</v>
      </c>
      <c r="J274" s="31" t="s">
        <v>994</v>
      </c>
      <c r="K274" s="31" t="s">
        <v>995</v>
      </c>
      <c r="L274" s="32" t="s">
        <v>24</v>
      </c>
      <c r="M274" s="30">
        <v>39952</v>
      </c>
      <c r="N274" s="33">
        <v>1</v>
      </c>
      <c r="O274" s="32" t="s">
        <v>25</v>
      </c>
      <c r="P274" s="32" t="s">
        <v>26</v>
      </c>
      <c r="Q274" s="32" t="s">
        <v>27</v>
      </c>
      <c r="R274" s="32" t="s">
        <v>60</v>
      </c>
      <c r="S274" s="30">
        <f t="shared" ca="1" si="11"/>
        <v>40470.53652858796</v>
      </c>
      <c r="T274" s="31">
        <f t="shared" ca="1" si="12"/>
        <v>17</v>
      </c>
      <c r="U274" s="32" t="s">
        <v>2731</v>
      </c>
      <c r="V274" s="32" t="s">
        <v>42</v>
      </c>
      <c r="W274" s="32" t="s">
        <v>56</v>
      </c>
      <c r="X274" s="32" t="s">
        <v>56</v>
      </c>
      <c r="Y274" s="32" t="s">
        <v>42</v>
      </c>
      <c r="Z274" s="35">
        <v>24.836919999999999</v>
      </c>
      <c r="AA274" s="35">
        <v>67.167379999999994</v>
      </c>
      <c r="AB274" s="32"/>
      <c r="AC274" s="12" t="s">
        <v>915</v>
      </c>
      <c r="AD274" s="25">
        <v>40221</v>
      </c>
      <c r="AE274" s="25"/>
      <c r="AF274" s="25"/>
      <c r="AG274" s="25"/>
      <c r="AH274" s="11" t="s">
        <v>61</v>
      </c>
    </row>
    <row r="275" spans="1:34" s="37" customFormat="1" ht="12.75" customHeight="1">
      <c r="A275" s="1">
        <v>274</v>
      </c>
      <c r="B275" s="29">
        <v>39942</v>
      </c>
      <c r="C275" s="30">
        <v>39952</v>
      </c>
      <c r="D275" s="30"/>
      <c r="E275" s="38" t="s">
        <v>996</v>
      </c>
      <c r="F275" s="31"/>
      <c r="G275" s="32" t="s">
        <v>37</v>
      </c>
      <c r="H275" s="33">
        <v>50</v>
      </c>
      <c r="I275" s="32" t="s">
        <v>997</v>
      </c>
      <c r="J275" s="31" t="s">
        <v>998</v>
      </c>
      <c r="K275" s="31" t="s">
        <v>995</v>
      </c>
      <c r="L275" s="32" t="s">
        <v>24</v>
      </c>
      <c r="M275" s="30">
        <v>39952</v>
      </c>
      <c r="N275" s="33">
        <v>2</v>
      </c>
      <c r="O275" s="32" t="s">
        <v>25</v>
      </c>
      <c r="P275" s="32" t="s">
        <v>26</v>
      </c>
      <c r="Q275" s="32" t="s">
        <v>49</v>
      </c>
      <c r="R275" s="32" t="s">
        <v>56</v>
      </c>
      <c r="S275" s="30">
        <f t="shared" ca="1" si="11"/>
        <v>40470.53652858796</v>
      </c>
      <c r="T275" s="31">
        <f t="shared" ca="1" si="12"/>
        <v>17</v>
      </c>
      <c r="U275" s="32" t="s">
        <v>56</v>
      </c>
      <c r="V275" s="32" t="s">
        <v>56</v>
      </c>
      <c r="W275" s="32" t="s">
        <v>56</v>
      </c>
      <c r="X275" s="32" t="s">
        <v>224</v>
      </c>
      <c r="Y275" s="32" t="s">
        <v>42</v>
      </c>
      <c r="Z275" s="35"/>
      <c r="AA275" s="35"/>
      <c r="AB275" s="32"/>
      <c r="AC275" s="12" t="s">
        <v>2510</v>
      </c>
      <c r="AD275" s="25">
        <v>40220</v>
      </c>
      <c r="AE275" s="25"/>
      <c r="AF275" s="25"/>
      <c r="AG275" s="25"/>
      <c r="AH275" s="11" t="s">
        <v>219</v>
      </c>
    </row>
    <row r="276" spans="1:34" s="37" customFormat="1" ht="12.75" customHeight="1">
      <c r="A276" s="1">
        <v>275</v>
      </c>
      <c r="B276" s="29">
        <v>39942</v>
      </c>
      <c r="C276" s="30">
        <v>39952</v>
      </c>
      <c r="D276" s="30"/>
      <c r="E276" s="38" t="s">
        <v>999</v>
      </c>
      <c r="F276" s="31"/>
      <c r="G276" s="32" t="s">
        <v>20</v>
      </c>
      <c r="H276" s="33">
        <v>22</v>
      </c>
      <c r="I276" s="32" t="s">
        <v>1000</v>
      </c>
      <c r="J276" s="31" t="s">
        <v>831</v>
      </c>
      <c r="K276" s="31" t="s">
        <v>291</v>
      </c>
      <c r="L276" s="32" t="s">
        <v>24</v>
      </c>
      <c r="M276" s="30">
        <v>39952</v>
      </c>
      <c r="N276" s="33">
        <v>1</v>
      </c>
      <c r="O276" s="32" t="s">
        <v>25</v>
      </c>
      <c r="P276" s="32" t="s">
        <v>26</v>
      </c>
      <c r="Q276" s="32" t="s">
        <v>27</v>
      </c>
      <c r="R276" s="32" t="s">
        <v>60</v>
      </c>
      <c r="S276" s="30">
        <f t="shared" ca="1" si="11"/>
        <v>40470.53652858796</v>
      </c>
      <c r="T276" s="31">
        <f t="shared" ca="1" si="12"/>
        <v>17</v>
      </c>
      <c r="U276" s="32" t="s">
        <v>56</v>
      </c>
      <c r="V276" s="32" t="s">
        <v>42</v>
      </c>
      <c r="W276" s="32" t="s">
        <v>28</v>
      </c>
      <c r="X276" s="32" t="s">
        <v>56</v>
      </c>
      <c r="Y276" s="32" t="s">
        <v>42</v>
      </c>
      <c r="Z276" s="35">
        <v>24.816379999999999</v>
      </c>
      <c r="AA276" s="35">
        <v>67.135429999999999</v>
      </c>
      <c r="AB276" s="32"/>
      <c r="AC276" s="12" t="s">
        <v>915</v>
      </c>
      <c r="AD276" s="25">
        <v>40210</v>
      </c>
      <c r="AE276" s="25"/>
      <c r="AF276" s="25"/>
      <c r="AG276" s="25"/>
      <c r="AH276" s="11" t="s">
        <v>61</v>
      </c>
    </row>
    <row r="277" spans="1:34" s="37" customFormat="1" ht="12.75" customHeight="1">
      <c r="A277" s="1">
        <v>276</v>
      </c>
      <c r="B277" s="29">
        <v>39942</v>
      </c>
      <c r="C277" s="30">
        <v>39954</v>
      </c>
      <c r="D277" s="30"/>
      <c r="E277" s="38" t="s">
        <v>832</v>
      </c>
      <c r="F277" s="31"/>
      <c r="G277" s="32" t="s">
        <v>37</v>
      </c>
      <c r="H277" s="33">
        <v>25</v>
      </c>
      <c r="I277" s="32" t="s">
        <v>833</v>
      </c>
      <c r="J277" s="31" t="s">
        <v>834</v>
      </c>
      <c r="K277" s="31" t="s">
        <v>206</v>
      </c>
      <c r="L277" s="32" t="s">
        <v>24</v>
      </c>
      <c r="M277" s="30">
        <v>39954</v>
      </c>
      <c r="N277" s="33">
        <v>1</v>
      </c>
      <c r="O277" s="32" t="s">
        <v>25</v>
      </c>
      <c r="P277" s="32" t="s">
        <v>26</v>
      </c>
      <c r="Q277" s="32" t="s">
        <v>27</v>
      </c>
      <c r="R277" s="32" t="s">
        <v>28</v>
      </c>
      <c r="S277" s="30">
        <f t="shared" ca="1" si="11"/>
        <v>40470.53652858796</v>
      </c>
      <c r="T277" s="31">
        <f t="shared" ca="1" si="12"/>
        <v>17</v>
      </c>
      <c r="U277" s="32" t="s">
        <v>56</v>
      </c>
      <c r="V277" s="32" t="s">
        <v>42</v>
      </c>
      <c r="W277" s="32" t="s">
        <v>2731</v>
      </c>
      <c r="X277" s="32" t="s">
        <v>224</v>
      </c>
      <c r="Y277" s="32" t="s">
        <v>42</v>
      </c>
      <c r="Z277" s="35">
        <v>24.857330000000001</v>
      </c>
      <c r="AA277" s="35">
        <v>67.133700000000005</v>
      </c>
      <c r="AB277" s="32"/>
      <c r="AC277" s="12" t="s">
        <v>982</v>
      </c>
      <c r="AD277" s="25">
        <v>40177</v>
      </c>
      <c r="AE277" s="25"/>
      <c r="AF277" s="25"/>
      <c r="AG277" s="25"/>
      <c r="AH277" s="11" t="s">
        <v>122</v>
      </c>
    </row>
    <row r="278" spans="1:34" ht="12.75" customHeight="1">
      <c r="B278" s="14">
        <v>40307</v>
      </c>
      <c r="C278" s="15">
        <v>39954</v>
      </c>
      <c r="E278" s="38" t="s">
        <v>989</v>
      </c>
      <c r="G278" s="11" t="s">
        <v>37</v>
      </c>
      <c r="H278" s="1">
        <v>12</v>
      </c>
      <c r="I278" s="11" t="s">
        <v>835</v>
      </c>
      <c r="L278" s="11" t="s">
        <v>24</v>
      </c>
      <c r="M278" s="15">
        <v>39907</v>
      </c>
      <c r="N278" s="1">
        <v>1</v>
      </c>
      <c r="O278" s="25" t="s">
        <v>40</v>
      </c>
      <c r="P278" s="25" t="s">
        <v>431</v>
      </c>
      <c r="Q278" s="11" t="s">
        <v>27</v>
      </c>
      <c r="R278" s="25" t="s">
        <v>56</v>
      </c>
      <c r="S278" s="15">
        <f t="shared" ca="1" si="11"/>
        <v>40470.53652858796</v>
      </c>
      <c r="T278" s="8">
        <f t="shared" ca="1" si="12"/>
        <v>18</v>
      </c>
      <c r="U278" s="11" t="s">
        <v>42</v>
      </c>
      <c r="V278" s="11" t="s">
        <v>42</v>
      </c>
      <c r="W278" s="11" t="s">
        <v>42</v>
      </c>
      <c r="X278" s="11" t="s">
        <v>42</v>
      </c>
      <c r="Y278" s="32" t="s">
        <v>42</v>
      </c>
      <c r="AC278" s="12" t="s">
        <v>2510</v>
      </c>
      <c r="AD278" s="25">
        <v>40143</v>
      </c>
      <c r="AH278" s="11" t="s">
        <v>219</v>
      </c>
    </row>
    <row r="279" spans="1:34" s="37" customFormat="1">
      <c r="A279" s="33">
        <v>277</v>
      </c>
      <c r="B279" s="29">
        <v>39942</v>
      </c>
      <c r="C279" s="30">
        <v>39958</v>
      </c>
      <c r="D279" s="30"/>
      <c r="E279" s="38" t="s">
        <v>836</v>
      </c>
      <c r="F279" s="31"/>
      <c r="G279" s="32" t="s">
        <v>37</v>
      </c>
      <c r="H279" s="33">
        <v>46</v>
      </c>
      <c r="I279" s="32" t="s">
        <v>837</v>
      </c>
      <c r="J279" s="31" t="s">
        <v>838</v>
      </c>
      <c r="K279" s="31" t="s">
        <v>206</v>
      </c>
      <c r="L279" s="32" t="s">
        <v>24</v>
      </c>
      <c r="M279" s="30">
        <v>39958</v>
      </c>
      <c r="N279" s="33">
        <v>1</v>
      </c>
      <c r="O279" s="32" t="s">
        <v>40</v>
      </c>
      <c r="P279" s="32" t="s">
        <v>315</v>
      </c>
      <c r="Q279" s="32" t="s">
        <v>27</v>
      </c>
      <c r="R279" s="32" t="s">
        <v>42</v>
      </c>
      <c r="S279" s="30">
        <f t="shared" ca="1" si="11"/>
        <v>40470.53652858796</v>
      </c>
      <c r="T279" s="31">
        <f t="shared" ca="1" si="12"/>
        <v>17</v>
      </c>
      <c r="U279" s="32" t="s">
        <v>56</v>
      </c>
      <c r="V279" s="32" t="s">
        <v>42</v>
      </c>
      <c r="W279" s="32" t="s">
        <v>56</v>
      </c>
      <c r="X279" s="32" t="s">
        <v>56</v>
      </c>
      <c r="Y279" s="32" t="s">
        <v>42</v>
      </c>
      <c r="Z279" s="35">
        <v>24.82403</v>
      </c>
      <c r="AA279" s="35">
        <v>67.144840000000002</v>
      </c>
      <c r="AB279" s="32"/>
      <c r="AC279" s="12" t="s">
        <v>2510</v>
      </c>
      <c r="AD279" s="25">
        <v>40212</v>
      </c>
      <c r="AE279" s="25"/>
      <c r="AF279" s="25"/>
      <c r="AG279" s="25"/>
      <c r="AH279" s="11" t="s">
        <v>219</v>
      </c>
    </row>
    <row r="280" spans="1:34" s="37" customFormat="1">
      <c r="A280" s="33">
        <v>278</v>
      </c>
      <c r="B280" s="29">
        <v>39942</v>
      </c>
      <c r="C280" s="30">
        <v>39959</v>
      </c>
      <c r="D280" s="30"/>
      <c r="E280" s="38" t="s">
        <v>839</v>
      </c>
      <c r="F280" s="31"/>
      <c r="G280" s="32" t="s">
        <v>20</v>
      </c>
      <c r="H280" s="33">
        <v>16</v>
      </c>
      <c r="I280" s="34" t="s">
        <v>840</v>
      </c>
      <c r="J280" s="31" t="s">
        <v>841</v>
      </c>
      <c r="K280" s="31" t="s">
        <v>106</v>
      </c>
      <c r="L280" s="32" t="s">
        <v>24</v>
      </c>
      <c r="M280" s="30">
        <v>39959</v>
      </c>
      <c r="N280" s="33">
        <v>1</v>
      </c>
      <c r="O280" s="32" t="s">
        <v>40</v>
      </c>
      <c r="P280" s="32" t="s">
        <v>72</v>
      </c>
      <c r="Q280" s="32" t="s">
        <v>27</v>
      </c>
      <c r="R280" s="32" t="s">
        <v>42</v>
      </c>
      <c r="S280" s="30">
        <f t="shared" ca="1" si="11"/>
        <v>40470.53652858796</v>
      </c>
      <c r="T280" s="31">
        <f t="shared" ca="1" si="12"/>
        <v>17</v>
      </c>
      <c r="U280" s="32" t="s">
        <v>42</v>
      </c>
      <c r="V280" s="32" t="s">
        <v>42</v>
      </c>
      <c r="W280" s="32" t="s">
        <v>42</v>
      </c>
      <c r="X280" s="32" t="s">
        <v>42</v>
      </c>
      <c r="Y280" s="32" t="s">
        <v>42</v>
      </c>
      <c r="Z280" s="35">
        <v>24.838629999999998</v>
      </c>
      <c r="AA280" s="35">
        <v>67.171729999999997</v>
      </c>
      <c r="AB280" s="32"/>
      <c r="AC280" s="12" t="s">
        <v>2510</v>
      </c>
      <c r="AD280" s="25">
        <v>40204</v>
      </c>
      <c r="AE280" s="25"/>
      <c r="AF280" s="25"/>
      <c r="AG280" s="25"/>
      <c r="AH280" s="11" t="s">
        <v>219</v>
      </c>
    </row>
    <row r="281" spans="1:34" s="37" customFormat="1" ht="12.75" customHeight="1">
      <c r="A281" s="33">
        <v>279</v>
      </c>
      <c r="B281" s="29">
        <v>39942</v>
      </c>
      <c r="C281" s="30">
        <v>39959</v>
      </c>
      <c r="D281" s="30"/>
      <c r="E281" s="38" t="s">
        <v>842</v>
      </c>
      <c r="F281" s="31"/>
      <c r="G281" s="32" t="s">
        <v>37</v>
      </c>
      <c r="H281" s="33">
        <v>18</v>
      </c>
      <c r="I281" s="32" t="s">
        <v>843</v>
      </c>
      <c r="J281" s="31" t="s">
        <v>844</v>
      </c>
      <c r="K281" s="31" t="s">
        <v>39</v>
      </c>
      <c r="L281" s="32" t="s">
        <v>24</v>
      </c>
      <c r="M281" s="30">
        <v>39959</v>
      </c>
      <c r="N281" s="33">
        <v>2</v>
      </c>
      <c r="O281" s="32" t="s">
        <v>25</v>
      </c>
      <c r="P281" s="32" t="s">
        <v>26</v>
      </c>
      <c r="Q281" s="32" t="s">
        <v>381</v>
      </c>
      <c r="R281" s="32" t="s">
        <v>56</v>
      </c>
      <c r="S281" s="30">
        <f t="shared" ca="1" si="11"/>
        <v>40470.53652858796</v>
      </c>
      <c r="T281" s="31">
        <f t="shared" ca="1" si="12"/>
        <v>17</v>
      </c>
      <c r="U281" s="32" t="s">
        <v>42</v>
      </c>
      <c r="V281" s="32" t="s">
        <v>56</v>
      </c>
      <c r="W281" s="32" t="s">
        <v>224</v>
      </c>
      <c r="X281" s="32" t="s">
        <v>224</v>
      </c>
      <c r="Y281" s="32" t="s">
        <v>42</v>
      </c>
      <c r="Z281" s="35">
        <v>24.835550000000001</v>
      </c>
      <c r="AA281" s="35">
        <v>67.145300000000006</v>
      </c>
      <c r="AB281" s="32"/>
      <c r="AC281" s="12" t="s">
        <v>785</v>
      </c>
      <c r="AD281" s="25">
        <v>40359</v>
      </c>
      <c r="AE281" s="25"/>
      <c r="AF281" s="25"/>
      <c r="AG281" s="25"/>
      <c r="AH281" s="11" t="s">
        <v>122</v>
      </c>
    </row>
    <row r="282" spans="1:34" s="37" customFormat="1">
      <c r="A282" s="33">
        <v>280</v>
      </c>
      <c r="B282" s="29">
        <v>39942</v>
      </c>
      <c r="C282" s="30">
        <v>39960</v>
      </c>
      <c r="D282" s="30"/>
      <c r="E282" s="38" t="s">
        <v>845</v>
      </c>
      <c r="F282" s="31"/>
      <c r="G282" s="32" t="s">
        <v>37</v>
      </c>
      <c r="H282" s="33">
        <v>11</v>
      </c>
      <c r="I282" s="32" t="s">
        <v>846</v>
      </c>
      <c r="J282" s="31" t="s">
        <v>847</v>
      </c>
      <c r="K282" s="31" t="s">
        <v>39</v>
      </c>
      <c r="L282" s="32" t="s">
        <v>24</v>
      </c>
      <c r="M282" s="30">
        <v>39960</v>
      </c>
      <c r="N282" s="33">
        <v>1</v>
      </c>
      <c r="O282" s="32" t="s">
        <v>40</v>
      </c>
      <c r="P282" s="32" t="s">
        <v>213</v>
      </c>
      <c r="Q282" s="32" t="s">
        <v>27</v>
      </c>
      <c r="R282" s="32" t="s">
        <v>42</v>
      </c>
      <c r="S282" s="30">
        <f t="shared" ca="1" si="11"/>
        <v>40470.53652858796</v>
      </c>
      <c r="T282" s="31">
        <f t="shared" ca="1" si="12"/>
        <v>17</v>
      </c>
      <c r="U282" s="32" t="s">
        <v>42</v>
      </c>
      <c r="V282" s="32" t="s">
        <v>42</v>
      </c>
      <c r="W282" s="32" t="s">
        <v>42</v>
      </c>
      <c r="X282" s="32" t="s">
        <v>42</v>
      </c>
      <c r="Y282" s="32" t="s">
        <v>42</v>
      </c>
      <c r="Z282" s="35">
        <v>24.845690000000001</v>
      </c>
      <c r="AA282" s="35">
        <v>67.134360000000001</v>
      </c>
      <c r="AB282" s="32"/>
      <c r="AC282" s="12" t="s">
        <v>2510</v>
      </c>
      <c r="AD282" s="25">
        <v>40260</v>
      </c>
      <c r="AE282" s="25"/>
      <c r="AF282" s="25"/>
      <c r="AG282" s="25"/>
      <c r="AH282" s="11" t="s">
        <v>219</v>
      </c>
    </row>
    <row r="283" spans="1:34" s="37" customFormat="1" ht="12.75" customHeight="1">
      <c r="A283" s="33">
        <v>281</v>
      </c>
      <c r="B283" s="29">
        <v>39942</v>
      </c>
      <c r="C283" s="30">
        <v>39960</v>
      </c>
      <c r="D283" s="30"/>
      <c r="E283" s="38" t="s">
        <v>848</v>
      </c>
      <c r="F283" s="31"/>
      <c r="G283" s="32" t="s">
        <v>37</v>
      </c>
      <c r="H283" s="33">
        <v>22</v>
      </c>
      <c r="I283" s="32" t="s">
        <v>303</v>
      </c>
      <c r="J283" s="31" t="s">
        <v>849</v>
      </c>
      <c r="K283" s="31" t="s">
        <v>39</v>
      </c>
      <c r="L283" s="32" t="s">
        <v>24</v>
      </c>
      <c r="M283" s="30">
        <v>39960</v>
      </c>
      <c r="N283" s="33">
        <v>1</v>
      </c>
      <c r="O283" s="32" t="s">
        <v>25</v>
      </c>
      <c r="P283" s="32" t="s">
        <v>26</v>
      </c>
      <c r="Q283" s="32" t="s">
        <v>27</v>
      </c>
      <c r="R283" s="32" t="s">
        <v>60</v>
      </c>
      <c r="S283" s="30">
        <f t="shared" ca="1" si="11"/>
        <v>40470.53652858796</v>
      </c>
      <c r="T283" s="31">
        <f t="shared" ca="1" si="12"/>
        <v>17</v>
      </c>
      <c r="U283" s="32" t="s">
        <v>56</v>
      </c>
      <c r="V283" s="32" t="s">
        <v>42</v>
      </c>
      <c r="W283" s="32" t="s">
        <v>56</v>
      </c>
      <c r="X283" s="32" t="s">
        <v>56</v>
      </c>
      <c r="Y283" s="32" t="s">
        <v>42</v>
      </c>
      <c r="Z283" s="35">
        <v>24.83446</v>
      </c>
      <c r="AA283" s="35">
        <v>67.142240000000001</v>
      </c>
      <c r="AB283" s="32"/>
      <c r="AC283" s="12" t="s">
        <v>915</v>
      </c>
      <c r="AD283" s="25">
        <v>40205</v>
      </c>
      <c r="AE283" s="25"/>
      <c r="AF283" s="25"/>
      <c r="AG283" s="25"/>
      <c r="AH283" s="11" t="s">
        <v>61</v>
      </c>
    </row>
    <row r="284" spans="1:34" s="37" customFormat="1">
      <c r="A284" s="33">
        <v>282</v>
      </c>
      <c r="B284" s="29">
        <v>39942</v>
      </c>
      <c r="C284" s="30">
        <v>39960</v>
      </c>
      <c r="D284" s="30"/>
      <c r="E284" s="38" t="s">
        <v>850</v>
      </c>
      <c r="F284" s="31"/>
      <c r="G284" s="32" t="s">
        <v>20</v>
      </c>
      <c r="H284" s="33">
        <v>15</v>
      </c>
      <c r="I284" s="32" t="s">
        <v>851</v>
      </c>
      <c r="J284" s="31" t="s">
        <v>852</v>
      </c>
      <c r="K284" s="31" t="s">
        <v>39</v>
      </c>
      <c r="L284" s="32" t="s">
        <v>24</v>
      </c>
      <c r="M284" s="30">
        <v>39960</v>
      </c>
      <c r="N284" s="33">
        <v>1</v>
      </c>
      <c r="O284" s="32" t="s">
        <v>40</v>
      </c>
      <c r="P284" s="32" t="s">
        <v>109</v>
      </c>
      <c r="Q284" s="32" t="s">
        <v>27</v>
      </c>
      <c r="R284" s="32" t="s">
        <v>56</v>
      </c>
      <c r="S284" s="30">
        <f t="shared" ca="1" si="11"/>
        <v>40470.53652858796</v>
      </c>
      <c r="T284" s="31">
        <f t="shared" ca="1" si="12"/>
        <v>17</v>
      </c>
      <c r="U284" s="32" t="s">
        <v>42</v>
      </c>
      <c r="V284" s="32" t="s">
        <v>42</v>
      </c>
      <c r="W284" s="32" t="s">
        <v>42</v>
      </c>
      <c r="X284" s="32" t="s">
        <v>42</v>
      </c>
      <c r="Y284" s="32" t="s">
        <v>42</v>
      </c>
      <c r="Z284" s="35">
        <v>24.824179999999998</v>
      </c>
      <c r="AA284" s="35">
        <v>67.178229999999999</v>
      </c>
      <c r="AB284" s="32"/>
      <c r="AC284" s="12" t="s">
        <v>2510</v>
      </c>
      <c r="AD284" s="25">
        <v>40232</v>
      </c>
      <c r="AE284" s="25"/>
      <c r="AF284" s="25"/>
      <c r="AG284" s="25"/>
      <c r="AH284" s="11" t="s">
        <v>219</v>
      </c>
    </row>
    <row r="285" spans="1:34" s="37" customFormat="1">
      <c r="A285" s="33">
        <v>283</v>
      </c>
      <c r="B285" s="29">
        <v>39942</v>
      </c>
      <c r="C285" s="30">
        <v>39961</v>
      </c>
      <c r="D285" s="30"/>
      <c r="E285" s="38" t="s">
        <v>853</v>
      </c>
      <c r="F285" s="31"/>
      <c r="G285" s="32" t="s">
        <v>37</v>
      </c>
      <c r="H285" s="33">
        <v>23</v>
      </c>
      <c r="I285" s="32" t="s">
        <v>854</v>
      </c>
      <c r="J285" s="31"/>
      <c r="K285" s="31"/>
      <c r="L285" s="32" t="s">
        <v>24</v>
      </c>
      <c r="M285" s="30">
        <v>39961</v>
      </c>
      <c r="N285" s="33">
        <v>1</v>
      </c>
      <c r="O285" s="32" t="s">
        <v>40</v>
      </c>
      <c r="P285" s="32" t="s">
        <v>72</v>
      </c>
      <c r="Q285" s="32" t="s">
        <v>27</v>
      </c>
      <c r="R285" s="32" t="s">
        <v>42</v>
      </c>
      <c r="S285" s="30">
        <f t="shared" ca="1" si="11"/>
        <v>40470.53652858796</v>
      </c>
      <c r="T285" s="31">
        <f t="shared" ca="1" si="12"/>
        <v>17</v>
      </c>
      <c r="U285" s="32" t="s">
        <v>42</v>
      </c>
      <c r="V285" s="32" t="s">
        <v>42</v>
      </c>
      <c r="W285" s="32" t="s">
        <v>42</v>
      </c>
      <c r="X285" s="32" t="s">
        <v>42</v>
      </c>
      <c r="Y285" s="32" t="s">
        <v>42</v>
      </c>
      <c r="Z285" s="35">
        <v>24.815329999999999</v>
      </c>
      <c r="AA285" s="35">
        <v>67.105180000000004</v>
      </c>
      <c r="AB285" s="32"/>
      <c r="AC285" s="12" t="s">
        <v>2510</v>
      </c>
      <c r="AD285" s="25">
        <v>40198</v>
      </c>
      <c r="AE285" s="25"/>
      <c r="AF285" s="25"/>
      <c r="AG285" s="25"/>
      <c r="AH285" s="11" t="s">
        <v>219</v>
      </c>
    </row>
    <row r="286" spans="1:34" s="37" customFormat="1">
      <c r="A286" s="33">
        <v>284</v>
      </c>
      <c r="B286" s="29">
        <v>39942</v>
      </c>
      <c r="C286" s="30">
        <v>39961</v>
      </c>
      <c r="D286" s="30"/>
      <c r="E286" s="38" t="s">
        <v>855</v>
      </c>
      <c r="F286" s="31"/>
      <c r="G286" s="32" t="s">
        <v>37</v>
      </c>
      <c r="H286" s="33">
        <v>22</v>
      </c>
      <c r="I286" s="34" t="s">
        <v>1064</v>
      </c>
      <c r="J286" s="31" t="s">
        <v>1065</v>
      </c>
      <c r="K286" s="31" t="s">
        <v>291</v>
      </c>
      <c r="L286" s="32" t="s">
        <v>24</v>
      </c>
      <c r="M286" s="30">
        <v>39961</v>
      </c>
      <c r="N286" s="33">
        <v>1</v>
      </c>
      <c r="O286" s="32" t="s">
        <v>40</v>
      </c>
      <c r="P286" s="32" t="s">
        <v>72</v>
      </c>
      <c r="Q286" s="32" t="s">
        <v>27</v>
      </c>
      <c r="R286" s="32" t="s">
        <v>28</v>
      </c>
      <c r="S286" s="30">
        <f t="shared" ca="1" si="11"/>
        <v>40470.53652858796</v>
      </c>
      <c r="T286" s="31">
        <f t="shared" ca="1" si="12"/>
        <v>17</v>
      </c>
      <c r="U286" s="32" t="s">
        <v>42</v>
      </c>
      <c r="V286" s="32" t="s">
        <v>42</v>
      </c>
      <c r="W286" s="32" t="s">
        <v>42</v>
      </c>
      <c r="X286" s="32" t="s">
        <v>42</v>
      </c>
      <c r="Y286" s="32" t="s">
        <v>42</v>
      </c>
      <c r="Z286" s="35">
        <v>24.819870000000002</v>
      </c>
      <c r="AA286" s="35">
        <v>67.120949999999993</v>
      </c>
      <c r="AB286" s="32"/>
      <c r="AC286" s="12" t="s">
        <v>915</v>
      </c>
      <c r="AD286" s="25">
        <v>40183</v>
      </c>
      <c r="AE286" s="25"/>
      <c r="AF286" s="25"/>
      <c r="AG286" s="25"/>
      <c r="AH286" s="11" t="s">
        <v>61</v>
      </c>
    </row>
    <row r="287" spans="1:34" s="37" customFormat="1">
      <c r="A287" s="33">
        <v>285</v>
      </c>
      <c r="B287" s="29">
        <v>39942</v>
      </c>
      <c r="C287" s="30">
        <v>39963</v>
      </c>
      <c r="D287" s="30"/>
      <c r="E287" s="38" t="s">
        <v>1066</v>
      </c>
      <c r="F287" s="31"/>
      <c r="G287" s="32" t="s">
        <v>20</v>
      </c>
      <c r="H287" s="33">
        <v>13</v>
      </c>
      <c r="I287" s="32" t="s">
        <v>1067</v>
      </c>
      <c r="J287" s="31"/>
      <c r="K287" s="31"/>
      <c r="L287" s="32" t="s">
        <v>24</v>
      </c>
      <c r="M287" s="30">
        <v>39963</v>
      </c>
      <c r="N287" s="33">
        <v>1</v>
      </c>
      <c r="O287" s="32" t="s">
        <v>40</v>
      </c>
      <c r="P287" s="32" t="s">
        <v>213</v>
      </c>
      <c r="Q287" s="32" t="s">
        <v>27</v>
      </c>
      <c r="R287" s="32" t="s">
        <v>2729</v>
      </c>
      <c r="S287" s="30">
        <f t="shared" ca="1" si="11"/>
        <v>40470.53652858796</v>
      </c>
      <c r="T287" s="31">
        <f t="shared" ca="1" si="12"/>
        <v>17</v>
      </c>
      <c r="U287" s="32" t="s">
        <v>42</v>
      </c>
      <c r="V287" s="32" t="s">
        <v>42</v>
      </c>
      <c r="W287" s="32" t="s">
        <v>42</v>
      </c>
      <c r="X287" s="32" t="s">
        <v>42</v>
      </c>
      <c r="Y287" s="32" t="s">
        <v>42</v>
      </c>
      <c r="Z287" s="35"/>
      <c r="AA287" s="35"/>
      <c r="AB287" s="32"/>
      <c r="AC287" s="12" t="s">
        <v>785</v>
      </c>
      <c r="AD287" s="25">
        <v>40219</v>
      </c>
      <c r="AE287" s="25"/>
      <c r="AF287" s="25"/>
      <c r="AG287" s="25"/>
      <c r="AH287" s="11" t="s">
        <v>122</v>
      </c>
    </row>
    <row r="288" spans="1:34" s="37" customFormat="1">
      <c r="A288" s="33">
        <v>286</v>
      </c>
      <c r="B288" s="29">
        <v>39973</v>
      </c>
      <c r="C288" s="30">
        <v>39969</v>
      </c>
      <c r="D288" s="30"/>
      <c r="E288" s="38" t="s">
        <v>1068</v>
      </c>
      <c r="F288" s="31"/>
      <c r="G288" s="32" t="s">
        <v>20</v>
      </c>
      <c r="H288" s="33">
        <v>12</v>
      </c>
      <c r="I288" s="32" t="s">
        <v>1069</v>
      </c>
      <c r="J288" s="31" t="s">
        <v>1070</v>
      </c>
      <c r="K288" s="31" t="s">
        <v>39</v>
      </c>
      <c r="L288" s="32" t="s">
        <v>24</v>
      </c>
      <c r="M288" s="30">
        <v>39969</v>
      </c>
      <c r="N288" s="33">
        <v>1</v>
      </c>
      <c r="O288" s="32" t="s">
        <v>40</v>
      </c>
      <c r="P288" s="32" t="s">
        <v>315</v>
      </c>
      <c r="Q288" s="32" t="s">
        <v>27</v>
      </c>
      <c r="R288" s="32" t="s">
        <v>42</v>
      </c>
      <c r="S288" s="30">
        <f t="shared" ca="1" si="11"/>
        <v>40470.53652858796</v>
      </c>
      <c r="T288" s="31">
        <f t="shared" ca="1" si="12"/>
        <v>16</v>
      </c>
      <c r="U288" s="32" t="s">
        <v>42</v>
      </c>
      <c r="V288" s="32" t="s">
        <v>42</v>
      </c>
      <c r="W288" s="32" t="s">
        <v>42</v>
      </c>
      <c r="X288" s="32" t="s">
        <v>42</v>
      </c>
      <c r="Y288" s="32" t="s">
        <v>42</v>
      </c>
      <c r="Z288" s="35">
        <v>24.818629999999999</v>
      </c>
      <c r="AA288" s="35">
        <v>67.130489999999995</v>
      </c>
      <c r="AB288" s="32"/>
      <c r="AC288" s="12" t="s">
        <v>2510</v>
      </c>
      <c r="AD288" s="25">
        <v>40193</v>
      </c>
      <c r="AE288" s="25"/>
      <c r="AF288" s="25"/>
      <c r="AG288" s="25"/>
      <c r="AH288" s="11" t="s">
        <v>219</v>
      </c>
    </row>
    <row r="289" spans="1:34" s="37" customFormat="1">
      <c r="A289" s="33">
        <v>287</v>
      </c>
      <c r="B289" s="29">
        <v>39973</v>
      </c>
      <c r="C289" s="30">
        <v>39969</v>
      </c>
      <c r="D289" s="30"/>
      <c r="E289" s="38" t="s">
        <v>1071</v>
      </c>
      <c r="F289" s="31"/>
      <c r="G289" s="32" t="s">
        <v>20</v>
      </c>
      <c r="H289" s="33">
        <v>31</v>
      </c>
      <c r="I289" s="32" t="s">
        <v>1072</v>
      </c>
      <c r="J289" s="31" t="s">
        <v>1073</v>
      </c>
      <c r="K289" s="31" t="s">
        <v>291</v>
      </c>
      <c r="L289" s="32" t="s">
        <v>24</v>
      </c>
      <c r="M289" s="30">
        <v>39969</v>
      </c>
      <c r="N289" s="33">
        <v>1</v>
      </c>
      <c r="O289" s="32" t="s">
        <v>40</v>
      </c>
      <c r="P289" s="32" t="s">
        <v>109</v>
      </c>
      <c r="Q289" s="32" t="s">
        <v>27</v>
      </c>
      <c r="R289" s="32" t="s">
        <v>56</v>
      </c>
      <c r="S289" s="30">
        <f t="shared" ca="1" si="11"/>
        <v>40470.53652858796</v>
      </c>
      <c r="T289" s="31">
        <f t="shared" ca="1" si="12"/>
        <v>16</v>
      </c>
      <c r="U289" s="32" t="s">
        <v>42</v>
      </c>
      <c r="V289" s="32" t="s">
        <v>42</v>
      </c>
      <c r="W289" s="32" t="s">
        <v>42</v>
      </c>
      <c r="X289" s="32" t="s">
        <v>42</v>
      </c>
      <c r="Y289" s="32" t="s">
        <v>42</v>
      </c>
      <c r="Z289" s="35">
        <v>24.81494</v>
      </c>
      <c r="AA289" s="35">
        <v>67.107569999999996</v>
      </c>
      <c r="AB289" s="32"/>
      <c r="AC289" s="12" t="s">
        <v>1074</v>
      </c>
      <c r="AD289" s="25">
        <v>40120</v>
      </c>
      <c r="AE289" s="25"/>
      <c r="AF289" s="25"/>
      <c r="AG289" s="25"/>
      <c r="AH289" s="11" t="s">
        <v>35</v>
      </c>
    </row>
    <row r="290" spans="1:34" s="37" customFormat="1">
      <c r="A290" s="33">
        <v>288</v>
      </c>
      <c r="B290" s="29">
        <v>39973</v>
      </c>
      <c r="C290" s="30">
        <v>39969</v>
      </c>
      <c r="D290" s="30"/>
      <c r="E290" s="38" t="s">
        <v>1075</v>
      </c>
      <c r="F290" s="31"/>
      <c r="G290" s="32" t="s">
        <v>37</v>
      </c>
      <c r="H290" s="33">
        <v>60</v>
      </c>
      <c r="I290" s="32" t="s">
        <v>1076</v>
      </c>
      <c r="J290" s="31" t="s">
        <v>1077</v>
      </c>
      <c r="K290" s="31" t="s">
        <v>71</v>
      </c>
      <c r="L290" s="32" t="s">
        <v>24</v>
      </c>
      <c r="M290" s="30">
        <v>39969</v>
      </c>
      <c r="N290" s="33">
        <v>1</v>
      </c>
      <c r="O290" s="32" t="s">
        <v>40</v>
      </c>
      <c r="P290" s="32" t="s">
        <v>213</v>
      </c>
      <c r="Q290" s="32" t="s">
        <v>27</v>
      </c>
      <c r="R290" s="32" t="s">
        <v>56</v>
      </c>
      <c r="S290" s="30">
        <f t="shared" ca="1" si="11"/>
        <v>40470.53652858796</v>
      </c>
      <c r="T290" s="31">
        <f t="shared" ca="1" si="12"/>
        <v>16</v>
      </c>
      <c r="U290" s="32" t="s">
        <v>42</v>
      </c>
      <c r="V290" s="32" t="s">
        <v>42</v>
      </c>
      <c r="W290" s="32" t="s">
        <v>42</v>
      </c>
      <c r="X290" s="32" t="s">
        <v>42</v>
      </c>
      <c r="Y290" s="32" t="s">
        <v>42</v>
      </c>
      <c r="Z290" s="35">
        <v>24.8184</v>
      </c>
      <c r="AA290" s="35">
        <v>67.167850000000001</v>
      </c>
      <c r="AB290" s="32"/>
      <c r="AC290" s="12" t="s">
        <v>2510</v>
      </c>
      <c r="AD290" s="25">
        <v>40181</v>
      </c>
      <c r="AE290" s="25"/>
      <c r="AF290" s="25"/>
      <c r="AG290" s="25"/>
      <c r="AH290" s="11" t="s">
        <v>219</v>
      </c>
    </row>
    <row r="291" spans="1:34" s="37" customFormat="1" ht="12.75" customHeight="1">
      <c r="A291" s="33">
        <v>289</v>
      </c>
      <c r="B291" s="29">
        <v>39973</v>
      </c>
      <c r="C291" s="30">
        <v>39972</v>
      </c>
      <c r="D291" s="30"/>
      <c r="E291" s="38" t="s">
        <v>1078</v>
      </c>
      <c r="F291" s="31"/>
      <c r="G291" s="32" t="s">
        <v>20</v>
      </c>
      <c r="H291" s="33">
        <v>50</v>
      </c>
      <c r="I291" s="32" t="s">
        <v>1079</v>
      </c>
      <c r="J291" s="31" t="s">
        <v>1080</v>
      </c>
      <c r="K291" s="31" t="s">
        <v>71</v>
      </c>
      <c r="L291" s="32" t="s">
        <v>24</v>
      </c>
      <c r="M291" s="30">
        <v>39972</v>
      </c>
      <c r="N291" s="33">
        <v>2</v>
      </c>
      <c r="O291" s="32" t="s">
        <v>25</v>
      </c>
      <c r="P291" s="32" t="s">
        <v>26</v>
      </c>
      <c r="Q291" s="32" t="s">
        <v>381</v>
      </c>
      <c r="R291" s="32" t="s">
        <v>60</v>
      </c>
      <c r="S291" s="30">
        <f t="shared" ca="1" si="11"/>
        <v>40470.53652858796</v>
      </c>
      <c r="T291" s="31">
        <f t="shared" ca="1" si="12"/>
        <v>16</v>
      </c>
      <c r="U291" s="32" t="s">
        <v>42</v>
      </c>
      <c r="V291" s="32" t="s">
        <v>28</v>
      </c>
      <c r="W291" s="32" t="s">
        <v>224</v>
      </c>
      <c r="X291" s="32" t="s">
        <v>56</v>
      </c>
      <c r="Y291" s="32" t="s">
        <v>42</v>
      </c>
      <c r="Z291" s="35">
        <v>24.81446</v>
      </c>
      <c r="AA291" s="35">
        <v>67.196439999999996</v>
      </c>
      <c r="AB291" s="32"/>
      <c r="AC291" s="12" t="s">
        <v>915</v>
      </c>
      <c r="AD291" s="25">
        <v>40254</v>
      </c>
      <c r="AE291" s="25"/>
      <c r="AF291" s="25"/>
      <c r="AG291" s="25"/>
      <c r="AH291" s="11" t="s">
        <v>61</v>
      </c>
    </row>
    <row r="292" spans="1:34" s="37" customFormat="1">
      <c r="A292" s="33">
        <v>290</v>
      </c>
      <c r="B292" s="29">
        <v>39973</v>
      </c>
      <c r="C292" s="30">
        <v>39973</v>
      </c>
      <c r="D292" s="30"/>
      <c r="E292" s="38" t="s">
        <v>1081</v>
      </c>
      <c r="F292" s="31"/>
      <c r="G292" s="32" t="s">
        <v>37</v>
      </c>
      <c r="H292" s="33">
        <v>25</v>
      </c>
      <c r="I292" s="32" t="s">
        <v>1082</v>
      </c>
      <c r="J292" s="31" t="s">
        <v>1083</v>
      </c>
      <c r="K292" s="31" t="s">
        <v>39</v>
      </c>
      <c r="L292" s="32" t="s">
        <v>24</v>
      </c>
      <c r="M292" s="30">
        <v>39973</v>
      </c>
      <c r="N292" s="33">
        <v>1</v>
      </c>
      <c r="O292" s="32" t="s">
        <v>40</v>
      </c>
      <c r="P292" s="32" t="s">
        <v>213</v>
      </c>
      <c r="Q292" s="32" t="s">
        <v>27</v>
      </c>
      <c r="R292" s="32" t="s">
        <v>56</v>
      </c>
      <c r="S292" s="30">
        <f t="shared" ca="1" si="11"/>
        <v>40470.53652858796</v>
      </c>
      <c r="T292" s="31">
        <f t="shared" ca="1" si="12"/>
        <v>16</v>
      </c>
      <c r="U292" s="32" t="s">
        <v>42</v>
      </c>
      <c r="V292" s="32" t="s">
        <v>42</v>
      </c>
      <c r="W292" s="32" t="s">
        <v>42</v>
      </c>
      <c r="X292" s="32" t="s">
        <v>42</v>
      </c>
      <c r="Y292" s="32" t="s">
        <v>42</v>
      </c>
      <c r="Z292" s="35"/>
      <c r="AA292" s="35"/>
      <c r="AB292" s="32"/>
      <c r="AC292" s="12" t="s">
        <v>2510</v>
      </c>
      <c r="AD292" s="25">
        <v>40225</v>
      </c>
      <c r="AE292" s="25"/>
      <c r="AF292" s="25"/>
      <c r="AG292" s="25"/>
      <c r="AH292" s="11" t="s">
        <v>219</v>
      </c>
    </row>
    <row r="293" spans="1:34" s="37" customFormat="1" ht="12.75" customHeight="1">
      <c r="A293" s="33">
        <v>291</v>
      </c>
      <c r="B293" s="29">
        <v>39973</v>
      </c>
      <c r="C293" s="30">
        <v>39973</v>
      </c>
      <c r="D293" s="30"/>
      <c r="E293" s="38" t="s">
        <v>1084</v>
      </c>
      <c r="F293" s="31"/>
      <c r="G293" s="32" t="s">
        <v>37</v>
      </c>
      <c r="H293" s="33">
        <v>40</v>
      </c>
      <c r="I293" s="32" t="s">
        <v>1085</v>
      </c>
      <c r="J293" s="31" t="s">
        <v>1086</v>
      </c>
      <c r="K293" s="31" t="s">
        <v>206</v>
      </c>
      <c r="L293" s="32" t="s">
        <v>24</v>
      </c>
      <c r="M293" s="30">
        <v>39973</v>
      </c>
      <c r="N293" s="33">
        <v>1</v>
      </c>
      <c r="O293" s="32" t="s">
        <v>25</v>
      </c>
      <c r="P293" s="32" t="s">
        <v>26</v>
      </c>
      <c r="Q293" s="32" t="s">
        <v>27</v>
      </c>
      <c r="R293" s="32" t="s">
        <v>28</v>
      </c>
      <c r="S293" s="30">
        <f t="shared" ca="1" si="11"/>
        <v>40470.53652858796</v>
      </c>
      <c r="T293" s="31">
        <f t="shared" ca="1" si="12"/>
        <v>16</v>
      </c>
      <c r="U293" s="32" t="s">
        <v>224</v>
      </c>
      <c r="V293" s="32" t="s">
        <v>56</v>
      </c>
      <c r="W293" s="32" t="s">
        <v>224</v>
      </c>
      <c r="X293" s="32" t="s">
        <v>42</v>
      </c>
      <c r="Y293" s="32" t="s">
        <v>42</v>
      </c>
      <c r="Z293" s="35">
        <v>24.835529999999999</v>
      </c>
      <c r="AA293" s="35">
        <v>67.167959999999994</v>
      </c>
      <c r="AB293" s="32"/>
      <c r="AC293" s="12" t="s">
        <v>61</v>
      </c>
      <c r="AD293" s="25">
        <v>40299</v>
      </c>
      <c r="AE293" s="25"/>
      <c r="AF293" s="25"/>
      <c r="AG293" s="25"/>
      <c r="AH293" s="11" t="s">
        <v>61</v>
      </c>
    </row>
    <row r="294" spans="1:34" s="37" customFormat="1" ht="12.75" customHeight="1">
      <c r="A294" s="33">
        <v>292</v>
      </c>
      <c r="B294" s="29">
        <v>39973</v>
      </c>
      <c r="C294" s="30">
        <v>39973</v>
      </c>
      <c r="D294" s="30"/>
      <c r="E294" s="38" t="s">
        <v>1087</v>
      </c>
      <c r="F294" s="31"/>
      <c r="G294" s="32" t="s">
        <v>37</v>
      </c>
      <c r="H294" s="33">
        <v>25</v>
      </c>
      <c r="I294" s="32" t="s">
        <v>1088</v>
      </c>
      <c r="J294" s="31" t="s">
        <v>918</v>
      </c>
      <c r="K294" s="31" t="s">
        <v>223</v>
      </c>
      <c r="L294" s="32" t="s">
        <v>24</v>
      </c>
      <c r="M294" s="30">
        <v>39973</v>
      </c>
      <c r="N294" s="33">
        <v>1</v>
      </c>
      <c r="O294" s="32" t="s">
        <v>25</v>
      </c>
      <c r="P294" s="32" t="s">
        <v>26</v>
      </c>
      <c r="Q294" s="32" t="s">
        <v>27</v>
      </c>
      <c r="R294" s="32" t="s">
        <v>28</v>
      </c>
      <c r="S294" s="30">
        <f t="shared" ca="1" si="11"/>
        <v>40470.53652858796</v>
      </c>
      <c r="T294" s="31">
        <f t="shared" ca="1" si="12"/>
        <v>16</v>
      </c>
      <c r="U294" s="32" t="s">
        <v>56</v>
      </c>
      <c r="V294" s="32" t="s">
        <v>42</v>
      </c>
      <c r="W294" s="32" t="s">
        <v>56</v>
      </c>
      <c r="X294" s="32" t="s">
        <v>56</v>
      </c>
      <c r="Y294" s="32" t="s">
        <v>42</v>
      </c>
      <c r="Z294" s="35">
        <v>24.826460000000001</v>
      </c>
      <c r="AA294" s="35">
        <v>67.144400000000005</v>
      </c>
      <c r="AB294" s="32"/>
      <c r="AC294" s="12" t="s">
        <v>915</v>
      </c>
      <c r="AD294" s="25">
        <v>40423</v>
      </c>
      <c r="AE294" s="25"/>
      <c r="AF294" s="25"/>
      <c r="AG294" s="25"/>
      <c r="AH294" s="11" t="s">
        <v>61</v>
      </c>
    </row>
    <row r="295" spans="1:34" s="37" customFormat="1" ht="12.75" customHeight="1">
      <c r="A295" s="33">
        <v>293</v>
      </c>
      <c r="B295" s="29">
        <v>39973</v>
      </c>
      <c r="C295" s="30">
        <v>39973</v>
      </c>
      <c r="D295" s="30"/>
      <c r="E295" s="38" t="s">
        <v>919</v>
      </c>
      <c r="F295" s="31"/>
      <c r="G295" s="32" t="s">
        <v>37</v>
      </c>
      <c r="H295" s="33">
        <v>20</v>
      </c>
      <c r="I295" s="32" t="s">
        <v>920</v>
      </c>
      <c r="J295" s="31" t="s">
        <v>921</v>
      </c>
      <c r="K295" s="31" t="s">
        <v>39</v>
      </c>
      <c r="L295" s="32" t="s">
        <v>24</v>
      </c>
      <c r="M295" s="30">
        <v>39973</v>
      </c>
      <c r="N295" s="33">
        <v>2</v>
      </c>
      <c r="O295" s="32" t="s">
        <v>25</v>
      </c>
      <c r="P295" s="32" t="s">
        <v>26</v>
      </c>
      <c r="Q295" s="32" t="s">
        <v>49</v>
      </c>
      <c r="R295" s="32" t="s">
        <v>65</v>
      </c>
      <c r="S295" s="30">
        <f t="shared" ca="1" si="11"/>
        <v>40470.53652858796</v>
      </c>
      <c r="T295" s="31">
        <f t="shared" ca="1" si="12"/>
        <v>16</v>
      </c>
      <c r="U295" s="32" t="s">
        <v>56</v>
      </c>
      <c r="V295" s="32" t="s">
        <v>42</v>
      </c>
      <c r="W295" s="32" t="s">
        <v>56</v>
      </c>
      <c r="X295" s="32" t="s">
        <v>56</v>
      </c>
      <c r="Y295" s="32" t="s">
        <v>42</v>
      </c>
      <c r="Z295" s="35">
        <v>24.856870000000001</v>
      </c>
      <c r="AA295" s="35">
        <v>67.084990000000005</v>
      </c>
      <c r="AB295" s="32"/>
      <c r="AC295" s="12" t="s">
        <v>915</v>
      </c>
      <c r="AD295" s="25">
        <v>40361</v>
      </c>
      <c r="AE295" s="25"/>
      <c r="AF295" s="25"/>
      <c r="AG295" s="25"/>
      <c r="AH295" s="11" t="s">
        <v>61</v>
      </c>
    </row>
    <row r="296" spans="1:34" s="37" customFormat="1">
      <c r="A296" s="33">
        <v>294</v>
      </c>
      <c r="B296" s="29">
        <v>39973</v>
      </c>
      <c r="C296" s="30">
        <v>39974</v>
      </c>
      <c r="D296" s="30"/>
      <c r="E296" s="38" t="s">
        <v>922</v>
      </c>
      <c r="F296" s="31"/>
      <c r="G296" s="32" t="s">
        <v>20</v>
      </c>
      <c r="H296" s="33">
        <v>28</v>
      </c>
      <c r="I296" s="32" t="s">
        <v>923</v>
      </c>
      <c r="J296" s="31" t="s">
        <v>924</v>
      </c>
      <c r="K296" s="31" t="s">
        <v>291</v>
      </c>
      <c r="L296" s="32" t="s">
        <v>24</v>
      </c>
      <c r="M296" s="30">
        <v>39974</v>
      </c>
      <c r="N296" s="33">
        <v>1</v>
      </c>
      <c r="O296" s="32" t="s">
        <v>40</v>
      </c>
      <c r="P296" s="32" t="s">
        <v>109</v>
      </c>
      <c r="Q296" s="32" t="s">
        <v>27</v>
      </c>
      <c r="R296" s="32" t="s">
        <v>28</v>
      </c>
      <c r="S296" s="30">
        <f t="shared" ca="1" si="11"/>
        <v>40470.53652858796</v>
      </c>
      <c r="T296" s="31">
        <f t="shared" ca="1" si="12"/>
        <v>16</v>
      </c>
      <c r="U296" s="32" t="s">
        <v>42</v>
      </c>
      <c r="V296" s="32" t="s">
        <v>42</v>
      </c>
      <c r="W296" s="32" t="s">
        <v>42</v>
      </c>
      <c r="X296" s="32" t="s">
        <v>42</v>
      </c>
      <c r="Y296" s="32" t="s">
        <v>42</v>
      </c>
      <c r="Z296" s="35">
        <v>24.828679999999999</v>
      </c>
      <c r="AA296" s="35">
        <v>67.145780000000002</v>
      </c>
      <c r="AB296" s="32"/>
      <c r="AC296" s="12" t="s">
        <v>2510</v>
      </c>
      <c r="AD296" s="25">
        <v>40196</v>
      </c>
      <c r="AE296" s="25"/>
      <c r="AF296" s="25"/>
      <c r="AG296" s="25"/>
      <c r="AH296" s="11" t="s">
        <v>219</v>
      </c>
    </row>
    <row r="297" spans="1:34" s="37" customFormat="1">
      <c r="A297" s="33">
        <v>295</v>
      </c>
      <c r="B297" s="29">
        <v>39973</v>
      </c>
      <c r="C297" s="30">
        <v>39975</v>
      </c>
      <c r="D297" s="30"/>
      <c r="E297" s="38" t="s">
        <v>925</v>
      </c>
      <c r="F297" s="31"/>
      <c r="G297" s="32" t="s">
        <v>20</v>
      </c>
      <c r="H297" s="33">
        <v>21</v>
      </c>
      <c r="I297" s="32" t="s">
        <v>926</v>
      </c>
      <c r="J297" s="31" t="s">
        <v>927</v>
      </c>
      <c r="K297" s="31" t="s">
        <v>39</v>
      </c>
      <c r="L297" s="32" t="s">
        <v>24</v>
      </c>
      <c r="M297" s="30">
        <v>39975</v>
      </c>
      <c r="N297" s="33">
        <v>1</v>
      </c>
      <c r="O297" s="32" t="s">
        <v>40</v>
      </c>
      <c r="P297" s="32" t="s">
        <v>315</v>
      </c>
      <c r="Q297" s="32" t="s">
        <v>27</v>
      </c>
      <c r="R297" s="32" t="s">
        <v>42</v>
      </c>
      <c r="S297" s="30">
        <f t="shared" ca="1" si="11"/>
        <v>40470.53652858796</v>
      </c>
      <c r="T297" s="31">
        <f t="shared" ca="1" si="12"/>
        <v>16</v>
      </c>
      <c r="U297" s="32" t="s">
        <v>42</v>
      </c>
      <c r="V297" s="32" t="s">
        <v>42</v>
      </c>
      <c r="W297" s="32" t="s">
        <v>42</v>
      </c>
      <c r="X297" s="32" t="s">
        <v>42</v>
      </c>
      <c r="Y297" s="32" t="s">
        <v>42</v>
      </c>
      <c r="Z297" s="35">
        <v>24.821809999999999</v>
      </c>
      <c r="AA297" s="35">
        <v>67.141249999999999</v>
      </c>
      <c r="AB297" s="32"/>
      <c r="AC297" s="12" t="s">
        <v>2510</v>
      </c>
      <c r="AD297" s="25">
        <v>40211</v>
      </c>
      <c r="AE297" s="25"/>
      <c r="AF297" s="25"/>
      <c r="AG297" s="25"/>
      <c r="AH297" s="11" t="s">
        <v>219</v>
      </c>
    </row>
    <row r="298" spans="1:34" s="37" customFormat="1">
      <c r="A298" s="33">
        <v>296</v>
      </c>
      <c r="B298" s="29">
        <v>39973</v>
      </c>
      <c r="C298" s="30">
        <v>39975</v>
      </c>
      <c r="D298" s="30"/>
      <c r="E298" s="38" t="s">
        <v>928</v>
      </c>
      <c r="F298" s="31"/>
      <c r="G298" s="32" t="s">
        <v>37</v>
      </c>
      <c r="H298" s="33">
        <v>18</v>
      </c>
      <c r="I298" s="32" t="s">
        <v>929</v>
      </c>
      <c r="J298" s="31" t="s">
        <v>930</v>
      </c>
      <c r="K298" s="31" t="s">
        <v>39</v>
      </c>
      <c r="L298" s="32" t="s">
        <v>24</v>
      </c>
      <c r="M298" s="30">
        <v>39975</v>
      </c>
      <c r="N298" s="33">
        <v>1</v>
      </c>
      <c r="O298" s="32" t="s">
        <v>40</v>
      </c>
      <c r="P298" s="32" t="s">
        <v>213</v>
      </c>
      <c r="Q298" s="32" t="s">
        <v>27</v>
      </c>
      <c r="R298" s="32" t="s">
        <v>56</v>
      </c>
      <c r="S298" s="30">
        <f t="shared" ca="1" si="11"/>
        <v>40470.53652858796</v>
      </c>
      <c r="T298" s="31">
        <f t="shared" ca="1" si="12"/>
        <v>16</v>
      </c>
      <c r="U298" s="32" t="s">
        <v>42</v>
      </c>
      <c r="V298" s="32" t="s">
        <v>42</v>
      </c>
      <c r="W298" s="32" t="s">
        <v>42</v>
      </c>
      <c r="X298" s="32" t="s">
        <v>42</v>
      </c>
      <c r="Y298" s="32" t="s">
        <v>42</v>
      </c>
      <c r="Z298" s="35"/>
      <c r="AA298" s="35"/>
      <c r="AB298" s="32"/>
      <c r="AC298" s="12" t="s">
        <v>219</v>
      </c>
      <c r="AD298" s="25">
        <v>40219</v>
      </c>
      <c r="AE298" s="25"/>
      <c r="AF298" s="25"/>
      <c r="AG298" s="25"/>
      <c r="AH298" s="11" t="s">
        <v>219</v>
      </c>
    </row>
    <row r="299" spans="1:34" s="37" customFormat="1">
      <c r="A299" s="33">
        <v>297</v>
      </c>
      <c r="B299" s="29">
        <v>39973</v>
      </c>
      <c r="C299" s="30">
        <v>39976</v>
      </c>
      <c r="D299" s="30"/>
      <c r="E299" s="38" t="s">
        <v>931</v>
      </c>
      <c r="F299" s="31"/>
      <c r="G299" s="32" t="s">
        <v>20</v>
      </c>
      <c r="H299" s="33">
        <v>26</v>
      </c>
      <c r="I299" s="32" t="s">
        <v>932</v>
      </c>
      <c r="J299" s="31" t="s">
        <v>933</v>
      </c>
      <c r="K299" s="31" t="s">
        <v>106</v>
      </c>
      <c r="L299" s="32" t="s">
        <v>24</v>
      </c>
      <c r="M299" s="30">
        <v>39976</v>
      </c>
      <c r="N299" s="33">
        <v>1</v>
      </c>
      <c r="O299" s="32" t="s">
        <v>40</v>
      </c>
      <c r="P299" s="32" t="s">
        <v>72</v>
      </c>
      <c r="Q299" s="32" t="s">
        <v>27</v>
      </c>
      <c r="R299" s="32" t="s">
        <v>42</v>
      </c>
      <c r="S299" s="30">
        <f t="shared" ca="1" si="11"/>
        <v>40470.53652858796</v>
      </c>
      <c r="T299" s="31">
        <f t="shared" ca="1" si="12"/>
        <v>16</v>
      </c>
      <c r="U299" s="32" t="s">
        <v>42</v>
      </c>
      <c r="V299" s="32" t="s">
        <v>42</v>
      </c>
      <c r="W299" s="32" t="s">
        <v>42</v>
      </c>
      <c r="X299" s="32" t="s">
        <v>42</v>
      </c>
      <c r="Y299" s="32" t="s">
        <v>42</v>
      </c>
      <c r="Z299" s="35"/>
      <c r="AA299" s="35"/>
      <c r="AB299" s="32"/>
      <c r="AC299" s="12" t="s">
        <v>2510</v>
      </c>
      <c r="AD299" s="25">
        <v>40193</v>
      </c>
      <c r="AE299" s="25"/>
      <c r="AF299" s="25"/>
      <c r="AG299" s="25"/>
      <c r="AH299" s="11" t="s">
        <v>219</v>
      </c>
    </row>
    <row r="300" spans="1:34" s="37" customFormat="1" ht="12.75" customHeight="1">
      <c r="A300" s="33">
        <v>298</v>
      </c>
      <c r="B300" s="29">
        <v>39973</v>
      </c>
      <c r="C300" s="30">
        <v>39980</v>
      </c>
      <c r="D300" s="30"/>
      <c r="E300" s="38" t="s">
        <v>934</v>
      </c>
      <c r="F300" s="31"/>
      <c r="G300" s="32" t="s">
        <v>37</v>
      </c>
      <c r="H300" s="33">
        <v>16</v>
      </c>
      <c r="I300" s="32" t="s">
        <v>935</v>
      </c>
      <c r="J300" s="31" t="s">
        <v>936</v>
      </c>
      <c r="K300" s="31" t="s">
        <v>106</v>
      </c>
      <c r="L300" s="32" t="s">
        <v>24</v>
      </c>
      <c r="M300" s="30">
        <v>39980</v>
      </c>
      <c r="N300" s="33">
        <v>1</v>
      </c>
      <c r="O300" s="32" t="s">
        <v>25</v>
      </c>
      <c r="P300" s="32" t="s">
        <v>26</v>
      </c>
      <c r="Q300" s="32" t="s">
        <v>27</v>
      </c>
      <c r="R300" s="32" t="s">
        <v>28</v>
      </c>
      <c r="S300" s="30">
        <f t="shared" ca="1" si="11"/>
        <v>40470.53652858796</v>
      </c>
      <c r="T300" s="31">
        <f t="shared" ca="1" si="12"/>
        <v>16</v>
      </c>
      <c r="U300" s="32" t="s">
        <v>42</v>
      </c>
      <c r="V300" s="32" t="s">
        <v>56</v>
      </c>
      <c r="W300" s="32" t="s">
        <v>56</v>
      </c>
      <c r="X300" s="32" t="s">
        <v>56</v>
      </c>
      <c r="Y300" s="32" t="s">
        <v>42</v>
      </c>
      <c r="Z300" s="35"/>
      <c r="AA300" s="35"/>
      <c r="AB300" s="32"/>
      <c r="AC300" s="12" t="s">
        <v>915</v>
      </c>
      <c r="AD300" s="25">
        <v>40212</v>
      </c>
      <c r="AE300" s="25"/>
      <c r="AF300" s="25"/>
      <c r="AG300" s="25"/>
      <c r="AH300" s="11" t="s">
        <v>61</v>
      </c>
    </row>
    <row r="301" spans="1:34" s="37" customFormat="1" ht="12.75" customHeight="1">
      <c r="A301" s="33">
        <v>299</v>
      </c>
      <c r="B301" s="29">
        <v>39973</v>
      </c>
      <c r="C301" s="30">
        <v>39980</v>
      </c>
      <c r="D301" s="30"/>
      <c r="E301" s="38" t="s">
        <v>937</v>
      </c>
      <c r="F301" s="31"/>
      <c r="G301" s="32" t="s">
        <v>37</v>
      </c>
      <c r="H301" s="33">
        <v>64</v>
      </c>
      <c r="I301" s="32" t="s">
        <v>938</v>
      </c>
      <c r="J301" s="31" t="s">
        <v>939</v>
      </c>
      <c r="K301" s="31" t="s">
        <v>59</v>
      </c>
      <c r="L301" s="32" t="s">
        <v>24</v>
      </c>
      <c r="M301" s="30">
        <v>39980</v>
      </c>
      <c r="N301" s="33">
        <v>1</v>
      </c>
      <c r="O301" s="32" t="s">
        <v>25</v>
      </c>
      <c r="P301" s="32" t="s">
        <v>26</v>
      </c>
      <c r="Q301" s="32" t="s">
        <v>27</v>
      </c>
      <c r="R301" s="32" t="s">
        <v>60</v>
      </c>
      <c r="S301" s="30">
        <f t="shared" ca="1" si="11"/>
        <v>40470.53652858796</v>
      </c>
      <c r="T301" s="31">
        <f t="shared" ca="1" si="12"/>
        <v>16</v>
      </c>
      <c r="U301" s="32" t="s">
        <v>224</v>
      </c>
      <c r="V301" s="32" t="s">
        <v>42</v>
      </c>
      <c r="W301" s="32" t="s">
        <v>224</v>
      </c>
      <c r="X301" s="32" t="s">
        <v>224</v>
      </c>
      <c r="Y301" s="32" t="s">
        <v>42</v>
      </c>
      <c r="Z301" s="35"/>
      <c r="AA301" s="35"/>
      <c r="AB301" s="32"/>
      <c r="AC301" s="12" t="s">
        <v>982</v>
      </c>
      <c r="AD301" s="25">
        <v>39829</v>
      </c>
      <c r="AE301" s="25"/>
      <c r="AF301" s="25"/>
      <c r="AG301" s="25"/>
      <c r="AH301" s="11" t="s">
        <v>122</v>
      </c>
    </row>
    <row r="302" spans="1:34" s="37" customFormat="1">
      <c r="A302" s="33">
        <v>300</v>
      </c>
      <c r="B302" s="29">
        <v>39973</v>
      </c>
      <c r="C302" s="30">
        <v>39981</v>
      </c>
      <c r="D302" s="30"/>
      <c r="E302" s="38" t="s">
        <v>940</v>
      </c>
      <c r="F302" s="31"/>
      <c r="G302" s="32" t="s">
        <v>20</v>
      </c>
      <c r="H302" s="33">
        <v>13</v>
      </c>
      <c r="I302" s="32" t="s">
        <v>941</v>
      </c>
      <c r="J302" s="31" t="s">
        <v>942</v>
      </c>
      <c r="K302" s="31" t="s">
        <v>39</v>
      </c>
      <c r="L302" s="32" t="s">
        <v>24</v>
      </c>
      <c r="M302" s="30">
        <v>39981</v>
      </c>
      <c r="N302" s="33">
        <v>1</v>
      </c>
      <c r="O302" s="32" t="s">
        <v>40</v>
      </c>
      <c r="P302" s="32" t="s">
        <v>213</v>
      </c>
      <c r="Q302" s="32" t="s">
        <v>27</v>
      </c>
      <c r="R302" s="32" t="s">
        <v>42</v>
      </c>
      <c r="S302" s="30">
        <f t="shared" ca="1" si="11"/>
        <v>40470.53652858796</v>
      </c>
      <c r="T302" s="31">
        <f t="shared" ca="1" si="12"/>
        <v>16</v>
      </c>
      <c r="U302" s="32" t="s">
        <v>42</v>
      </c>
      <c r="V302" s="32" t="s">
        <v>42</v>
      </c>
      <c r="W302" s="32" t="s">
        <v>42</v>
      </c>
      <c r="X302" s="32" t="s">
        <v>42</v>
      </c>
      <c r="Y302" s="32" t="s">
        <v>42</v>
      </c>
      <c r="Z302" s="35"/>
      <c r="AA302" s="35"/>
      <c r="AB302" s="32"/>
      <c r="AC302" s="12" t="s">
        <v>44</v>
      </c>
      <c r="AD302" s="25">
        <v>40228</v>
      </c>
      <c r="AE302" s="25"/>
      <c r="AF302" s="25"/>
      <c r="AG302" s="25"/>
      <c r="AH302" s="11" t="s">
        <v>219</v>
      </c>
    </row>
    <row r="303" spans="1:34" s="37" customFormat="1" ht="12.75" customHeight="1">
      <c r="A303" s="33">
        <v>301</v>
      </c>
      <c r="B303" s="29">
        <v>39973</v>
      </c>
      <c r="C303" s="30">
        <v>39982</v>
      </c>
      <c r="D303" s="30"/>
      <c r="E303" s="38" t="s">
        <v>943</v>
      </c>
      <c r="F303" s="31"/>
      <c r="G303" s="32" t="s">
        <v>37</v>
      </c>
      <c r="H303" s="33">
        <v>20</v>
      </c>
      <c r="I303" s="32" t="s">
        <v>944</v>
      </c>
      <c r="J303" s="31" t="s">
        <v>945</v>
      </c>
      <c r="K303" s="31" t="s">
        <v>39</v>
      </c>
      <c r="L303" s="32" t="s">
        <v>24</v>
      </c>
      <c r="M303" s="30">
        <v>39982</v>
      </c>
      <c r="N303" s="33">
        <v>1</v>
      </c>
      <c r="O303" s="32" t="s">
        <v>25</v>
      </c>
      <c r="P303" s="32" t="s">
        <v>26</v>
      </c>
      <c r="Q303" s="32" t="s">
        <v>27</v>
      </c>
      <c r="R303" s="32" t="s">
        <v>28</v>
      </c>
      <c r="S303" s="30">
        <f t="shared" ca="1" si="11"/>
        <v>40470.53652858796</v>
      </c>
      <c r="T303" s="31">
        <f t="shared" ca="1" si="12"/>
        <v>16</v>
      </c>
      <c r="U303" s="32" t="s">
        <v>56</v>
      </c>
      <c r="V303" s="32" t="s">
        <v>42</v>
      </c>
      <c r="W303" s="32" t="s">
        <v>56</v>
      </c>
      <c r="X303" s="32" t="s">
        <v>56</v>
      </c>
      <c r="Y303" s="32" t="s">
        <v>42</v>
      </c>
      <c r="Z303" s="35"/>
      <c r="AA303" s="35"/>
      <c r="AB303" s="32"/>
      <c r="AC303" s="12" t="s">
        <v>915</v>
      </c>
      <c r="AD303" s="25">
        <v>40212</v>
      </c>
      <c r="AE303" s="25"/>
      <c r="AF303" s="25"/>
      <c r="AG303" s="25"/>
      <c r="AH303" s="11" t="s">
        <v>61</v>
      </c>
    </row>
    <row r="304" spans="1:34" s="37" customFormat="1" ht="12.75" customHeight="1">
      <c r="A304" s="33">
        <v>302</v>
      </c>
      <c r="B304" s="29">
        <v>39973</v>
      </c>
      <c r="C304" s="30">
        <v>39983</v>
      </c>
      <c r="D304" s="30"/>
      <c r="E304" s="38" t="s">
        <v>946</v>
      </c>
      <c r="F304" s="31"/>
      <c r="G304" s="32" t="s">
        <v>20</v>
      </c>
      <c r="H304" s="33">
        <v>18</v>
      </c>
      <c r="I304" s="32" t="s">
        <v>947</v>
      </c>
      <c r="J304" s="31" t="s">
        <v>948</v>
      </c>
      <c r="K304" s="31" t="s">
        <v>39</v>
      </c>
      <c r="L304" s="32" t="s">
        <v>24</v>
      </c>
      <c r="M304" s="30">
        <v>39983</v>
      </c>
      <c r="N304" s="33">
        <v>1</v>
      </c>
      <c r="O304" s="32" t="s">
        <v>25</v>
      </c>
      <c r="P304" s="32" t="s">
        <v>26</v>
      </c>
      <c r="Q304" s="32" t="s">
        <v>27</v>
      </c>
      <c r="R304" s="32" t="s">
        <v>28</v>
      </c>
      <c r="S304" s="30">
        <f t="shared" ca="1" si="11"/>
        <v>40470.53652858796</v>
      </c>
      <c r="T304" s="31">
        <f t="shared" ca="1" si="12"/>
        <v>16</v>
      </c>
      <c r="U304" s="32" t="s">
        <v>224</v>
      </c>
      <c r="V304" s="32" t="s">
        <v>42</v>
      </c>
      <c r="W304" s="32" t="s">
        <v>224</v>
      </c>
      <c r="X304" s="32" t="s">
        <v>224</v>
      </c>
      <c r="Y304" s="32" t="s">
        <v>42</v>
      </c>
      <c r="Z304" s="35"/>
      <c r="AA304" s="35"/>
      <c r="AB304" s="32"/>
      <c r="AC304" s="12" t="s">
        <v>982</v>
      </c>
      <c r="AD304" s="25">
        <v>39983</v>
      </c>
      <c r="AE304" s="25"/>
      <c r="AF304" s="25"/>
      <c r="AG304" s="25"/>
      <c r="AH304" s="11" t="s">
        <v>122</v>
      </c>
    </row>
    <row r="305" spans="1:34" s="37" customFormat="1">
      <c r="A305" s="33">
        <v>303</v>
      </c>
      <c r="B305" s="29">
        <v>39973</v>
      </c>
      <c r="C305" s="30">
        <v>39984</v>
      </c>
      <c r="D305" s="30"/>
      <c r="E305" s="38" t="s">
        <v>949</v>
      </c>
      <c r="F305" s="31"/>
      <c r="G305" s="32" t="s">
        <v>20</v>
      </c>
      <c r="H305" s="33">
        <v>60</v>
      </c>
      <c r="I305" s="32" t="s">
        <v>950</v>
      </c>
      <c r="J305" s="31" t="s">
        <v>951</v>
      </c>
      <c r="K305" s="31" t="s">
        <v>253</v>
      </c>
      <c r="L305" s="32" t="s">
        <v>24</v>
      </c>
      <c r="M305" s="30">
        <v>39984</v>
      </c>
      <c r="N305" s="33">
        <v>1</v>
      </c>
      <c r="O305" s="32" t="s">
        <v>40</v>
      </c>
      <c r="P305" s="32" t="s">
        <v>109</v>
      </c>
      <c r="Q305" s="32" t="s">
        <v>27</v>
      </c>
      <c r="R305" s="32" t="s">
        <v>42</v>
      </c>
      <c r="S305" s="30">
        <f t="shared" ca="1" si="11"/>
        <v>40470.53652858796</v>
      </c>
      <c r="T305" s="31">
        <f t="shared" ca="1" si="12"/>
        <v>16</v>
      </c>
      <c r="U305" s="32" t="s">
        <v>42</v>
      </c>
      <c r="V305" s="32" t="s">
        <v>42</v>
      </c>
      <c r="W305" s="32" t="s">
        <v>42</v>
      </c>
      <c r="X305" s="32" t="s">
        <v>42</v>
      </c>
      <c r="Y305" s="32" t="s">
        <v>42</v>
      </c>
      <c r="Z305" s="35"/>
      <c r="AA305" s="35"/>
      <c r="AB305" s="32"/>
      <c r="AC305" s="12" t="s">
        <v>2510</v>
      </c>
      <c r="AD305" s="25">
        <v>40234</v>
      </c>
      <c r="AE305" s="25"/>
      <c r="AF305" s="25"/>
      <c r="AG305" s="25"/>
      <c r="AH305" s="11" t="s">
        <v>219</v>
      </c>
    </row>
    <row r="306" spans="1:34" s="37" customFormat="1" ht="12.75" customHeight="1">
      <c r="A306" s="33">
        <v>304</v>
      </c>
      <c r="B306" s="29">
        <v>39973</v>
      </c>
      <c r="C306" s="30">
        <v>39987</v>
      </c>
      <c r="D306" s="30"/>
      <c r="E306" s="38" t="s">
        <v>952</v>
      </c>
      <c r="F306" s="31"/>
      <c r="G306" s="32" t="s">
        <v>37</v>
      </c>
      <c r="H306" s="33">
        <v>13</v>
      </c>
      <c r="I306" s="32" t="s">
        <v>953</v>
      </c>
      <c r="J306" s="31" t="s">
        <v>954</v>
      </c>
      <c r="K306" s="31" t="s">
        <v>39</v>
      </c>
      <c r="L306" s="32" t="s">
        <v>24</v>
      </c>
      <c r="M306" s="30">
        <v>39987</v>
      </c>
      <c r="N306" s="33">
        <v>1</v>
      </c>
      <c r="O306" s="32" t="s">
        <v>25</v>
      </c>
      <c r="P306" s="32" t="s">
        <v>26</v>
      </c>
      <c r="Q306" s="32" t="s">
        <v>27</v>
      </c>
      <c r="R306" s="32" t="s">
        <v>28</v>
      </c>
      <c r="S306" s="30">
        <f t="shared" ca="1" si="11"/>
        <v>40470.53652858796</v>
      </c>
      <c r="T306" s="31">
        <f t="shared" ca="1" si="12"/>
        <v>16</v>
      </c>
      <c r="U306" s="32" t="s">
        <v>42</v>
      </c>
      <c r="V306" s="32" t="s">
        <v>56</v>
      </c>
      <c r="W306" s="32" t="s">
        <v>56</v>
      </c>
      <c r="X306" s="32" t="s">
        <v>56</v>
      </c>
      <c r="Y306" s="32" t="s">
        <v>42</v>
      </c>
      <c r="Z306" s="35"/>
      <c r="AA306" s="35"/>
      <c r="AB306" s="32"/>
      <c r="AC306" s="12" t="s">
        <v>44</v>
      </c>
      <c r="AD306" s="25">
        <v>40254</v>
      </c>
      <c r="AE306" s="25"/>
      <c r="AF306" s="25"/>
      <c r="AG306" s="25"/>
      <c r="AH306" s="11" t="s">
        <v>219</v>
      </c>
    </row>
    <row r="307" spans="1:34" s="37" customFormat="1" ht="12.75" customHeight="1">
      <c r="A307" s="33">
        <v>305</v>
      </c>
      <c r="B307" s="29">
        <v>39973</v>
      </c>
      <c r="C307" s="30">
        <v>39987</v>
      </c>
      <c r="D307" s="30"/>
      <c r="E307" s="38" t="s">
        <v>955</v>
      </c>
      <c r="F307" s="31"/>
      <c r="G307" s="32" t="s">
        <v>37</v>
      </c>
      <c r="H307" s="33">
        <v>24</v>
      </c>
      <c r="I307" s="32" t="s">
        <v>956</v>
      </c>
      <c r="J307" s="31" t="s">
        <v>957</v>
      </c>
      <c r="K307" s="31" t="s">
        <v>39</v>
      </c>
      <c r="L307" s="32" t="s">
        <v>24</v>
      </c>
      <c r="M307" s="30">
        <v>39987</v>
      </c>
      <c r="N307" s="33">
        <v>2</v>
      </c>
      <c r="O307" s="32" t="s">
        <v>25</v>
      </c>
      <c r="P307" s="32" t="s">
        <v>26</v>
      </c>
      <c r="Q307" s="32" t="s">
        <v>49</v>
      </c>
      <c r="R307" s="32" t="s">
        <v>65</v>
      </c>
      <c r="S307" s="30">
        <f t="shared" ca="1" si="11"/>
        <v>40470.53652858796</v>
      </c>
      <c r="T307" s="31">
        <f t="shared" ca="1" si="12"/>
        <v>16</v>
      </c>
      <c r="U307" s="32" t="s">
        <v>42</v>
      </c>
      <c r="V307" s="32" t="s">
        <v>28</v>
      </c>
      <c r="W307" s="32" t="s">
        <v>56</v>
      </c>
      <c r="X307" s="32" t="s">
        <v>56</v>
      </c>
      <c r="Y307" s="32" t="s">
        <v>42</v>
      </c>
      <c r="Z307" s="35"/>
      <c r="AA307" s="35"/>
      <c r="AB307" s="32"/>
      <c r="AC307" s="12" t="s">
        <v>132</v>
      </c>
      <c r="AD307" s="25">
        <v>40212</v>
      </c>
      <c r="AE307" s="25"/>
      <c r="AF307" s="25"/>
      <c r="AG307" s="25"/>
      <c r="AH307" s="11" t="s">
        <v>132</v>
      </c>
    </row>
    <row r="308" spans="1:34" s="37" customFormat="1" ht="12.75" customHeight="1">
      <c r="A308" s="33">
        <v>306</v>
      </c>
      <c r="B308" s="29">
        <v>39973</v>
      </c>
      <c r="C308" s="30">
        <v>39987</v>
      </c>
      <c r="D308" s="30"/>
      <c r="E308" s="38" t="s">
        <v>958</v>
      </c>
      <c r="F308" s="31"/>
      <c r="G308" s="32" t="s">
        <v>20</v>
      </c>
      <c r="H308" s="33">
        <v>12</v>
      </c>
      <c r="I308" s="32" t="s">
        <v>959</v>
      </c>
      <c r="J308" s="31" t="s">
        <v>960</v>
      </c>
      <c r="K308" s="31" t="s">
        <v>39</v>
      </c>
      <c r="L308" s="32" t="s">
        <v>24</v>
      </c>
      <c r="M308" s="30">
        <v>39987</v>
      </c>
      <c r="N308" s="33">
        <v>1</v>
      </c>
      <c r="O308" s="32" t="s">
        <v>25</v>
      </c>
      <c r="P308" s="32" t="s">
        <v>26</v>
      </c>
      <c r="Q308" s="32" t="s">
        <v>27</v>
      </c>
      <c r="R308" s="32" t="s">
        <v>56</v>
      </c>
      <c r="S308" s="30">
        <f t="shared" ca="1" si="11"/>
        <v>40470.53652858796</v>
      </c>
      <c r="T308" s="31">
        <f t="shared" ca="1" si="12"/>
        <v>16</v>
      </c>
      <c r="U308" s="32" t="s">
        <v>56</v>
      </c>
      <c r="V308" s="32" t="s">
        <v>56</v>
      </c>
      <c r="W308" s="32" t="s">
        <v>224</v>
      </c>
      <c r="X308" s="32" t="s">
        <v>224</v>
      </c>
      <c r="Y308" s="32" t="s">
        <v>42</v>
      </c>
      <c r="Z308" s="35"/>
      <c r="AA308" s="35"/>
      <c r="AB308" s="32"/>
      <c r="AC308" s="12" t="s">
        <v>2510</v>
      </c>
      <c r="AD308" s="25">
        <v>40212</v>
      </c>
      <c r="AE308" s="25"/>
      <c r="AF308" s="25"/>
      <c r="AG308" s="25"/>
      <c r="AH308" s="11" t="s">
        <v>219</v>
      </c>
    </row>
    <row r="309" spans="1:34" s="37" customFormat="1" ht="12.75" customHeight="1">
      <c r="A309" s="33">
        <v>307</v>
      </c>
      <c r="B309" s="29">
        <v>39973</v>
      </c>
      <c r="C309" s="30">
        <v>39987</v>
      </c>
      <c r="D309" s="30"/>
      <c r="E309" s="38" t="s">
        <v>1163</v>
      </c>
      <c r="F309" s="31"/>
      <c r="G309" s="32" t="s">
        <v>20</v>
      </c>
      <c r="H309" s="33">
        <v>30</v>
      </c>
      <c r="I309" s="32" t="s">
        <v>1164</v>
      </c>
      <c r="J309" s="31"/>
      <c r="K309" s="31" t="s">
        <v>291</v>
      </c>
      <c r="L309" s="32" t="s">
        <v>24</v>
      </c>
      <c r="M309" s="30">
        <v>39987</v>
      </c>
      <c r="N309" s="33">
        <v>2</v>
      </c>
      <c r="O309" s="32" t="s">
        <v>25</v>
      </c>
      <c r="P309" s="32" t="s">
        <v>26</v>
      </c>
      <c r="Q309" s="32" t="s">
        <v>381</v>
      </c>
      <c r="R309" s="32" t="s">
        <v>60</v>
      </c>
      <c r="S309" s="30">
        <f t="shared" ca="1" si="11"/>
        <v>40470.53652858796</v>
      </c>
      <c r="T309" s="31">
        <f t="shared" ca="1" si="12"/>
        <v>16</v>
      </c>
      <c r="U309" s="32" t="s">
        <v>42</v>
      </c>
      <c r="V309" s="32" t="s">
        <v>2729</v>
      </c>
      <c r="W309" s="32" t="s">
        <v>224</v>
      </c>
      <c r="X309" s="32" t="s">
        <v>56</v>
      </c>
      <c r="Y309" s="32" t="s">
        <v>42</v>
      </c>
      <c r="Z309" s="35"/>
      <c r="AA309" s="35"/>
      <c r="AB309" s="32"/>
      <c r="AC309" s="12" t="s">
        <v>785</v>
      </c>
      <c r="AD309" s="25">
        <v>40204</v>
      </c>
      <c r="AE309" s="25"/>
      <c r="AF309" s="25"/>
      <c r="AG309" s="25"/>
      <c r="AH309" s="11" t="s">
        <v>122</v>
      </c>
    </row>
    <row r="310" spans="1:34" s="37" customFormat="1">
      <c r="A310" s="33">
        <v>308</v>
      </c>
      <c r="B310" s="29">
        <v>39973</v>
      </c>
      <c r="C310" s="30">
        <v>39989</v>
      </c>
      <c r="D310" s="30"/>
      <c r="E310" s="38" t="s">
        <v>1165</v>
      </c>
      <c r="F310" s="31"/>
      <c r="G310" s="32" t="s">
        <v>37</v>
      </c>
      <c r="H310" s="33">
        <v>22</v>
      </c>
      <c r="I310" s="32" t="s">
        <v>1166</v>
      </c>
      <c r="J310" s="31" t="s">
        <v>1167</v>
      </c>
      <c r="K310" s="31" t="s">
        <v>291</v>
      </c>
      <c r="L310" s="32" t="s">
        <v>24</v>
      </c>
      <c r="M310" s="30">
        <v>39989</v>
      </c>
      <c r="N310" s="33">
        <v>1</v>
      </c>
      <c r="O310" s="32" t="s">
        <v>40</v>
      </c>
      <c r="P310" s="32" t="s">
        <v>213</v>
      </c>
      <c r="Q310" s="32" t="s">
        <v>27</v>
      </c>
      <c r="R310" s="32" t="s">
        <v>65</v>
      </c>
      <c r="S310" s="30">
        <f t="shared" ca="1" si="11"/>
        <v>40470.53652858796</v>
      </c>
      <c r="T310" s="31">
        <f t="shared" ca="1" si="12"/>
        <v>16</v>
      </c>
      <c r="U310" s="32" t="s">
        <v>42</v>
      </c>
      <c r="V310" s="32" t="s">
        <v>42</v>
      </c>
      <c r="W310" s="32" t="s">
        <v>42</v>
      </c>
      <c r="X310" s="32" t="s">
        <v>42</v>
      </c>
      <c r="Y310" s="32" t="s">
        <v>42</v>
      </c>
      <c r="Z310" s="35"/>
      <c r="AA310" s="35"/>
      <c r="AB310" s="32"/>
      <c r="AC310" s="12" t="s">
        <v>132</v>
      </c>
      <c r="AD310" s="25">
        <v>40359</v>
      </c>
      <c r="AE310" s="25"/>
      <c r="AF310" s="25"/>
      <c r="AG310" s="25"/>
      <c r="AH310" s="25" t="s">
        <v>132</v>
      </c>
    </row>
    <row r="311" spans="1:34" s="37" customFormat="1" ht="12.75" customHeight="1">
      <c r="A311" s="33">
        <v>309</v>
      </c>
      <c r="B311" s="29">
        <v>39973</v>
      </c>
      <c r="C311" s="30">
        <v>39990</v>
      </c>
      <c r="D311" s="30"/>
      <c r="E311" s="38" t="s">
        <v>1168</v>
      </c>
      <c r="F311" s="31"/>
      <c r="G311" s="32" t="s">
        <v>20</v>
      </c>
      <c r="H311" s="33">
        <v>65</v>
      </c>
      <c r="I311" s="32" t="s">
        <v>1169</v>
      </c>
      <c r="J311" s="31" t="s">
        <v>1170</v>
      </c>
      <c r="K311" s="31" t="s">
        <v>71</v>
      </c>
      <c r="L311" s="32" t="s">
        <v>24</v>
      </c>
      <c r="M311" s="30">
        <v>39990</v>
      </c>
      <c r="N311" s="33">
        <v>1</v>
      </c>
      <c r="O311" s="32" t="s">
        <v>25</v>
      </c>
      <c r="P311" s="32" t="s">
        <v>26</v>
      </c>
      <c r="Q311" s="32" t="s">
        <v>27</v>
      </c>
      <c r="R311" s="32" t="s">
        <v>65</v>
      </c>
      <c r="S311" s="30">
        <f t="shared" ca="1" si="11"/>
        <v>40470.53652858796</v>
      </c>
      <c r="T311" s="31">
        <f t="shared" ca="1" si="12"/>
        <v>16</v>
      </c>
      <c r="U311" s="32" t="s">
        <v>42</v>
      </c>
      <c r="V311" s="32" t="s">
        <v>56</v>
      </c>
      <c r="W311" s="32" t="s">
        <v>56</v>
      </c>
      <c r="X311" s="32" t="s">
        <v>56</v>
      </c>
      <c r="Y311" s="32" t="s">
        <v>42</v>
      </c>
      <c r="Z311" s="35"/>
      <c r="AA311" s="35"/>
      <c r="AB311" s="32"/>
      <c r="AC311" s="12" t="s">
        <v>915</v>
      </c>
      <c r="AD311" s="25">
        <v>40181</v>
      </c>
      <c r="AE311" s="25"/>
      <c r="AF311" s="25"/>
      <c r="AG311" s="25"/>
      <c r="AH311" s="11" t="s">
        <v>61</v>
      </c>
    </row>
    <row r="312" spans="1:34" s="37" customFormat="1">
      <c r="A312" s="33">
        <v>310</v>
      </c>
      <c r="B312" s="29">
        <v>39973</v>
      </c>
      <c r="C312" s="30">
        <v>39990</v>
      </c>
      <c r="D312" s="30"/>
      <c r="E312" s="38" t="s">
        <v>1001</v>
      </c>
      <c r="F312" s="31"/>
      <c r="G312" s="32" t="s">
        <v>20</v>
      </c>
      <c r="H312" s="33">
        <v>60</v>
      </c>
      <c r="I312" s="32" t="s">
        <v>1002</v>
      </c>
      <c r="J312" s="31" t="s">
        <v>1003</v>
      </c>
      <c r="K312" s="31" t="s">
        <v>71</v>
      </c>
      <c r="L312" s="32" t="s">
        <v>24</v>
      </c>
      <c r="M312" s="30">
        <v>39990</v>
      </c>
      <c r="N312" s="33">
        <v>1</v>
      </c>
      <c r="O312" s="32" t="s">
        <v>40</v>
      </c>
      <c r="P312" s="32" t="s">
        <v>213</v>
      </c>
      <c r="Q312" s="32" t="s">
        <v>27</v>
      </c>
      <c r="R312" s="32" t="s">
        <v>42</v>
      </c>
      <c r="S312" s="30">
        <f t="shared" ca="1" si="11"/>
        <v>40470.53652858796</v>
      </c>
      <c r="T312" s="31">
        <f t="shared" ca="1" si="12"/>
        <v>16</v>
      </c>
      <c r="U312" s="32" t="s">
        <v>42</v>
      </c>
      <c r="V312" s="32" t="s">
        <v>42</v>
      </c>
      <c r="W312" s="32" t="s">
        <v>42</v>
      </c>
      <c r="X312" s="32" t="s">
        <v>42</v>
      </c>
      <c r="Y312" s="32" t="s">
        <v>42</v>
      </c>
      <c r="Z312" s="35"/>
      <c r="AA312" s="35"/>
      <c r="AB312" s="32"/>
      <c r="AC312" s="12" t="s">
        <v>2510</v>
      </c>
      <c r="AD312" s="25">
        <v>40237</v>
      </c>
      <c r="AE312" s="25"/>
      <c r="AF312" s="25"/>
      <c r="AG312" s="25"/>
      <c r="AH312" s="11" t="s">
        <v>219</v>
      </c>
    </row>
    <row r="313" spans="1:34" s="37" customFormat="1" ht="12.75" customHeight="1">
      <c r="A313" s="33">
        <v>311</v>
      </c>
      <c r="B313" s="29">
        <v>39973</v>
      </c>
      <c r="C313" s="30">
        <v>39990</v>
      </c>
      <c r="D313" s="30"/>
      <c r="E313" s="38" t="s">
        <v>1004</v>
      </c>
      <c r="F313" s="31"/>
      <c r="G313" s="32" t="s">
        <v>20</v>
      </c>
      <c r="H313" s="33">
        <v>30</v>
      </c>
      <c r="I313" s="32" t="s">
        <v>1005</v>
      </c>
      <c r="J313" s="31" t="s">
        <v>1006</v>
      </c>
      <c r="K313" s="31" t="s">
        <v>291</v>
      </c>
      <c r="L313" s="32" t="s">
        <v>24</v>
      </c>
      <c r="M313" s="30">
        <v>39990</v>
      </c>
      <c r="N313" s="33">
        <v>1</v>
      </c>
      <c r="O313" s="32" t="s">
        <v>25</v>
      </c>
      <c r="P313" s="32" t="s">
        <v>26</v>
      </c>
      <c r="Q313" s="32" t="s">
        <v>27</v>
      </c>
      <c r="R313" s="32" t="s">
        <v>56</v>
      </c>
      <c r="S313" s="30">
        <f t="shared" ca="1" si="11"/>
        <v>40470.53652858796</v>
      </c>
      <c r="T313" s="31">
        <f t="shared" ca="1" si="12"/>
        <v>16</v>
      </c>
      <c r="U313" s="32" t="s">
        <v>308</v>
      </c>
      <c r="V313" s="32" t="s">
        <v>42</v>
      </c>
      <c r="W313" s="32" t="s">
        <v>56</v>
      </c>
      <c r="X313" s="32" t="s">
        <v>56</v>
      </c>
      <c r="Y313" s="32" t="s">
        <v>42</v>
      </c>
      <c r="Z313" s="35"/>
      <c r="AA313" s="35"/>
      <c r="AB313" s="32"/>
      <c r="AC313" s="12" t="s">
        <v>2510</v>
      </c>
      <c r="AD313" s="25">
        <v>40426</v>
      </c>
      <c r="AE313" s="25"/>
      <c r="AF313" s="25"/>
      <c r="AG313" s="25"/>
      <c r="AH313" s="11" t="s">
        <v>219</v>
      </c>
    </row>
    <row r="314" spans="1:34" s="37" customFormat="1">
      <c r="A314" s="33">
        <v>312</v>
      </c>
      <c r="B314" s="29">
        <v>39973</v>
      </c>
      <c r="C314" s="30">
        <v>39994</v>
      </c>
      <c r="D314" s="30"/>
      <c r="E314" s="38" t="s">
        <v>1007</v>
      </c>
      <c r="F314" s="31"/>
      <c r="G314" s="32" t="s">
        <v>20</v>
      </c>
      <c r="H314" s="33">
        <v>34</v>
      </c>
      <c r="I314" s="32" t="s">
        <v>1008</v>
      </c>
      <c r="J314" s="31" t="s">
        <v>1009</v>
      </c>
      <c r="K314" s="31" t="s">
        <v>39</v>
      </c>
      <c r="L314" s="32" t="s">
        <v>24</v>
      </c>
      <c r="M314" s="30">
        <v>39994</v>
      </c>
      <c r="N314" s="33">
        <v>1</v>
      </c>
      <c r="O314" s="32" t="s">
        <v>40</v>
      </c>
      <c r="P314" s="32" t="s">
        <v>213</v>
      </c>
      <c r="Q314" s="32" t="s">
        <v>27</v>
      </c>
      <c r="R314" s="32" t="s">
        <v>42</v>
      </c>
      <c r="S314" s="30">
        <f t="shared" ca="1" si="11"/>
        <v>40470.53652858796</v>
      </c>
      <c r="T314" s="31">
        <f t="shared" ca="1" si="12"/>
        <v>16</v>
      </c>
      <c r="U314" s="32" t="s">
        <v>42</v>
      </c>
      <c r="V314" s="32" t="s">
        <v>42</v>
      </c>
      <c r="W314" s="32" t="s">
        <v>42</v>
      </c>
      <c r="X314" s="32" t="s">
        <v>42</v>
      </c>
      <c r="Y314" s="32" t="s">
        <v>42</v>
      </c>
      <c r="Z314" s="35"/>
      <c r="AA314" s="35"/>
      <c r="AB314" s="32"/>
      <c r="AC314" s="12" t="s">
        <v>157</v>
      </c>
      <c r="AD314" s="25"/>
      <c r="AE314" s="25"/>
      <c r="AF314" s="25"/>
      <c r="AG314" s="25"/>
      <c r="AH314" s="11" t="s">
        <v>158</v>
      </c>
    </row>
    <row r="315" spans="1:34" s="37" customFormat="1" ht="12.75" customHeight="1">
      <c r="A315" s="33">
        <v>313</v>
      </c>
      <c r="B315" s="29">
        <v>40003</v>
      </c>
      <c r="C315" s="30">
        <v>39995</v>
      </c>
      <c r="D315" s="30"/>
      <c r="E315" s="38" t="s">
        <v>1010</v>
      </c>
      <c r="F315" s="31"/>
      <c r="G315" s="32" t="s">
        <v>37</v>
      </c>
      <c r="H315" s="33">
        <v>22</v>
      </c>
      <c r="I315" s="32" t="s">
        <v>1011</v>
      </c>
      <c r="J315" s="31" t="s">
        <v>1012</v>
      </c>
      <c r="K315" s="31" t="s">
        <v>106</v>
      </c>
      <c r="L315" s="32" t="s">
        <v>24</v>
      </c>
      <c r="M315" s="30">
        <v>39995</v>
      </c>
      <c r="N315" s="33">
        <v>2</v>
      </c>
      <c r="O315" s="32" t="s">
        <v>25</v>
      </c>
      <c r="P315" s="32" t="s">
        <v>26</v>
      </c>
      <c r="Q315" s="32" t="s">
        <v>381</v>
      </c>
      <c r="R315" s="32" t="s">
        <v>28</v>
      </c>
      <c r="S315" s="30">
        <f t="shared" ca="1" si="11"/>
        <v>40470.53652858796</v>
      </c>
      <c r="T315" s="31">
        <f t="shared" ca="1" si="12"/>
        <v>15</v>
      </c>
      <c r="U315" s="32" t="s">
        <v>42</v>
      </c>
      <c r="V315" s="32" t="s">
        <v>56</v>
      </c>
      <c r="W315" s="32" t="s">
        <v>308</v>
      </c>
      <c r="X315" s="32" t="s">
        <v>308</v>
      </c>
      <c r="Y315" s="32" t="s">
        <v>42</v>
      </c>
      <c r="Z315" s="35"/>
      <c r="AA315" s="35"/>
      <c r="AB315" s="32"/>
      <c r="AC315" s="12" t="s">
        <v>67</v>
      </c>
      <c r="AD315" s="25"/>
      <c r="AE315" s="25"/>
      <c r="AF315" s="25"/>
      <c r="AG315" s="25"/>
      <c r="AH315" s="11" t="s">
        <v>67</v>
      </c>
    </row>
    <row r="316" spans="1:34" s="37" customFormat="1">
      <c r="A316" s="33">
        <v>314</v>
      </c>
      <c r="B316" s="29">
        <v>40003</v>
      </c>
      <c r="C316" s="30">
        <v>39996</v>
      </c>
      <c r="D316" s="30"/>
      <c r="E316" s="38" t="s">
        <v>1013</v>
      </c>
      <c r="F316" s="31"/>
      <c r="G316" s="32" t="s">
        <v>37</v>
      </c>
      <c r="H316" s="33">
        <v>33</v>
      </c>
      <c r="I316" s="32" t="s">
        <v>1014</v>
      </c>
      <c r="J316" s="31" t="s">
        <v>1015</v>
      </c>
      <c r="K316" s="31" t="s">
        <v>39</v>
      </c>
      <c r="L316" s="32" t="s">
        <v>24</v>
      </c>
      <c r="M316" s="30">
        <v>39996</v>
      </c>
      <c r="N316" s="33">
        <v>1</v>
      </c>
      <c r="O316" s="32" t="s">
        <v>40</v>
      </c>
      <c r="P316" s="32" t="s">
        <v>176</v>
      </c>
      <c r="Q316" s="32" t="s">
        <v>27</v>
      </c>
      <c r="R316" s="32" t="s">
        <v>56</v>
      </c>
      <c r="S316" s="30">
        <f t="shared" ca="1" si="11"/>
        <v>40470.53652858796</v>
      </c>
      <c r="T316" s="31">
        <f t="shared" ca="1" si="12"/>
        <v>15</v>
      </c>
      <c r="U316" s="32" t="s">
        <v>42</v>
      </c>
      <c r="V316" s="32" t="s">
        <v>42</v>
      </c>
      <c r="W316" s="32" t="s">
        <v>42</v>
      </c>
      <c r="X316" s="32" t="s">
        <v>42</v>
      </c>
      <c r="Y316" s="32" t="s">
        <v>42</v>
      </c>
      <c r="Z316" s="35"/>
      <c r="AA316" s="35"/>
      <c r="AB316" s="32"/>
      <c r="AC316" s="12" t="s">
        <v>2510</v>
      </c>
      <c r="AD316" s="25">
        <v>40288</v>
      </c>
      <c r="AE316" s="25"/>
      <c r="AF316" s="25"/>
      <c r="AG316" s="25"/>
      <c r="AH316" s="11" t="s">
        <v>219</v>
      </c>
    </row>
    <row r="317" spans="1:34" s="37" customFormat="1" ht="12.75" customHeight="1">
      <c r="A317" s="33">
        <v>315</v>
      </c>
      <c r="B317" s="29">
        <v>40003</v>
      </c>
      <c r="C317" s="30">
        <v>40001</v>
      </c>
      <c r="D317" s="30"/>
      <c r="E317" s="38" t="s">
        <v>1016</v>
      </c>
      <c r="F317" s="31"/>
      <c r="G317" s="32" t="s">
        <v>37</v>
      </c>
      <c r="H317" s="33">
        <v>13</v>
      </c>
      <c r="I317" s="32" t="s">
        <v>1017</v>
      </c>
      <c r="J317" s="31" t="s">
        <v>1018</v>
      </c>
      <c r="K317" s="31" t="s">
        <v>39</v>
      </c>
      <c r="L317" s="32" t="s">
        <v>24</v>
      </c>
      <c r="M317" s="30">
        <v>40001</v>
      </c>
      <c r="N317" s="33">
        <v>1</v>
      </c>
      <c r="O317" s="32" t="s">
        <v>25</v>
      </c>
      <c r="P317" s="32" t="s">
        <v>26</v>
      </c>
      <c r="Q317" s="32" t="s">
        <v>27</v>
      </c>
      <c r="R317" s="32" t="s">
        <v>60</v>
      </c>
      <c r="S317" s="30">
        <f t="shared" ca="1" si="11"/>
        <v>40470.53652858796</v>
      </c>
      <c r="T317" s="31">
        <f t="shared" ca="1" si="12"/>
        <v>15</v>
      </c>
      <c r="U317" s="32" t="s">
        <v>56</v>
      </c>
      <c r="V317" s="32" t="s">
        <v>42</v>
      </c>
      <c r="W317" s="32" t="s">
        <v>308</v>
      </c>
      <c r="X317" s="32" t="s">
        <v>308</v>
      </c>
      <c r="Y317" s="32" t="s">
        <v>42</v>
      </c>
      <c r="Z317" s="35"/>
      <c r="AA317" s="35"/>
      <c r="AB317" s="32"/>
      <c r="AC317" s="12" t="s">
        <v>2510</v>
      </c>
      <c r="AD317" s="25">
        <v>40288</v>
      </c>
      <c r="AE317" s="25"/>
      <c r="AF317" s="25"/>
      <c r="AG317" s="25"/>
      <c r="AH317" s="11" t="s">
        <v>219</v>
      </c>
    </row>
    <row r="318" spans="1:34" s="37" customFormat="1" ht="12.75" customHeight="1">
      <c r="A318" s="33">
        <v>316</v>
      </c>
      <c r="B318" s="29">
        <v>40003</v>
      </c>
      <c r="C318" s="30">
        <v>40001</v>
      </c>
      <c r="D318" s="30"/>
      <c r="E318" s="38" t="s">
        <v>1019</v>
      </c>
      <c r="F318" s="31"/>
      <c r="G318" s="32" t="s">
        <v>37</v>
      </c>
      <c r="H318" s="33">
        <v>35</v>
      </c>
      <c r="I318" s="32" t="s">
        <v>1020</v>
      </c>
      <c r="J318" s="31" t="s">
        <v>1021</v>
      </c>
      <c r="K318" s="31" t="s">
        <v>291</v>
      </c>
      <c r="L318" s="32" t="s">
        <v>24</v>
      </c>
      <c r="M318" s="30">
        <v>40001</v>
      </c>
      <c r="N318" s="33">
        <v>1</v>
      </c>
      <c r="O318" s="32" t="s">
        <v>25</v>
      </c>
      <c r="P318" s="32" t="s">
        <v>26</v>
      </c>
      <c r="Q318" s="32" t="s">
        <v>27</v>
      </c>
      <c r="R318" s="32" t="s">
        <v>28</v>
      </c>
      <c r="S318" s="30">
        <f t="shared" ca="1" si="11"/>
        <v>40470.53652858796</v>
      </c>
      <c r="T318" s="31">
        <f t="shared" ca="1" si="12"/>
        <v>15</v>
      </c>
      <c r="U318" s="32" t="s">
        <v>28</v>
      </c>
      <c r="V318" s="32" t="s">
        <v>42</v>
      </c>
      <c r="W318" s="32" t="s">
        <v>308</v>
      </c>
      <c r="X318" s="32" t="s">
        <v>308</v>
      </c>
      <c r="Y318" s="32" t="s">
        <v>42</v>
      </c>
      <c r="Z318" s="35"/>
      <c r="AA318" s="35"/>
      <c r="AB318" s="32"/>
      <c r="AC318" s="12" t="s">
        <v>785</v>
      </c>
      <c r="AD318" s="25"/>
      <c r="AE318" s="25"/>
      <c r="AF318" s="25"/>
      <c r="AG318" s="25"/>
      <c r="AH318" s="11" t="s">
        <v>122</v>
      </c>
    </row>
    <row r="319" spans="1:34" s="37" customFormat="1" ht="12.75" customHeight="1">
      <c r="A319" s="33">
        <v>317</v>
      </c>
      <c r="B319" s="29">
        <v>40004</v>
      </c>
      <c r="C319" s="30">
        <v>40001</v>
      </c>
      <c r="D319" s="30"/>
      <c r="E319" s="38" t="s">
        <v>1022</v>
      </c>
      <c r="F319" s="31"/>
      <c r="G319" s="32" t="s">
        <v>37</v>
      </c>
      <c r="H319" s="33">
        <v>50</v>
      </c>
      <c r="I319" s="32" t="s">
        <v>1023</v>
      </c>
      <c r="J319" s="31" t="s">
        <v>1024</v>
      </c>
      <c r="K319" s="31" t="s">
        <v>71</v>
      </c>
      <c r="L319" s="32" t="s">
        <v>24</v>
      </c>
      <c r="M319" s="30">
        <v>40001</v>
      </c>
      <c r="N319" s="33">
        <v>2</v>
      </c>
      <c r="O319" s="32" t="s">
        <v>25</v>
      </c>
      <c r="P319" s="32" t="s">
        <v>26</v>
      </c>
      <c r="Q319" s="32" t="s">
        <v>381</v>
      </c>
      <c r="R319" s="32" t="s">
        <v>60</v>
      </c>
      <c r="S319" s="30">
        <f t="shared" ca="1" si="11"/>
        <v>40470.53652858796</v>
      </c>
      <c r="T319" s="31">
        <f t="shared" ca="1" si="12"/>
        <v>15</v>
      </c>
      <c r="U319" s="32" t="s">
        <v>42</v>
      </c>
      <c r="V319" s="32" t="s">
        <v>56</v>
      </c>
      <c r="W319" s="32" t="s">
        <v>224</v>
      </c>
      <c r="X319" s="32" t="s">
        <v>56</v>
      </c>
      <c r="Y319" s="32" t="s">
        <v>42</v>
      </c>
      <c r="Z319" s="35"/>
      <c r="AA319" s="35"/>
      <c r="AB319" s="32"/>
      <c r="AC319" s="12" t="s">
        <v>2530</v>
      </c>
      <c r="AD319" s="25">
        <v>40333</v>
      </c>
      <c r="AE319" s="25"/>
      <c r="AF319" s="25"/>
      <c r="AG319" s="25"/>
      <c r="AH319" s="11" t="s">
        <v>219</v>
      </c>
    </row>
    <row r="320" spans="1:34" s="37" customFormat="1" ht="12.75" customHeight="1">
      <c r="A320" s="33">
        <v>318</v>
      </c>
      <c r="B320" s="29">
        <v>40005</v>
      </c>
      <c r="C320" s="30">
        <v>40003</v>
      </c>
      <c r="D320" s="30"/>
      <c r="E320" s="38" t="s">
        <v>1025</v>
      </c>
      <c r="F320" s="31"/>
      <c r="G320" s="32" t="s">
        <v>37</v>
      </c>
      <c r="H320" s="33">
        <v>14</v>
      </c>
      <c r="I320" s="32" t="s">
        <v>1026</v>
      </c>
      <c r="J320" s="31" t="s">
        <v>1027</v>
      </c>
      <c r="K320" s="31" t="s">
        <v>39</v>
      </c>
      <c r="L320" s="32" t="s">
        <v>24</v>
      </c>
      <c r="M320" s="30">
        <v>40003</v>
      </c>
      <c r="N320" s="33">
        <v>1</v>
      </c>
      <c r="O320" s="32" t="s">
        <v>25</v>
      </c>
      <c r="P320" s="32" t="s">
        <v>26</v>
      </c>
      <c r="Q320" s="32" t="s">
        <v>27</v>
      </c>
      <c r="R320" s="32" t="s">
        <v>28</v>
      </c>
      <c r="S320" s="30">
        <f t="shared" ca="1" si="11"/>
        <v>40470.53652858796</v>
      </c>
      <c r="T320" s="31">
        <f t="shared" ca="1" si="12"/>
        <v>15</v>
      </c>
      <c r="U320" s="32" t="s">
        <v>28</v>
      </c>
      <c r="V320" s="32" t="s">
        <v>42</v>
      </c>
      <c r="W320" s="32" t="s">
        <v>56</v>
      </c>
      <c r="X320" s="32" t="s">
        <v>56</v>
      </c>
      <c r="Y320" s="32" t="s">
        <v>42</v>
      </c>
      <c r="Z320" s="35"/>
      <c r="AA320" s="35"/>
      <c r="AB320" s="32"/>
      <c r="AC320" s="12" t="s">
        <v>61</v>
      </c>
      <c r="AD320" s="25">
        <v>40274</v>
      </c>
      <c r="AE320" s="25"/>
      <c r="AF320" s="25"/>
      <c r="AG320" s="25"/>
      <c r="AH320" s="11" t="s">
        <v>61</v>
      </c>
    </row>
    <row r="321" spans="1:34" s="37" customFormat="1" ht="12.75" customHeight="1">
      <c r="A321" s="33">
        <v>319</v>
      </c>
      <c r="B321" s="29">
        <v>40006</v>
      </c>
      <c r="C321" s="30">
        <v>40004</v>
      </c>
      <c r="D321" s="30"/>
      <c r="E321" s="38" t="s">
        <v>1028</v>
      </c>
      <c r="F321" s="31"/>
      <c r="G321" s="32" t="s">
        <v>20</v>
      </c>
      <c r="H321" s="33">
        <v>40</v>
      </c>
      <c r="I321" s="32" t="s">
        <v>1029</v>
      </c>
      <c r="J321" s="31" t="s">
        <v>1030</v>
      </c>
      <c r="K321" s="31" t="s">
        <v>291</v>
      </c>
      <c r="L321" s="32" t="s">
        <v>24</v>
      </c>
      <c r="M321" s="30">
        <v>40004</v>
      </c>
      <c r="N321" s="33">
        <v>1</v>
      </c>
      <c r="O321" s="32" t="s">
        <v>25</v>
      </c>
      <c r="P321" s="32" t="s">
        <v>26</v>
      </c>
      <c r="Q321" s="32" t="s">
        <v>27</v>
      </c>
      <c r="R321" s="32" t="s">
        <v>28</v>
      </c>
      <c r="S321" s="30">
        <f t="shared" ca="1" si="11"/>
        <v>40470.53652858796</v>
      </c>
      <c r="T321" s="31">
        <f t="shared" ca="1" si="12"/>
        <v>15</v>
      </c>
      <c r="U321" s="32" t="s">
        <v>224</v>
      </c>
      <c r="V321" s="32" t="s">
        <v>42</v>
      </c>
      <c r="W321" s="32" t="s">
        <v>2729</v>
      </c>
      <c r="X321" s="32" t="s">
        <v>224</v>
      </c>
      <c r="Y321" s="32" t="s">
        <v>42</v>
      </c>
      <c r="Z321" s="35"/>
      <c r="AA321" s="35"/>
      <c r="AB321" s="32"/>
      <c r="AC321" s="12" t="s">
        <v>35</v>
      </c>
      <c r="AD321" s="25"/>
      <c r="AE321" s="25"/>
      <c r="AF321" s="25"/>
      <c r="AG321" s="25"/>
      <c r="AH321" s="11" t="s">
        <v>35</v>
      </c>
    </row>
    <row r="322" spans="1:34" s="37" customFormat="1">
      <c r="A322" s="33">
        <v>320</v>
      </c>
      <c r="B322" s="29">
        <v>40007</v>
      </c>
      <c r="C322" s="30">
        <v>40004</v>
      </c>
      <c r="D322" s="30"/>
      <c r="E322" s="38" t="s">
        <v>1031</v>
      </c>
      <c r="F322" s="31"/>
      <c r="G322" s="32" t="s">
        <v>20</v>
      </c>
      <c r="H322" s="33">
        <v>60</v>
      </c>
      <c r="I322" s="32" t="s">
        <v>1032</v>
      </c>
      <c r="J322" s="31" t="s">
        <v>1033</v>
      </c>
      <c r="K322" s="31" t="s">
        <v>71</v>
      </c>
      <c r="L322" s="32" t="s">
        <v>24</v>
      </c>
      <c r="M322" s="30">
        <v>40004</v>
      </c>
      <c r="N322" s="33">
        <v>1</v>
      </c>
      <c r="O322" s="32" t="s">
        <v>40</v>
      </c>
      <c r="P322" s="32" t="s">
        <v>431</v>
      </c>
      <c r="Q322" s="32" t="s">
        <v>27</v>
      </c>
      <c r="R322" s="32" t="s">
        <v>42</v>
      </c>
      <c r="S322" s="30">
        <f t="shared" ref="S322:S385" ca="1" si="13">NOW()</f>
        <v>40470.53652858796</v>
      </c>
      <c r="T322" s="31">
        <f t="shared" ca="1" si="12"/>
        <v>15</v>
      </c>
      <c r="U322" s="32" t="s">
        <v>42</v>
      </c>
      <c r="V322" s="32" t="s">
        <v>42</v>
      </c>
      <c r="W322" s="32" t="s">
        <v>42</v>
      </c>
      <c r="X322" s="32" t="s">
        <v>42</v>
      </c>
      <c r="Y322" s="32" t="s">
        <v>42</v>
      </c>
      <c r="Z322" s="35"/>
      <c r="AA322" s="35"/>
      <c r="AB322" s="32"/>
      <c r="AC322" s="12" t="s">
        <v>158</v>
      </c>
      <c r="AD322" s="25"/>
      <c r="AE322" s="25"/>
      <c r="AF322" s="25"/>
      <c r="AG322" s="25"/>
      <c r="AH322" s="11" t="s">
        <v>158</v>
      </c>
    </row>
    <row r="323" spans="1:34" s="37" customFormat="1">
      <c r="A323" s="33">
        <v>321</v>
      </c>
      <c r="B323" s="29">
        <v>40008</v>
      </c>
      <c r="C323" s="30">
        <v>40008</v>
      </c>
      <c r="D323" s="30"/>
      <c r="E323" s="38" t="s">
        <v>1034</v>
      </c>
      <c r="F323" s="31"/>
      <c r="G323" s="32" t="s">
        <v>37</v>
      </c>
      <c r="H323" s="33">
        <v>24</v>
      </c>
      <c r="I323" s="32" t="s">
        <v>1035</v>
      </c>
      <c r="J323" s="31" t="s">
        <v>1036</v>
      </c>
      <c r="K323" s="31" t="s">
        <v>39</v>
      </c>
      <c r="L323" s="32" t="s">
        <v>24</v>
      </c>
      <c r="M323" s="30">
        <v>40008</v>
      </c>
      <c r="N323" s="33">
        <v>1</v>
      </c>
      <c r="O323" s="32" t="s">
        <v>40</v>
      </c>
      <c r="P323" s="32" t="s">
        <v>72</v>
      </c>
      <c r="Q323" s="32" t="s">
        <v>27</v>
      </c>
      <c r="R323" s="32" t="s">
        <v>56</v>
      </c>
      <c r="S323" s="30">
        <f t="shared" ca="1" si="13"/>
        <v>40470.53652858796</v>
      </c>
      <c r="T323" s="31">
        <f t="shared" ca="1" si="12"/>
        <v>15</v>
      </c>
      <c r="U323" s="32" t="s">
        <v>42</v>
      </c>
      <c r="V323" s="32" t="s">
        <v>42</v>
      </c>
      <c r="W323" s="32" t="s">
        <v>42</v>
      </c>
      <c r="X323" s="32" t="s">
        <v>42</v>
      </c>
      <c r="Y323" s="32" t="s">
        <v>42</v>
      </c>
      <c r="Z323" s="35"/>
      <c r="AA323" s="35"/>
      <c r="AB323" s="32"/>
      <c r="AC323" s="12" t="s">
        <v>2510</v>
      </c>
      <c r="AD323" s="25">
        <v>40267</v>
      </c>
      <c r="AE323" s="25"/>
      <c r="AF323" s="25"/>
      <c r="AG323" s="25"/>
      <c r="AH323" s="11" t="s">
        <v>219</v>
      </c>
    </row>
    <row r="324" spans="1:34" s="37" customFormat="1" ht="12.75" customHeight="1">
      <c r="A324" s="33">
        <v>322</v>
      </c>
      <c r="B324" s="29">
        <v>40009</v>
      </c>
      <c r="C324" s="30">
        <v>40010</v>
      </c>
      <c r="D324" s="30"/>
      <c r="E324" s="38" t="s">
        <v>1037</v>
      </c>
      <c r="F324" s="31"/>
      <c r="G324" s="32" t="s">
        <v>20</v>
      </c>
      <c r="H324" s="33">
        <v>19</v>
      </c>
      <c r="I324" s="32" t="s">
        <v>1038</v>
      </c>
      <c r="J324" s="31" t="s">
        <v>1039</v>
      </c>
      <c r="K324" s="31" t="s">
        <v>291</v>
      </c>
      <c r="L324" s="32" t="s">
        <v>24</v>
      </c>
      <c r="M324" s="30">
        <v>40010</v>
      </c>
      <c r="N324" s="33">
        <v>1</v>
      </c>
      <c r="O324" s="32" t="s">
        <v>25</v>
      </c>
      <c r="P324" s="32" t="s">
        <v>26</v>
      </c>
      <c r="Q324" s="32" t="s">
        <v>27</v>
      </c>
      <c r="R324" s="32" t="s">
        <v>28</v>
      </c>
      <c r="S324" s="30">
        <f t="shared" ca="1" si="13"/>
        <v>40470.53652858796</v>
      </c>
      <c r="T324" s="31">
        <f t="shared" ca="1" si="12"/>
        <v>15</v>
      </c>
      <c r="U324" s="32" t="s">
        <v>56</v>
      </c>
      <c r="V324" s="32" t="s">
        <v>42</v>
      </c>
      <c r="W324" s="32" t="s">
        <v>56</v>
      </c>
      <c r="X324" s="32" t="s">
        <v>56</v>
      </c>
      <c r="Y324" s="32" t="s">
        <v>42</v>
      </c>
      <c r="Z324" s="35"/>
      <c r="AA324" s="35"/>
      <c r="AB324" s="32"/>
      <c r="AC324" s="12" t="s">
        <v>915</v>
      </c>
      <c r="AD324" s="25">
        <v>40289</v>
      </c>
      <c r="AE324" s="25"/>
      <c r="AF324" s="25"/>
      <c r="AG324" s="25"/>
      <c r="AH324" s="11" t="s">
        <v>61</v>
      </c>
    </row>
    <row r="325" spans="1:34" s="37" customFormat="1">
      <c r="A325" s="33">
        <v>323</v>
      </c>
      <c r="B325" s="29">
        <v>40010</v>
      </c>
      <c r="C325" s="30">
        <v>40010</v>
      </c>
      <c r="D325" s="30"/>
      <c r="E325" s="38" t="s">
        <v>1040</v>
      </c>
      <c r="F325" s="31"/>
      <c r="G325" s="32" t="s">
        <v>37</v>
      </c>
      <c r="H325" s="33">
        <v>20</v>
      </c>
      <c r="I325" s="32" t="s">
        <v>1041</v>
      </c>
      <c r="J325" s="31"/>
      <c r="K325" s="31" t="s">
        <v>291</v>
      </c>
      <c r="L325" s="32" t="s">
        <v>24</v>
      </c>
      <c r="M325" s="30">
        <v>40010</v>
      </c>
      <c r="N325" s="33">
        <v>2</v>
      </c>
      <c r="O325" s="32" t="s">
        <v>40</v>
      </c>
      <c r="P325" s="32" t="s">
        <v>72</v>
      </c>
      <c r="Q325" s="32" t="s">
        <v>49</v>
      </c>
      <c r="R325" s="32" t="s">
        <v>56</v>
      </c>
      <c r="S325" s="30">
        <f t="shared" ca="1" si="13"/>
        <v>40470.53652858796</v>
      </c>
      <c r="T325" s="31">
        <f t="shared" ca="1" si="12"/>
        <v>15</v>
      </c>
      <c r="U325" s="32" t="s">
        <v>42</v>
      </c>
      <c r="V325" s="32" t="s">
        <v>42</v>
      </c>
      <c r="W325" s="32" t="s">
        <v>42</v>
      </c>
      <c r="X325" s="32" t="s">
        <v>42</v>
      </c>
      <c r="Y325" s="32" t="s">
        <v>42</v>
      </c>
      <c r="Z325" s="35"/>
      <c r="AA325" s="35"/>
      <c r="AB325" s="32"/>
      <c r="AC325" s="12" t="s">
        <v>2531</v>
      </c>
      <c r="AD325" s="25">
        <v>40287</v>
      </c>
      <c r="AE325" s="25"/>
      <c r="AF325" s="25"/>
      <c r="AG325" s="25"/>
      <c r="AH325" s="11" t="s">
        <v>367</v>
      </c>
    </row>
    <row r="326" spans="1:34" s="37" customFormat="1" ht="12.75" customHeight="1">
      <c r="A326" s="33">
        <v>324</v>
      </c>
      <c r="B326" s="29">
        <v>40011</v>
      </c>
      <c r="C326" s="30">
        <v>40011</v>
      </c>
      <c r="D326" s="30"/>
      <c r="E326" s="38" t="s">
        <v>1042</v>
      </c>
      <c r="F326" s="31"/>
      <c r="G326" s="32" t="s">
        <v>37</v>
      </c>
      <c r="H326" s="33">
        <v>15</v>
      </c>
      <c r="I326" s="32" t="s">
        <v>1043</v>
      </c>
      <c r="J326" s="31" t="s">
        <v>1044</v>
      </c>
      <c r="K326" s="31" t="s">
        <v>39</v>
      </c>
      <c r="L326" s="32" t="s">
        <v>24</v>
      </c>
      <c r="M326" s="30">
        <v>40011</v>
      </c>
      <c r="N326" s="33">
        <v>1</v>
      </c>
      <c r="O326" s="32" t="s">
        <v>25</v>
      </c>
      <c r="P326" s="32" t="s">
        <v>26</v>
      </c>
      <c r="Q326" s="32" t="s">
        <v>27</v>
      </c>
      <c r="R326" s="32" t="s">
        <v>60</v>
      </c>
      <c r="S326" s="30">
        <f t="shared" ca="1" si="13"/>
        <v>40470.53652858796</v>
      </c>
      <c r="T326" s="31">
        <f t="shared" ca="1" si="12"/>
        <v>15</v>
      </c>
      <c r="U326" s="32" t="s">
        <v>56</v>
      </c>
      <c r="V326" s="32" t="s">
        <v>42</v>
      </c>
      <c r="W326" s="32" t="s">
        <v>224</v>
      </c>
      <c r="X326" s="32" t="s">
        <v>224</v>
      </c>
      <c r="Y326" s="32" t="s">
        <v>42</v>
      </c>
      <c r="Z326" s="35"/>
      <c r="AA326" s="35"/>
      <c r="AB326" s="32"/>
      <c r="AC326" s="12" t="s">
        <v>2510</v>
      </c>
      <c r="AD326" s="25">
        <v>40254</v>
      </c>
      <c r="AE326" s="25"/>
      <c r="AF326" s="25"/>
      <c r="AG326" s="25"/>
      <c r="AH326" s="11" t="s">
        <v>219</v>
      </c>
    </row>
    <row r="327" spans="1:34" s="37" customFormat="1" ht="12.75" customHeight="1">
      <c r="A327" s="33">
        <v>325</v>
      </c>
      <c r="B327" s="29">
        <v>40012</v>
      </c>
      <c r="C327" s="30">
        <v>40011</v>
      </c>
      <c r="D327" s="30"/>
      <c r="E327" s="38" t="s">
        <v>1045</v>
      </c>
      <c r="F327" s="31"/>
      <c r="G327" s="32" t="s">
        <v>37</v>
      </c>
      <c r="H327" s="33">
        <v>17</v>
      </c>
      <c r="I327" s="32" t="s">
        <v>1046</v>
      </c>
      <c r="J327" s="31" t="s">
        <v>1047</v>
      </c>
      <c r="K327" s="31" t="s">
        <v>106</v>
      </c>
      <c r="L327" s="32" t="s">
        <v>24</v>
      </c>
      <c r="M327" s="30">
        <v>40011</v>
      </c>
      <c r="N327" s="33">
        <v>2</v>
      </c>
      <c r="O327" s="32" t="s">
        <v>25</v>
      </c>
      <c r="P327" s="32" t="s">
        <v>26</v>
      </c>
      <c r="Q327" s="32" t="s">
        <v>49</v>
      </c>
      <c r="R327" s="32" t="s">
        <v>60</v>
      </c>
      <c r="S327" s="30">
        <f t="shared" ca="1" si="13"/>
        <v>40470.53652858796</v>
      </c>
      <c r="T327" s="31">
        <f t="shared" ca="1" si="12"/>
        <v>15</v>
      </c>
      <c r="U327" s="32" t="s">
        <v>42</v>
      </c>
      <c r="V327" s="32" t="s">
        <v>224</v>
      </c>
      <c r="W327" s="32" t="s">
        <v>224</v>
      </c>
      <c r="X327" s="32" t="s">
        <v>224</v>
      </c>
      <c r="Y327" s="32" t="s">
        <v>42</v>
      </c>
      <c r="Z327" s="35"/>
      <c r="AA327" s="35"/>
      <c r="AB327" s="32"/>
      <c r="AC327" s="12" t="s">
        <v>158</v>
      </c>
      <c r="AD327" s="25">
        <v>40188</v>
      </c>
      <c r="AE327" s="25"/>
      <c r="AF327" s="25"/>
      <c r="AG327" s="25"/>
      <c r="AH327" s="11" t="s">
        <v>158</v>
      </c>
    </row>
    <row r="328" spans="1:34" s="37" customFormat="1" ht="12.75" customHeight="1">
      <c r="A328" s="33">
        <v>326</v>
      </c>
      <c r="B328" s="29">
        <v>40013</v>
      </c>
      <c r="C328" s="30">
        <v>40015</v>
      </c>
      <c r="D328" s="30"/>
      <c r="E328" s="38" t="s">
        <v>1048</v>
      </c>
      <c r="F328" s="31"/>
      <c r="G328" s="32" t="s">
        <v>20</v>
      </c>
      <c r="H328" s="33">
        <v>60</v>
      </c>
      <c r="I328" s="32" t="s">
        <v>1049</v>
      </c>
      <c r="J328" s="31"/>
      <c r="K328" s="31" t="s">
        <v>291</v>
      </c>
      <c r="L328" s="32" t="s">
        <v>24</v>
      </c>
      <c r="M328" s="30">
        <v>40015</v>
      </c>
      <c r="N328" s="33">
        <v>2</v>
      </c>
      <c r="O328" s="32" t="s">
        <v>25</v>
      </c>
      <c r="P328" s="32" t="s">
        <v>26</v>
      </c>
      <c r="Q328" s="32" t="s">
        <v>381</v>
      </c>
      <c r="R328" s="32" t="s">
        <v>65</v>
      </c>
      <c r="S328" s="30">
        <f t="shared" ca="1" si="13"/>
        <v>40470.53652858796</v>
      </c>
      <c r="T328" s="31">
        <f t="shared" ca="1" si="12"/>
        <v>15</v>
      </c>
      <c r="U328" s="32" t="s">
        <v>42</v>
      </c>
      <c r="V328" s="32" t="s">
        <v>224</v>
      </c>
      <c r="W328" s="32" t="s">
        <v>224</v>
      </c>
      <c r="X328" s="32" t="s">
        <v>224</v>
      </c>
      <c r="Y328" s="32" t="s">
        <v>42</v>
      </c>
      <c r="Z328" s="35"/>
      <c r="AA328" s="35"/>
      <c r="AB328" s="32"/>
      <c r="AC328" s="12" t="s">
        <v>158</v>
      </c>
      <c r="AD328" s="25"/>
      <c r="AE328" s="25"/>
      <c r="AF328" s="25"/>
      <c r="AG328" s="25"/>
      <c r="AH328" s="11" t="s">
        <v>158</v>
      </c>
    </row>
    <row r="329" spans="1:34" s="37" customFormat="1" ht="12.75" customHeight="1">
      <c r="A329" s="33">
        <v>327</v>
      </c>
      <c r="B329" s="29">
        <v>40014</v>
      </c>
      <c r="C329" s="30">
        <v>40024</v>
      </c>
      <c r="D329" s="30"/>
      <c r="E329" s="38" t="s">
        <v>1050</v>
      </c>
      <c r="F329" s="31"/>
      <c r="G329" s="32" t="s">
        <v>37</v>
      </c>
      <c r="H329" s="33">
        <v>15</v>
      </c>
      <c r="I329" s="32" t="s">
        <v>1051</v>
      </c>
      <c r="J329" s="31"/>
      <c r="K329" s="31" t="s">
        <v>39</v>
      </c>
      <c r="L329" s="32" t="s">
        <v>24</v>
      </c>
      <c r="M329" s="30">
        <v>40024</v>
      </c>
      <c r="N329" s="33">
        <v>1</v>
      </c>
      <c r="O329" s="32" t="s">
        <v>25</v>
      </c>
      <c r="P329" s="32" t="s">
        <v>26</v>
      </c>
      <c r="Q329" s="32" t="s">
        <v>27</v>
      </c>
      <c r="R329" s="32" t="s">
        <v>56</v>
      </c>
      <c r="S329" s="30">
        <f t="shared" ca="1" si="13"/>
        <v>40470.53652858796</v>
      </c>
      <c r="T329" s="31">
        <f t="shared" ca="1" si="12"/>
        <v>15</v>
      </c>
      <c r="U329" s="32" t="s">
        <v>56</v>
      </c>
      <c r="V329" s="32" t="s">
        <v>42</v>
      </c>
      <c r="W329" s="32" t="s">
        <v>224</v>
      </c>
      <c r="X329" s="32" t="s">
        <v>224</v>
      </c>
      <c r="Y329" s="32" t="s">
        <v>42</v>
      </c>
      <c r="Z329" s="35"/>
      <c r="AA329" s="35"/>
      <c r="AB329" s="32"/>
      <c r="AC329" s="12" t="s">
        <v>2510</v>
      </c>
      <c r="AD329" s="25">
        <v>40182</v>
      </c>
      <c r="AE329" s="25"/>
      <c r="AF329" s="25"/>
      <c r="AG329" s="25"/>
      <c r="AH329" s="11" t="s">
        <v>219</v>
      </c>
    </row>
    <row r="330" spans="1:34" s="37" customFormat="1" ht="12.75" customHeight="1">
      <c r="A330" s="33">
        <v>328</v>
      </c>
      <c r="B330" s="29">
        <v>40015</v>
      </c>
      <c r="C330" s="30">
        <v>40024</v>
      </c>
      <c r="D330" s="30"/>
      <c r="E330" s="38" t="s">
        <v>1052</v>
      </c>
      <c r="F330" s="31"/>
      <c r="G330" s="32" t="s">
        <v>20</v>
      </c>
      <c r="H330" s="33">
        <v>32</v>
      </c>
      <c r="I330" s="32" t="s">
        <v>1053</v>
      </c>
      <c r="J330" s="31"/>
      <c r="K330" s="31" t="s">
        <v>291</v>
      </c>
      <c r="L330" s="32" t="s">
        <v>24</v>
      </c>
      <c r="M330" s="30">
        <v>40024</v>
      </c>
      <c r="N330" s="33">
        <v>2</v>
      </c>
      <c r="O330" s="32" t="s">
        <v>25</v>
      </c>
      <c r="P330" s="32" t="s">
        <v>26</v>
      </c>
      <c r="Q330" s="32" t="s">
        <v>407</v>
      </c>
      <c r="R330" s="32" t="s">
        <v>56</v>
      </c>
      <c r="S330" s="30">
        <f t="shared" ca="1" si="13"/>
        <v>40470.53652858796</v>
      </c>
      <c r="T330" s="31">
        <f t="shared" ca="1" si="12"/>
        <v>15</v>
      </c>
      <c r="U330" s="32" t="s">
        <v>224</v>
      </c>
      <c r="V330" s="32" t="s">
        <v>42</v>
      </c>
      <c r="W330" s="32" t="s">
        <v>224</v>
      </c>
      <c r="X330" s="32" t="s">
        <v>224</v>
      </c>
      <c r="Y330" s="32" t="s">
        <v>42</v>
      </c>
      <c r="Z330" s="35"/>
      <c r="AA330" s="35"/>
      <c r="AB330" s="32"/>
      <c r="AC330" s="12" t="s">
        <v>2532</v>
      </c>
      <c r="AD330" s="25" t="s">
        <v>2538</v>
      </c>
      <c r="AE330" s="25"/>
      <c r="AF330" s="25"/>
      <c r="AG330" s="25"/>
      <c r="AH330" s="11" t="s">
        <v>35</v>
      </c>
    </row>
    <row r="331" spans="1:34" s="37" customFormat="1">
      <c r="A331" s="33">
        <v>329</v>
      </c>
      <c r="B331" s="29">
        <v>40016</v>
      </c>
      <c r="C331" s="30">
        <v>40024</v>
      </c>
      <c r="D331" s="30"/>
      <c r="E331" s="38" t="s">
        <v>1054</v>
      </c>
      <c r="F331" s="31"/>
      <c r="G331" s="32" t="s">
        <v>20</v>
      </c>
      <c r="H331" s="33">
        <v>22</v>
      </c>
      <c r="I331" s="32" t="s">
        <v>1055</v>
      </c>
      <c r="J331" s="31" t="s">
        <v>1056</v>
      </c>
      <c r="K331" s="31" t="s">
        <v>291</v>
      </c>
      <c r="L331" s="32" t="s">
        <v>24</v>
      </c>
      <c r="M331" s="30">
        <v>40024</v>
      </c>
      <c r="N331" s="33">
        <v>1</v>
      </c>
      <c r="O331" s="32" t="s">
        <v>40</v>
      </c>
      <c r="P331" s="32" t="s">
        <v>72</v>
      </c>
      <c r="Q331" s="32" t="s">
        <v>27</v>
      </c>
      <c r="R331" s="32" t="s">
        <v>56</v>
      </c>
      <c r="S331" s="30">
        <f t="shared" ca="1" si="13"/>
        <v>40470.53652858796</v>
      </c>
      <c r="T331" s="31">
        <f t="shared" ca="1" si="12"/>
        <v>15</v>
      </c>
      <c r="U331" s="32" t="s">
        <v>42</v>
      </c>
      <c r="V331" s="32" t="s">
        <v>42</v>
      </c>
      <c r="W331" s="32" t="s">
        <v>42</v>
      </c>
      <c r="X331" s="32" t="s">
        <v>42</v>
      </c>
      <c r="Y331" s="32" t="s">
        <v>42</v>
      </c>
      <c r="Z331" s="35"/>
      <c r="AA331" s="35"/>
      <c r="AB331" s="32"/>
      <c r="AC331" s="12" t="s">
        <v>2510</v>
      </c>
      <c r="AD331" s="25">
        <v>40267</v>
      </c>
      <c r="AE331" s="25"/>
      <c r="AF331" s="25"/>
      <c r="AG331" s="25"/>
      <c r="AH331" s="11" t="s">
        <v>219</v>
      </c>
    </row>
    <row r="332" spans="1:34" s="37" customFormat="1">
      <c r="A332" s="33">
        <v>330</v>
      </c>
      <c r="B332" s="29">
        <v>40017</v>
      </c>
      <c r="C332" s="30">
        <v>40024</v>
      </c>
      <c r="D332" s="30"/>
      <c r="E332" s="38" t="s">
        <v>1057</v>
      </c>
      <c r="F332" s="31"/>
      <c r="G332" s="32" t="s">
        <v>37</v>
      </c>
      <c r="H332" s="33">
        <v>62</v>
      </c>
      <c r="I332" s="32" t="s">
        <v>1058</v>
      </c>
      <c r="J332" s="31" t="s">
        <v>1059</v>
      </c>
      <c r="K332" s="31" t="s">
        <v>71</v>
      </c>
      <c r="L332" s="32" t="s">
        <v>24</v>
      </c>
      <c r="M332" s="30">
        <v>40024</v>
      </c>
      <c r="N332" s="33">
        <v>2</v>
      </c>
      <c r="O332" s="32" t="s">
        <v>40</v>
      </c>
      <c r="P332" s="32" t="s">
        <v>176</v>
      </c>
      <c r="Q332" s="32" t="s">
        <v>381</v>
      </c>
      <c r="R332" s="32" t="s">
        <v>42</v>
      </c>
      <c r="S332" s="30">
        <f t="shared" ca="1" si="13"/>
        <v>40470.53652858796</v>
      </c>
      <c r="T332" s="31">
        <f t="shared" ca="1" si="12"/>
        <v>15</v>
      </c>
      <c r="U332" s="32" t="s">
        <v>42</v>
      </c>
      <c r="V332" s="32" t="s">
        <v>42</v>
      </c>
      <c r="W332" s="32" t="s">
        <v>42</v>
      </c>
      <c r="X332" s="32" t="s">
        <v>42</v>
      </c>
      <c r="Y332" s="32" t="s">
        <v>42</v>
      </c>
      <c r="Z332" s="35"/>
      <c r="AA332" s="35"/>
      <c r="AB332" s="32"/>
      <c r="AC332" s="12" t="s">
        <v>2510</v>
      </c>
      <c r="AD332" s="25">
        <v>40298</v>
      </c>
      <c r="AE332" s="25"/>
      <c r="AF332" s="25"/>
      <c r="AG332" s="25"/>
      <c r="AH332" s="11" t="s">
        <v>219</v>
      </c>
    </row>
    <row r="333" spans="1:34" s="37" customFormat="1">
      <c r="A333" s="33">
        <v>331</v>
      </c>
      <c r="B333" s="29">
        <v>40018</v>
      </c>
      <c r="C333" s="30">
        <v>40025</v>
      </c>
      <c r="D333" s="30"/>
      <c r="E333" s="38" t="s">
        <v>1060</v>
      </c>
      <c r="F333" s="31"/>
      <c r="G333" s="32" t="s">
        <v>37</v>
      </c>
      <c r="H333" s="33">
        <v>22</v>
      </c>
      <c r="I333" s="32" t="s">
        <v>1061</v>
      </c>
      <c r="J333" s="31" t="s">
        <v>1062</v>
      </c>
      <c r="K333" s="31" t="s">
        <v>291</v>
      </c>
      <c r="L333" s="32" t="s">
        <v>24</v>
      </c>
      <c r="M333" s="30">
        <v>40025</v>
      </c>
      <c r="N333" s="33">
        <v>1</v>
      </c>
      <c r="O333" s="32" t="s">
        <v>40</v>
      </c>
      <c r="P333" s="32" t="s">
        <v>176</v>
      </c>
      <c r="Q333" s="32" t="s">
        <v>27</v>
      </c>
      <c r="R333" s="32" t="s">
        <v>42</v>
      </c>
      <c r="S333" s="30">
        <f t="shared" ca="1" si="13"/>
        <v>40470.53652858796</v>
      </c>
      <c r="T333" s="31">
        <f t="shared" ca="1" si="12"/>
        <v>15</v>
      </c>
      <c r="U333" s="32" t="s">
        <v>42</v>
      </c>
      <c r="V333" s="32" t="s">
        <v>42</v>
      </c>
      <c r="W333" s="32" t="s">
        <v>42</v>
      </c>
      <c r="X333" s="32" t="s">
        <v>42</v>
      </c>
      <c r="Y333" s="32" t="s">
        <v>42</v>
      </c>
      <c r="Z333" s="35"/>
      <c r="AA333" s="35"/>
      <c r="AB333" s="32"/>
      <c r="AC333" s="12" t="s">
        <v>2510</v>
      </c>
      <c r="AD333" s="25">
        <v>40313</v>
      </c>
      <c r="AE333" s="25"/>
      <c r="AF333" s="25"/>
      <c r="AG333" s="25"/>
      <c r="AH333" s="11" t="s">
        <v>219</v>
      </c>
    </row>
    <row r="334" spans="1:34">
      <c r="A334" s="1">
        <v>332</v>
      </c>
      <c r="B334" s="14">
        <v>40034</v>
      </c>
      <c r="C334" s="15">
        <v>40026</v>
      </c>
      <c r="E334" s="8" t="s">
        <v>1063</v>
      </c>
      <c r="G334" s="11" t="s">
        <v>37</v>
      </c>
      <c r="H334" s="1">
        <v>15</v>
      </c>
      <c r="I334" s="11" t="s">
        <v>1099</v>
      </c>
      <c r="J334" s="8" t="s">
        <v>857</v>
      </c>
      <c r="K334" s="8" t="s">
        <v>106</v>
      </c>
      <c r="L334" s="11" t="s">
        <v>24</v>
      </c>
      <c r="M334" s="15">
        <v>40026</v>
      </c>
      <c r="N334" s="1">
        <v>2</v>
      </c>
      <c r="O334" s="11" t="s">
        <v>40</v>
      </c>
      <c r="P334" s="25" t="s">
        <v>2749</v>
      </c>
      <c r="Q334" s="11" t="s">
        <v>477</v>
      </c>
      <c r="R334" s="25" t="s">
        <v>56</v>
      </c>
      <c r="S334" s="15">
        <f t="shared" ca="1" si="13"/>
        <v>40470.53652858796</v>
      </c>
      <c r="T334" s="8">
        <f t="shared" ref="T334:T397" ca="1" si="14">(YEAR(S334)-YEAR(M334))*12+MONTH(S334)-MONTH(M334)</f>
        <v>14</v>
      </c>
      <c r="U334" s="25" t="s">
        <v>42</v>
      </c>
      <c r="V334" s="25" t="s">
        <v>42</v>
      </c>
      <c r="W334" s="25" t="s">
        <v>42</v>
      </c>
      <c r="X334" s="25" t="s">
        <v>42</v>
      </c>
      <c r="Y334" s="32" t="s">
        <v>42</v>
      </c>
      <c r="AC334" s="12" t="s">
        <v>2510</v>
      </c>
      <c r="AD334" s="25">
        <v>40360</v>
      </c>
      <c r="AH334" s="11" t="s">
        <v>44</v>
      </c>
    </row>
    <row r="335" spans="1:34" s="37" customFormat="1">
      <c r="A335" s="33">
        <v>333</v>
      </c>
      <c r="B335" s="29">
        <v>40035</v>
      </c>
      <c r="C335" s="30">
        <v>40028</v>
      </c>
      <c r="D335" s="30"/>
      <c r="E335" s="38" t="s">
        <v>1100</v>
      </c>
      <c r="F335" s="31"/>
      <c r="G335" s="32" t="s">
        <v>20</v>
      </c>
      <c r="H335" s="33">
        <v>37</v>
      </c>
      <c r="I335" s="32" t="s">
        <v>1101</v>
      </c>
      <c r="J335" s="31" t="s">
        <v>1102</v>
      </c>
      <c r="K335" s="31" t="s">
        <v>48</v>
      </c>
      <c r="L335" s="32" t="s">
        <v>24</v>
      </c>
      <c r="M335" s="30">
        <v>40028</v>
      </c>
      <c r="N335" s="33">
        <v>1</v>
      </c>
      <c r="O335" s="32" t="s">
        <v>40</v>
      </c>
      <c r="P335" s="32" t="s">
        <v>109</v>
      </c>
      <c r="Q335" s="32" t="s">
        <v>27</v>
      </c>
      <c r="R335" s="32" t="s">
        <v>56</v>
      </c>
      <c r="S335" s="30">
        <f t="shared" ca="1" si="13"/>
        <v>40470.53652858796</v>
      </c>
      <c r="T335" s="31">
        <f t="shared" ca="1" si="14"/>
        <v>14</v>
      </c>
      <c r="U335" s="32" t="s">
        <v>42</v>
      </c>
      <c r="V335" s="32" t="s">
        <v>42</v>
      </c>
      <c r="W335" s="32" t="s">
        <v>42</v>
      </c>
      <c r="X335" s="32" t="s">
        <v>42</v>
      </c>
      <c r="Y335" s="32" t="s">
        <v>42</v>
      </c>
      <c r="Z335" s="35"/>
      <c r="AA335" s="35"/>
      <c r="AB335" s="32"/>
      <c r="AC335" s="36" t="s">
        <v>2510</v>
      </c>
      <c r="AD335" s="32">
        <v>40295</v>
      </c>
      <c r="AE335" s="32"/>
      <c r="AF335" s="32"/>
      <c r="AG335" s="32"/>
      <c r="AH335" s="32" t="s">
        <v>219</v>
      </c>
    </row>
    <row r="336" spans="1:34" s="37" customFormat="1" ht="15" customHeight="1">
      <c r="A336" s="33">
        <v>334</v>
      </c>
      <c r="B336" s="29">
        <v>40036</v>
      </c>
      <c r="C336" s="30">
        <v>40028</v>
      </c>
      <c r="D336" s="30"/>
      <c r="E336" s="38" t="s">
        <v>1103</v>
      </c>
      <c r="F336" s="31"/>
      <c r="G336" s="32" t="s">
        <v>20</v>
      </c>
      <c r="H336" s="33">
        <v>21</v>
      </c>
      <c r="I336" s="32" t="s">
        <v>1104</v>
      </c>
      <c r="J336" s="31" t="s">
        <v>1105</v>
      </c>
      <c r="K336" s="31" t="s">
        <v>291</v>
      </c>
      <c r="L336" s="32" t="s">
        <v>24</v>
      </c>
      <c r="M336" s="30">
        <v>40028</v>
      </c>
      <c r="N336" s="33">
        <v>1</v>
      </c>
      <c r="O336" s="32" t="s">
        <v>25</v>
      </c>
      <c r="P336" s="32" t="s">
        <v>26</v>
      </c>
      <c r="Q336" s="32" t="s">
        <v>27</v>
      </c>
      <c r="R336" s="32" t="s">
        <v>60</v>
      </c>
      <c r="S336" s="30">
        <f t="shared" ca="1" si="13"/>
        <v>40470.53652858796</v>
      </c>
      <c r="T336" s="31">
        <f t="shared" ca="1" si="14"/>
        <v>14</v>
      </c>
      <c r="U336" s="32" t="s">
        <v>2731</v>
      </c>
      <c r="V336" s="32" t="s">
        <v>56</v>
      </c>
      <c r="W336" s="32" t="s">
        <v>56</v>
      </c>
      <c r="X336" s="32" t="s">
        <v>224</v>
      </c>
      <c r="Y336" s="32" t="s">
        <v>42</v>
      </c>
      <c r="Z336" s="35"/>
      <c r="AA336" s="35"/>
      <c r="AB336" s="32"/>
      <c r="AC336" s="12" t="s">
        <v>915</v>
      </c>
      <c r="AD336" s="25">
        <v>40281</v>
      </c>
      <c r="AE336" s="25"/>
      <c r="AF336" s="25"/>
      <c r="AG336" s="25"/>
      <c r="AH336" s="11" t="s">
        <v>61</v>
      </c>
    </row>
    <row r="337" spans="1:34" s="37" customFormat="1" ht="12.75" customHeight="1">
      <c r="A337" s="33">
        <v>335</v>
      </c>
      <c r="B337" s="29">
        <v>40037</v>
      </c>
      <c r="C337" s="30">
        <v>40029</v>
      </c>
      <c r="D337" s="30"/>
      <c r="E337" s="38" t="s">
        <v>1106</v>
      </c>
      <c r="F337" s="31"/>
      <c r="G337" s="32" t="s">
        <v>20</v>
      </c>
      <c r="H337" s="33">
        <v>50</v>
      </c>
      <c r="I337" s="32" t="s">
        <v>1107</v>
      </c>
      <c r="J337" s="31" t="s">
        <v>1108</v>
      </c>
      <c r="K337" s="31" t="s">
        <v>291</v>
      </c>
      <c r="L337" s="32" t="s">
        <v>24</v>
      </c>
      <c r="M337" s="30">
        <v>40029</v>
      </c>
      <c r="N337" s="33">
        <v>1</v>
      </c>
      <c r="O337" s="32" t="s">
        <v>25</v>
      </c>
      <c r="P337" s="32" t="s">
        <v>26</v>
      </c>
      <c r="Q337" s="32" t="s">
        <v>27</v>
      </c>
      <c r="R337" s="32" t="s">
        <v>60</v>
      </c>
      <c r="S337" s="30">
        <f t="shared" ca="1" si="13"/>
        <v>40470.53652858796</v>
      </c>
      <c r="T337" s="31">
        <f t="shared" ca="1" si="14"/>
        <v>14</v>
      </c>
      <c r="U337" s="32" t="s">
        <v>56</v>
      </c>
      <c r="V337" s="32" t="s">
        <v>2729</v>
      </c>
      <c r="W337" s="32" t="s">
        <v>224</v>
      </c>
      <c r="X337" s="32" t="s">
        <v>224</v>
      </c>
      <c r="Y337" s="32" t="s">
        <v>42</v>
      </c>
      <c r="Z337" s="35"/>
      <c r="AA337" s="35"/>
      <c r="AB337" s="32"/>
      <c r="AC337" s="12" t="s">
        <v>785</v>
      </c>
      <c r="AD337" s="25">
        <v>40221</v>
      </c>
      <c r="AE337" s="25"/>
      <c r="AF337" s="25"/>
      <c r="AG337" s="25"/>
      <c r="AH337" s="11" t="s">
        <v>122</v>
      </c>
    </row>
    <row r="338" spans="1:34" s="37" customFormat="1" ht="12.75" customHeight="1">
      <c r="A338" s="33">
        <v>336</v>
      </c>
      <c r="B338" s="29">
        <v>40038</v>
      </c>
      <c r="C338" s="30">
        <v>40029</v>
      </c>
      <c r="D338" s="30"/>
      <c r="E338" s="38" t="s">
        <v>1109</v>
      </c>
      <c r="F338" s="31"/>
      <c r="G338" s="32" t="s">
        <v>37</v>
      </c>
      <c r="H338" s="33">
        <v>30</v>
      </c>
      <c r="I338" s="32" t="s">
        <v>1110</v>
      </c>
      <c r="J338" s="31"/>
      <c r="K338" s="31" t="s">
        <v>206</v>
      </c>
      <c r="L338" s="32" t="s">
        <v>24</v>
      </c>
      <c r="M338" s="30">
        <v>40029</v>
      </c>
      <c r="N338" s="33">
        <v>2</v>
      </c>
      <c r="O338" s="32" t="s">
        <v>25</v>
      </c>
      <c r="P338" s="32" t="s">
        <v>26</v>
      </c>
      <c r="Q338" s="32" t="s">
        <v>49</v>
      </c>
      <c r="R338" s="32" t="s">
        <v>28</v>
      </c>
      <c r="S338" s="30">
        <f t="shared" ca="1" si="13"/>
        <v>40470.53652858796</v>
      </c>
      <c r="T338" s="31">
        <f t="shared" ca="1" si="14"/>
        <v>14</v>
      </c>
      <c r="U338" s="32" t="s">
        <v>42</v>
      </c>
      <c r="V338" s="32" t="s">
        <v>224</v>
      </c>
      <c r="W338" s="32" t="s">
        <v>224</v>
      </c>
      <c r="X338" s="32" t="s">
        <v>224</v>
      </c>
      <c r="Y338" s="32" t="s">
        <v>42</v>
      </c>
      <c r="Z338" s="35"/>
      <c r="AA338" s="35"/>
      <c r="AB338" s="32"/>
      <c r="AC338" s="12" t="s">
        <v>785</v>
      </c>
      <c r="AD338" s="25">
        <v>40410</v>
      </c>
      <c r="AE338" s="25"/>
      <c r="AF338" s="25"/>
      <c r="AG338" s="25"/>
      <c r="AH338" s="11" t="s">
        <v>122</v>
      </c>
    </row>
    <row r="339" spans="1:34" s="37" customFormat="1">
      <c r="A339" s="33">
        <v>337</v>
      </c>
      <c r="B339" s="29">
        <v>40039</v>
      </c>
      <c r="C339" s="30">
        <v>40029</v>
      </c>
      <c r="D339" s="30"/>
      <c r="E339" s="38" t="s">
        <v>1111</v>
      </c>
      <c r="F339" s="31"/>
      <c r="G339" s="32" t="s">
        <v>20</v>
      </c>
      <c r="H339" s="33">
        <v>32</v>
      </c>
      <c r="I339" s="32" t="s">
        <v>1112</v>
      </c>
      <c r="J339" s="31" t="s">
        <v>1113</v>
      </c>
      <c r="K339" s="31" t="s">
        <v>48</v>
      </c>
      <c r="L339" s="32" t="s">
        <v>24</v>
      </c>
      <c r="M339" s="30">
        <v>40029</v>
      </c>
      <c r="N339" s="33">
        <v>1</v>
      </c>
      <c r="O339" s="32" t="s">
        <v>40</v>
      </c>
      <c r="P339" s="32" t="s">
        <v>109</v>
      </c>
      <c r="Q339" s="32" t="s">
        <v>27</v>
      </c>
      <c r="R339" s="32" t="s">
        <v>56</v>
      </c>
      <c r="S339" s="30">
        <f t="shared" ca="1" si="13"/>
        <v>40470.53652858796</v>
      </c>
      <c r="T339" s="31">
        <f t="shared" ca="1" si="14"/>
        <v>14</v>
      </c>
      <c r="U339" s="32" t="s">
        <v>42</v>
      </c>
      <c r="V339" s="32" t="s">
        <v>42</v>
      </c>
      <c r="W339" s="32" t="s">
        <v>42</v>
      </c>
      <c r="X339" s="32" t="s">
        <v>42</v>
      </c>
      <c r="Y339" s="32" t="s">
        <v>42</v>
      </c>
      <c r="Z339" s="35"/>
      <c r="AA339" s="35"/>
      <c r="AB339" s="32"/>
      <c r="AC339" s="12" t="s">
        <v>2510</v>
      </c>
      <c r="AD339" s="25">
        <v>40333</v>
      </c>
      <c r="AE339" s="25"/>
      <c r="AF339" s="25"/>
      <c r="AG339" s="25"/>
      <c r="AH339" s="11" t="s">
        <v>219</v>
      </c>
    </row>
    <row r="340" spans="1:34" s="37" customFormat="1" ht="12.75" customHeight="1">
      <c r="A340" s="33">
        <v>338</v>
      </c>
      <c r="B340" s="29">
        <v>40040</v>
      </c>
      <c r="C340" s="30">
        <v>40029</v>
      </c>
      <c r="D340" s="30"/>
      <c r="E340" s="38" t="s">
        <v>1114</v>
      </c>
      <c r="F340" s="31"/>
      <c r="G340" s="32" t="s">
        <v>20</v>
      </c>
      <c r="H340" s="33">
        <v>48</v>
      </c>
      <c r="I340" s="32" t="s">
        <v>1115</v>
      </c>
      <c r="J340" s="31"/>
      <c r="K340" s="31" t="s">
        <v>291</v>
      </c>
      <c r="L340" s="32" t="s">
        <v>24</v>
      </c>
      <c r="M340" s="30">
        <v>40029</v>
      </c>
      <c r="N340" s="33">
        <v>2</v>
      </c>
      <c r="O340" s="32" t="s">
        <v>25</v>
      </c>
      <c r="P340" s="32" t="s">
        <v>26</v>
      </c>
      <c r="Q340" s="32" t="s">
        <v>407</v>
      </c>
      <c r="R340" s="32" t="s">
        <v>65</v>
      </c>
      <c r="S340" s="30">
        <f t="shared" ca="1" si="13"/>
        <v>40470.53652858796</v>
      </c>
      <c r="T340" s="31">
        <f t="shared" ca="1" si="14"/>
        <v>14</v>
      </c>
      <c r="U340" s="32" t="s">
        <v>42</v>
      </c>
      <c r="V340" s="32" t="s">
        <v>56</v>
      </c>
      <c r="W340" s="32" t="s">
        <v>56</v>
      </c>
      <c r="X340" s="32" t="s">
        <v>56</v>
      </c>
      <c r="Y340" s="32" t="s">
        <v>42</v>
      </c>
      <c r="Z340" s="35"/>
      <c r="AA340" s="35"/>
      <c r="AB340" s="32"/>
      <c r="AC340" s="12" t="s">
        <v>915</v>
      </c>
      <c r="AD340" s="25">
        <v>40289</v>
      </c>
      <c r="AE340" s="25"/>
      <c r="AF340" s="25"/>
      <c r="AG340" s="25"/>
      <c r="AH340" s="11" t="s">
        <v>61</v>
      </c>
    </row>
    <row r="341" spans="1:34" s="37" customFormat="1">
      <c r="A341" s="33">
        <v>339</v>
      </c>
      <c r="B341" s="29">
        <v>40041</v>
      </c>
      <c r="C341" s="30">
        <v>40030</v>
      </c>
      <c r="D341" s="30"/>
      <c r="E341" s="38" t="s">
        <v>1116</v>
      </c>
      <c r="F341" s="31"/>
      <c r="G341" s="32" t="s">
        <v>20</v>
      </c>
      <c r="H341" s="33">
        <v>38</v>
      </c>
      <c r="I341" s="32" t="s">
        <v>1117</v>
      </c>
      <c r="J341" s="31" t="s">
        <v>1118</v>
      </c>
      <c r="K341" s="31" t="s">
        <v>291</v>
      </c>
      <c r="L341" s="32" t="s">
        <v>24</v>
      </c>
      <c r="M341" s="30">
        <v>40030</v>
      </c>
      <c r="N341" s="33">
        <v>1</v>
      </c>
      <c r="O341" s="32" t="s">
        <v>40</v>
      </c>
      <c r="P341" s="32" t="s">
        <v>109</v>
      </c>
      <c r="Q341" s="32" t="s">
        <v>27</v>
      </c>
      <c r="R341" s="32" t="s">
        <v>56</v>
      </c>
      <c r="S341" s="30">
        <f t="shared" ca="1" si="13"/>
        <v>40470.53652858796</v>
      </c>
      <c r="T341" s="31">
        <f t="shared" ca="1" si="14"/>
        <v>14</v>
      </c>
      <c r="U341" s="32" t="s">
        <v>42</v>
      </c>
      <c r="V341" s="32" t="s">
        <v>42</v>
      </c>
      <c r="W341" s="32" t="s">
        <v>42</v>
      </c>
      <c r="X341" s="32" t="s">
        <v>42</v>
      </c>
      <c r="Y341" s="32" t="s">
        <v>42</v>
      </c>
      <c r="Z341" s="35"/>
      <c r="AA341" s="35"/>
      <c r="AB341" s="32"/>
      <c r="AC341" s="12" t="s">
        <v>2510</v>
      </c>
      <c r="AD341" s="25">
        <v>40289</v>
      </c>
      <c r="AE341" s="25"/>
      <c r="AF341" s="25"/>
      <c r="AG341" s="25"/>
      <c r="AH341" s="11" t="s">
        <v>219</v>
      </c>
    </row>
    <row r="342" spans="1:34" s="37" customFormat="1">
      <c r="A342" s="33">
        <v>340</v>
      </c>
      <c r="B342" s="29">
        <v>40042</v>
      </c>
      <c r="C342" s="30">
        <v>40035</v>
      </c>
      <c r="D342" s="30"/>
      <c r="E342" s="38" t="s">
        <v>1119</v>
      </c>
      <c r="F342" s="31"/>
      <c r="G342" s="32" t="s">
        <v>20</v>
      </c>
      <c r="H342" s="33">
        <v>23</v>
      </c>
      <c r="I342" s="32" t="s">
        <v>1120</v>
      </c>
      <c r="J342" s="31" t="s">
        <v>1121</v>
      </c>
      <c r="K342" s="31" t="s">
        <v>39</v>
      </c>
      <c r="L342" s="32" t="s">
        <v>24</v>
      </c>
      <c r="M342" s="30">
        <v>40035</v>
      </c>
      <c r="N342" s="33">
        <v>1</v>
      </c>
      <c r="O342" s="32" t="s">
        <v>40</v>
      </c>
      <c r="P342" s="32" t="s">
        <v>2749</v>
      </c>
      <c r="Q342" s="32" t="s">
        <v>27</v>
      </c>
      <c r="R342" s="32" t="s">
        <v>42</v>
      </c>
      <c r="S342" s="30">
        <f t="shared" ca="1" si="13"/>
        <v>40470.53652858796</v>
      </c>
      <c r="T342" s="31">
        <f t="shared" ca="1" si="14"/>
        <v>14</v>
      </c>
      <c r="U342" s="32" t="s">
        <v>42</v>
      </c>
      <c r="V342" s="32" t="s">
        <v>42</v>
      </c>
      <c r="W342" s="32" t="s">
        <v>42</v>
      </c>
      <c r="X342" s="32" t="s">
        <v>42</v>
      </c>
      <c r="Y342" s="32" t="s">
        <v>42</v>
      </c>
      <c r="Z342" s="35"/>
      <c r="AA342" s="35"/>
      <c r="AB342" s="32"/>
      <c r="AC342" s="12" t="s">
        <v>2510</v>
      </c>
      <c r="AD342" s="25">
        <v>40289</v>
      </c>
      <c r="AE342" s="25"/>
      <c r="AF342" s="25"/>
      <c r="AG342" s="25"/>
      <c r="AH342" s="11" t="s">
        <v>219</v>
      </c>
    </row>
    <row r="343" spans="1:34" s="37" customFormat="1">
      <c r="A343" s="33">
        <v>341</v>
      </c>
      <c r="B343" s="29">
        <v>40043</v>
      </c>
      <c r="C343" s="30">
        <v>40036</v>
      </c>
      <c r="D343" s="30"/>
      <c r="E343" s="38" t="s">
        <v>1122</v>
      </c>
      <c r="F343" s="31"/>
      <c r="G343" s="32" t="s">
        <v>37</v>
      </c>
      <c r="H343" s="33">
        <v>36</v>
      </c>
      <c r="I343" s="32" t="s">
        <v>1123</v>
      </c>
      <c r="J343" s="31" t="s">
        <v>1124</v>
      </c>
      <c r="K343" s="31" t="s">
        <v>291</v>
      </c>
      <c r="L343" s="32" t="s">
        <v>24</v>
      </c>
      <c r="M343" s="30">
        <v>40036</v>
      </c>
      <c r="N343" s="33">
        <v>1</v>
      </c>
      <c r="O343" s="32" t="s">
        <v>40</v>
      </c>
      <c r="P343" s="32" t="s">
        <v>72</v>
      </c>
      <c r="Q343" s="32" t="s">
        <v>27</v>
      </c>
      <c r="R343" s="32" t="s">
        <v>42</v>
      </c>
      <c r="S343" s="30">
        <f t="shared" ca="1" si="13"/>
        <v>40470.53652858796</v>
      </c>
      <c r="T343" s="31">
        <f t="shared" ca="1" si="14"/>
        <v>14</v>
      </c>
      <c r="U343" s="32" t="s">
        <v>42</v>
      </c>
      <c r="V343" s="32" t="s">
        <v>42</v>
      </c>
      <c r="W343" s="32" t="s">
        <v>42</v>
      </c>
      <c r="X343" s="32" t="s">
        <v>42</v>
      </c>
      <c r="Y343" s="32" t="s">
        <v>42</v>
      </c>
      <c r="Z343" s="35"/>
      <c r="AA343" s="35"/>
      <c r="AB343" s="32"/>
      <c r="AC343" s="12" t="s">
        <v>2510</v>
      </c>
      <c r="AD343" s="25">
        <v>40516</v>
      </c>
      <c r="AE343" s="25"/>
      <c r="AF343" s="25"/>
      <c r="AG343" s="25"/>
      <c r="AH343" s="11" t="s">
        <v>219</v>
      </c>
    </row>
    <row r="344" spans="1:34" s="37" customFormat="1" ht="12.75" customHeight="1">
      <c r="A344" s="33">
        <v>342</v>
      </c>
      <c r="B344" s="29">
        <v>40044</v>
      </c>
      <c r="C344" s="30">
        <v>40036</v>
      </c>
      <c r="D344" s="30"/>
      <c r="E344" s="38" t="s">
        <v>1125</v>
      </c>
      <c r="F344" s="31"/>
      <c r="G344" s="32" t="s">
        <v>37</v>
      </c>
      <c r="H344" s="33">
        <v>15</v>
      </c>
      <c r="I344" s="32" t="s">
        <v>1126</v>
      </c>
      <c r="J344" s="31" t="s">
        <v>1127</v>
      </c>
      <c r="K344" s="31" t="s">
        <v>39</v>
      </c>
      <c r="L344" s="32" t="s">
        <v>24</v>
      </c>
      <c r="M344" s="30">
        <v>40036</v>
      </c>
      <c r="N344" s="33">
        <v>1</v>
      </c>
      <c r="O344" s="32" t="s">
        <v>25</v>
      </c>
      <c r="P344" s="32" t="s">
        <v>26</v>
      </c>
      <c r="Q344" s="32" t="s">
        <v>27</v>
      </c>
      <c r="R344" s="32" t="s">
        <v>28</v>
      </c>
      <c r="S344" s="30">
        <f t="shared" ca="1" si="13"/>
        <v>40470.53652858796</v>
      </c>
      <c r="T344" s="31">
        <f t="shared" ca="1" si="14"/>
        <v>14</v>
      </c>
      <c r="U344" s="32" t="s">
        <v>56</v>
      </c>
      <c r="V344" s="32" t="s">
        <v>42</v>
      </c>
      <c r="W344" s="32" t="s">
        <v>224</v>
      </c>
      <c r="X344" s="32" t="s">
        <v>224</v>
      </c>
      <c r="Y344" s="32" t="s">
        <v>42</v>
      </c>
      <c r="Z344" s="35"/>
      <c r="AA344" s="35"/>
      <c r="AB344" s="32"/>
      <c r="AC344" s="12" t="s">
        <v>785</v>
      </c>
      <c r="AD344" s="25">
        <v>40169</v>
      </c>
      <c r="AE344" s="25"/>
      <c r="AF344" s="25"/>
      <c r="AG344" s="25"/>
      <c r="AH344" s="11" t="s">
        <v>122</v>
      </c>
    </row>
    <row r="345" spans="1:34" s="37" customFormat="1" ht="12.75" customHeight="1">
      <c r="A345" s="33">
        <v>343</v>
      </c>
      <c r="B345" s="29">
        <v>40045</v>
      </c>
      <c r="C345" s="30">
        <v>40036</v>
      </c>
      <c r="D345" s="30"/>
      <c r="E345" s="38" t="s">
        <v>1128</v>
      </c>
      <c r="F345" s="31"/>
      <c r="G345" s="32" t="s">
        <v>20</v>
      </c>
      <c r="H345" s="33">
        <v>50</v>
      </c>
      <c r="I345" s="32" t="s">
        <v>1129</v>
      </c>
      <c r="J345" s="31" t="s">
        <v>1130</v>
      </c>
      <c r="K345" s="31" t="s">
        <v>291</v>
      </c>
      <c r="L345" s="32" t="s">
        <v>24</v>
      </c>
      <c r="M345" s="30">
        <v>40036</v>
      </c>
      <c r="N345" s="33">
        <v>1</v>
      </c>
      <c r="O345" s="32" t="s">
        <v>25</v>
      </c>
      <c r="P345" s="32" t="s">
        <v>26</v>
      </c>
      <c r="Q345" s="32" t="s">
        <v>110</v>
      </c>
      <c r="R345" s="32" t="s">
        <v>28</v>
      </c>
      <c r="S345" s="30">
        <f t="shared" ca="1" si="13"/>
        <v>40470.53652858796</v>
      </c>
      <c r="T345" s="31">
        <f t="shared" ca="1" si="14"/>
        <v>14</v>
      </c>
      <c r="U345" s="32" t="s">
        <v>28</v>
      </c>
      <c r="V345" s="32" t="s">
        <v>56</v>
      </c>
      <c r="W345" s="32" t="s">
        <v>56</v>
      </c>
      <c r="X345" s="32" t="s">
        <v>56</v>
      </c>
      <c r="Y345" s="32" t="s">
        <v>42</v>
      </c>
      <c r="Z345" s="35"/>
      <c r="AA345" s="35"/>
      <c r="AB345" s="32"/>
      <c r="AC345" s="12" t="s">
        <v>915</v>
      </c>
      <c r="AD345" s="25">
        <v>40201</v>
      </c>
      <c r="AE345" s="25"/>
      <c r="AF345" s="25"/>
      <c r="AG345" s="25"/>
      <c r="AH345" s="11" t="s">
        <v>61</v>
      </c>
    </row>
    <row r="346" spans="1:34" s="37" customFormat="1" ht="12.75" customHeight="1">
      <c r="A346" s="33">
        <v>344</v>
      </c>
      <c r="B346" s="29">
        <v>40046</v>
      </c>
      <c r="C346" s="30">
        <v>40036</v>
      </c>
      <c r="D346" s="30"/>
      <c r="E346" s="38" t="s">
        <v>1131</v>
      </c>
      <c r="F346" s="31"/>
      <c r="G346" s="32" t="s">
        <v>20</v>
      </c>
      <c r="H346" s="33">
        <v>25</v>
      </c>
      <c r="I346" s="32" t="s">
        <v>1132</v>
      </c>
      <c r="J346" s="31" t="s">
        <v>1133</v>
      </c>
      <c r="K346" s="31" t="s">
        <v>1134</v>
      </c>
      <c r="L346" s="32" t="s">
        <v>24</v>
      </c>
      <c r="M346" s="30">
        <v>40036</v>
      </c>
      <c r="N346" s="33">
        <v>1</v>
      </c>
      <c r="O346" s="32" t="s">
        <v>25</v>
      </c>
      <c r="P346" s="32" t="s">
        <v>26</v>
      </c>
      <c r="Q346" s="32" t="s">
        <v>27</v>
      </c>
      <c r="R346" s="32" t="s">
        <v>28</v>
      </c>
      <c r="S346" s="30">
        <f t="shared" ca="1" si="13"/>
        <v>40470.53652858796</v>
      </c>
      <c r="T346" s="31">
        <f t="shared" ca="1" si="14"/>
        <v>14</v>
      </c>
      <c r="U346" s="32" t="s">
        <v>56</v>
      </c>
      <c r="V346" s="32" t="s">
        <v>42</v>
      </c>
      <c r="W346" s="32" t="s">
        <v>224</v>
      </c>
      <c r="X346" s="32" t="s">
        <v>224</v>
      </c>
      <c r="Y346" s="32" t="s">
        <v>42</v>
      </c>
      <c r="Z346" s="35"/>
      <c r="AA346" s="35"/>
      <c r="AB346" s="32"/>
      <c r="AC346" s="12" t="s">
        <v>785</v>
      </c>
      <c r="AD346" s="25">
        <v>40127</v>
      </c>
      <c r="AE346" s="25"/>
      <c r="AF346" s="25"/>
      <c r="AG346" s="25"/>
      <c r="AH346" s="11" t="s">
        <v>122</v>
      </c>
    </row>
    <row r="347" spans="1:34" s="37" customFormat="1" ht="12.75" customHeight="1">
      <c r="A347" s="33">
        <v>345</v>
      </c>
      <c r="B347" s="29">
        <v>40047</v>
      </c>
      <c r="C347" s="30">
        <v>40037</v>
      </c>
      <c r="D347" s="30"/>
      <c r="E347" s="38" t="s">
        <v>1135</v>
      </c>
      <c r="F347" s="31"/>
      <c r="G347" s="32" t="s">
        <v>20</v>
      </c>
      <c r="H347" s="33">
        <v>61</v>
      </c>
      <c r="I347" s="32" t="s">
        <v>1136</v>
      </c>
      <c r="J347" s="31" t="s">
        <v>1137</v>
      </c>
      <c r="K347" s="31" t="s">
        <v>1138</v>
      </c>
      <c r="L347" s="32" t="s">
        <v>24</v>
      </c>
      <c r="M347" s="30">
        <v>40037</v>
      </c>
      <c r="N347" s="33">
        <v>1</v>
      </c>
      <c r="O347" s="32" t="s">
        <v>25</v>
      </c>
      <c r="P347" s="32" t="s">
        <v>26</v>
      </c>
      <c r="Q347" s="32" t="s">
        <v>27</v>
      </c>
      <c r="R347" s="32" t="s">
        <v>28</v>
      </c>
      <c r="S347" s="30">
        <f t="shared" ca="1" si="13"/>
        <v>40470.53652858796</v>
      </c>
      <c r="T347" s="31">
        <f t="shared" ca="1" si="14"/>
        <v>14</v>
      </c>
      <c r="U347" s="32" t="s">
        <v>224</v>
      </c>
      <c r="V347" s="32" t="s">
        <v>42</v>
      </c>
      <c r="W347" s="32" t="s">
        <v>224</v>
      </c>
      <c r="X347" s="32" t="s">
        <v>224</v>
      </c>
      <c r="Y347" s="32" t="s">
        <v>42</v>
      </c>
      <c r="Z347" s="35"/>
      <c r="AA347" s="35"/>
      <c r="AB347" s="32"/>
      <c r="AC347" s="12" t="s">
        <v>2519</v>
      </c>
      <c r="AD347" s="25">
        <v>40041</v>
      </c>
      <c r="AE347" s="25"/>
      <c r="AF347" s="25"/>
      <c r="AG347" s="25"/>
      <c r="AH347" s="11" t="s">
        <v>158</v>
      </c>
    </row>
    <row r="348" spans="1:34" s="37" customFormat="1">
      <c r="A348" s="33">
        <v>346</v>
      </c>
      <c r="B348" s="29">
        <v>40048</v>
      </c>
      <c r="C348" s="30">
        <v>40038</v>
      </c>
      <c r="D348" s="30"/>
      <c r="E348" s="38" t="s">
        <v>1139</v>
      </c>
      <c r="F348" s="31"/>
      <c r="G348" s="32" t="s">
        <v>37</v>
      </c>
      <c r="H348" s="33">
        <v>15</v>
      </c>
      <c r="I348" s="32" t="s">
        <v>1140</v>
      </c>
      <c r="J348" s="31" t="s">
        <v>1141</v>
      </c>
      <c r="K348" s="31" t="s">
        <v>39</v>
      </c>
      <c r="L348" s="32" t="s">
        <v>24</v>
      </c>
      <c r="M348" s="30">
        <v>40038</v>
      </c>
      <c r="N348" s="33">
        <v>1</v>
      </c>
      <c r="O348" s="32" t="s">
        <v>40</v>
      </c>
      <c r="P348" s="32" t="s">
        <v>315</v>
      </c>
      <c r="Q348" s="32" t="s">
        <v>27</v>
      </c>
      <c r="R348" s="32" t="s">
        <v>56</v>
      </c>
      <c r="S348" s="30">
        <f t="shared" ca="1" si="13"/>
        <v>40470.53652858796</v>
      </c>
      <c r="T348" s="31">
        <f t="shared" ca="1" si="14"/>
        <v>14</v>
      </c>
      <c r="U348" s="32" t="s">
        <v>42</v>
      </c>
      <c r="V348" s="32" t="s">
        <v>42</v>
      </c>
      <c r="W348" s="32" t="s">
        <v>42</v>
      </c>
      <c r="X348" s="32" t="s">
        <v>42</v>
      </c>
      <c r="Y348" s="32" t="s">
        <v>42</v>
      </c>
      <c r="Z348" s="35"/>
      <c r="AA348" s="35"/>
      <c r="AB348" s="32"/>
      <c r="AC348" s="12" t="s">
        <v>2510</v>
      </c>
      <c r="AD348" s="25">
        <v>40311</v>
      </c>
      <c r="AE348" s="25"/>
      <c r="AF348" s="25"/>
      <c r="AG348" s="25"/>
      <c r="AH348" s="11" t="s">
        <v>219</v>
      </c>
    </row>
    <row r="349" spans="1:34" s="37" customFormat="1">
      <c r="A349" s="33">
        <v>347</v>
      </c>
      <c r="B349" s="29">
        <v>40049</v>
      </c>
      <c r="C349" s="30">
        <v>40029</v>
      </c>
      <c r="D349" s="30"/>
      <c r="E349" s="38" t="s">
        <v>1142</v>
      </c>
      <c r="F349" s="31"/>
      <c r="G349" s="32" t="s">
        <v>20</v>
      </c>
      <c r="H349" s="33">
        <v>20</v>
      </c>
      <c r="I349" s="32" t="s">
        <v>1143</v>
      </c>
      <c r="J349" s="31" t="s">
        <v>1144</v>
      </c>
      <c r="K349" s="31" t="s">
        <v>48</v>
      </c>
      <c r="L349" s="32" t="s">
        <v>24</v>
      </c>
      <c r="M349" s="30">
        <v>40029</v>
      </c>
      <c r="N349" s="33">
        <v>1</v>
      </c>
      <c r="O349" s="32" t="s">
        <v>40</v>
      </c>
      <c r="P349" s="32" t="s">
        <v>2749</v>
      </c>
      <c r="Q349" s="32" t="s">
        <v>27</v>
      </c>
      <c r="R349" s="32" t="s">
        <v>56</v>
      </c>
      <c r="S349" s="30">
        <f t="shared" ca="1" si="13"/>
        <v>40470.53652858796</v>
      </c>
      <c r="T349" s="31">
        <f t="shared" ca="1" si="14"/>
        <v>14</v>
      </c>
      <c r="U349" s="32" t="s">
        <v>42</v>
      </c>
      <c r="V349" s="32" t="s">
        <v>42</v>
      </c>
      <c r="W349" s="32" t="s">
        <v>42</v>
      </c>
      <c r="X349" s="32" t="s">
        <v>42</v>
      </c>
      <c r="Y349" s="32" t="s">
        <v>42</v>
      </c>
      <c r="Z349" s="35"/>
      <c r="AA349" s="35"/>
      <c r="AB349" s="32"/>
      <c r="AC349" s="12" t="s">
        <v>2510</v>
      </c>
      <c r="AD349" s="25">
        <v>40273</v>
      </c>
      <c r="AE349" s="25"/>
      <c r="AF349" s="25"/>
      <c r="AG349" s="25"/>
      <c r="AH349" s="11" t="s">
        <v>219</v>
      </c>
    </row>
    <row r="350" spans="1:34" s="37" customFormat="1">
      <c r="A350" s="33">
        <v>348</v>
      </c>
      <c r="B350" s="29">
        <v>40050</v>
      </c>
      <c r="C350" s="30">
        <v>40036</v>
      </c>
      <c r="D350" s="30"/>
      <c r="E350" s="38" t="s">
        <v>1145</v>
      </c>
      <c r="F350" s="31"/>
      <c r="G350" s="32" t="s">
        <v>37</v>
      </c>
      <c r="H350" s="33">
        <v>25</v>
      </c>
      <c r="I350" s="32" t="s">
        <v>1146</v>
      </c>
      <c r="J350" s="31" t="s">
        <v>1147</v>
      </c>
      <c r="K350" s="31" t="s">
        <v>206</v>
      </c>
      <c r="L350" s="32" t="s">
        <v>24</v>
      </c>
      <c r="M350" s="30">
        <v>40036</v>
      </c>
      <c r="N350" s="33">
        <v>1</v>
      </c>
      <c r="O350" s="32" t="s">
        <v>40</v>
      </c>
      <c r="P350" s="32" t="s">
        <v>431</v>
      </c>
      <c r="Q350" s="32" t="s">
        <v>27</v>
      </c>
      <c r="R350" s="32" t="s">
        <v>42</v>
      </c>
      <c r="S350" s="30">
        <f t="shared" ca="1" si="13"/>
        <v>40470.53652858796</v>
      </c>
      <c r="T350" s="31">
        <f t="shared" ca="1" si="14"/>
        <v>14</v>
      </c>
      <c r="U350" s="32" t="s">
        <v>42</v>
      </c>
      <c r="V350" s="32" t="s">
        <v>42</v>
      </c>
      <c r="W350" s="32" t="s">
        <v>42</v>
      </c>
      <c r="X350" s="32" t="s">
        <v>42</v>
      </c>
      <c r="Y350" s="32" t="s">
        <v>42</v>
      </c>
      <c r="Z350" s="35"/>
      <c r="AA350" s="35"/>
      <c r="AB350" s="32"/>
      <c r="AC350" s="12" t="s">
        <v>2510</v>
      </c>
      <c r="AD350" s="25">
        <v>40378</v>
      </c>
      <c r="AE350" s="25"/>
      <c r="AF350" s="25"/>
      <c r="AG350" s="25"/>
      <c r="AH350" s="11" t="s">
        <v>219</v>
      </c>
    </row>
    <row r="351" spans="1:34" s="37" customFormat="1">
      <c r="A351" s="33">
        <v>349</v>
      </c>
      <c r="B351" s="29">
        <v>40051</v>
      </c>
      <c r="C351" s="30">
        <v>40036</v>
      </c>
      <c r="D351" s="30"/>
      <c r="E351" s="38" t="s">
        <v>1148</v>
      </c>
      <c r="F351" s="31"/>
      <c r="G351" s="32" t="s">
        <v>37</v>
      </c>
      <c r="H351" s="33">
        <v>18</v>
      </c>
      <c r="I351" s="32" t="s">
        <v>1149</v>
      </c>
      <c r="J351" s="31" t="s">
        <v>1150</v>
      </c>
      <c r="K351" s="31" t="s">
        <v>39</v>
      </c>
      <c r="L351" s="32" t="s">
        <v>24</v>
      </c>
      <c r="M351" s="30">
        <v>40036</v>
      </c>
      <c r="N351" s="33">
        <v>1</v>
      </c>
      <c r="O351" s="32" t="s">
        <v>40</v>
      </c>
      <c r="P351" s="32" t="s">
        <v>2749</v>
      </c>
      <c r="Q351" s="32" t="s">
        <v>27</v>
      </c>
      <c r="R351" s="32" t="s">
        <v>56</v>
      </c>
      <c r="S351" s="30">
        <f t="shared" ca="1" si="13"/>
        <v>40470.53652858796</v>
      </c>
      <c r="T351" s="31">
        <f t="shared" ca="1" si="14"/>
        <v>14</v>
      </c>
      <c r="U351" s="32" t="s">
        <v>42</v>
      </c>
      <c r="V351" s="32" t="s">
        <v>42</v>
      </c>
      <c r="W351" s="32" t="s">
        <v>42</v>
      </c>
      <c r="X351" s="32" t="s">
        <v>42</v>
      </c>
      <c r="Y351" s="32" t="s">
        <v>42</v>
      </c>
      <c r="Z351" s="35"/>
      <c r="AA351" s="35"/>
      <c r="AB351" s="32"/>
      <c r="AC351" s="12" t="s">
        <v>2510</v>
      </c>
      <c r="AD351" s="25">
        <v>40297</v>
      </c>
      <c r="AE351" s="25"/>
      <c r="AF351" s="25"/>
      <c r="AG351" s="25"/>
      <c r="AH351" s="11" t="s">
        <v>219</v>
      </c>
    </row>
    <row r="352" spans="1:34" s="37" customFormat="1" ht="12.75" customHeight="1">
      <c r="A352" s="33">
        <v>350</v>
      </c>
      <c r="B352" s="29">
        <v>40052</v>
      </c>
      <c r="C352" s="30">
        <v>40043</v>
      </c>
      <c r="D352" s="30"/>
      <c r="E352" s="38" t="s">
        <v>1151</v>
      </c>
      <c r="F352" s="31"/>
      <c r="G352" s="32" t="s">
        <v>37</v>
      </c>
      <c r="H352" s="33">
        <v>55</v>
      </c>
      <c r="I352" s="32" t="s">
        <v>1152</v>
      </c>
      <c r="J352" s="31" t="s">
        <v>1153</v>
      </c>
      <c r="K352" s="31" t="s">
        <v>71</v>
      </c>
      <c r="L352" s="32" t="s">
        <v>24</v>
      </c>
      <c r="M352" s="30">
        <v>40043</v>
      </c>
      <c r="N352" s="33">
        <v>2</v>
      </c>
      <c r="O352" s="32" t="s">
        <v>25</v>
      </c>
      <c r="P352" s="32" t="s">
        <v>26</v>
      </c>
      <c r="Q352" s="32" t="s">
        <v>381</v>
      </c>
      <c r="R352" s="32" t="s">
        <v>60</v>
      </c>
      <c r="S352" s="30">
        <f t="shared" ca="1" si="13"/>
        <v>40470.53652858796</v>
      </c>
      <c r="T352" s="31">
        <f t="shared" ca="1" si="14"/>
        <v>14</v>
      </c>
      <c r="U352" s="32" t="s">
        <v>224</v>
      </c>
      <c r="V352" s="32" t="s">
        <v>42</v>
      </c>
      <c r="W352" s="32" t="s">
        <v>224</v>
      </c>
      <c r="X352" s="32" t="s">
        <v>224</v>
      </c>
      <c r="Y352" s="32" t="s">
        <v>42</v>
      </c>
      <c r="Z352" s="35"/>
      <c r="AA352" s="35"/>
      <c r="AB352" s="32"/>
      <c r="AC352" s="12" t="s">
        <v>2519</v>
      </c>
      <c r="AD352" s="25">
        <v>40087</v>
      </c>
      <c r="AE352" s="25"/>
      <c r="AF352" s="25"/>
      <c r="AG352" s="25"/>
      <c r="AH352" s="11" t="s">
        <v>158</v>
      </c>
    </row>
    <row r="353" spans="1:34" s="37" customFormat="1">
      <c r="A353" s="33">
        <v>351</v>
      </c>
      <c r="B353" s="29">
        <v>40053</v>
      </c>
      <c r="C353" s="30">
        <v>40036</v>
      </c>
      <c r="D353" s="30"/>
      <c r="E353" s="38" t="s">
        <v>1154</v>
      </c>
      <c r="F353" s="31"/>
      <c r="G353" s="32" t="s">
        <v>20</v>
      </c>
      <c r="H353" s="33">
        <v>10</v>
      </c>
      <c r="I353" s="32" t="s">
        <v>1155</v>
      </c>
      <c r="J353" s="31" t="s">
        <v>1156</v>
      </c>
      <c r="K353" s="31" t="s">
        <v>106</v>
      </c>
      <c r="L353" s="32" t="s">
        <v>24</v>
      </c>
      <c r="M353" s="30">
        <v>40036</v>
      </c>
      <c r="N353" s="33">
        <v>1</v>
      </c>
      <c r="O353" s="32" t="s">
        <v>40</v>
      </c>
      <c r="P353" s="32" t="s">
        <v>72</v>
      </c>
      <c r="Q353" s="32" t="s">
        <v>27</v>
      </c>
      <c r="R353" s="32" t="s">
        <v>56</v>
      </c>
      <c r="S353" s="30">
        <f t="shared" ca="1" si="13"/>
        <v>40470.53652858796</v>
      </c>
      <c r="T353" s="31">
        <f t="shared" ca="1" si="14"/>
        <v>14</v>
      </c>
      <c r="U353" s="32" t="s">
        <v>42</v>
      </c>
      <c r="V353" s="32" t="s">
        <v>42</v>
      </c>
      <c r="W353" s="32" t="s">
        <v>42</v>
      </c>
      <c r="X353" s="32" t="s">
        <v>42</v>
      </c>
      <c r="Y353" s="32" t="s">
        <v>42</v>
      </c>
      <c r="Z353" s="35"/>
      <c r="AA353" s="35"/>
      <c r="AB353" s="32"/>
      <c r="AC353" s="12" t="s">
        <v>2510</v>
      </c>
      <c r="AD353" s="25">
        <v>40287</v>
      </c>
      <c r="AE353" s="25"/>
      <c r="AF353" s="25"/>
      <c r="AG353" s="25"/>
      <c r="AH353" s="11" t="s">
        <v>219</v>
      </c>
    </row>
    <row r="354" spans="1:34" s="37" customFormat="1">
      <c r="A354" s="33">
        <v>352</v>
      </c>
      <c r="B354" s="29">
        <v>40054</v>
      </c>
      <c r="C354" s="30">
        <v>40036</v>
      </c>
      <c r="D354" s="30"/>
      <c r="E354" s="38" t="s">
        <v>1157</v>
      </c>
      <c r="F354" s="31"/>
      <c r="G354" s="32" t="s">
        <v>37</v>
      </c>
      <c r="H354" s="33">
        <v>23</v>
      </c>
      <c r="I354" s="32" t="s">
        <v>1158</v>
      </c>
      <c r="J354" s="31" t="s">
        <v>791</v>
      </c>
      <c r="K354" s="31" t="s">
        <v>291</v>
      </c>
      <c r="L354" s="32" t="s">
        <v>24</v>
      </c>
      <c r="M354" s="30">
        <v>40043</v>
      </c>
      <c r="N354" s="33">
        <v>1</v>
      </c>
      <c r="O354" s="32" t="s">
        <v>40</v>
      </c>
      <c r="P354" s="32" t="s">
        <v>109</v>
      </c>
      <c r="Q354" s="32" t="s">
        <v>27</v>
      </c>
      <c r="R354" s="32" t="s">
        <v>56</v>
      </c>
      <c r="S354" s="30">
        <f t="shared" ca="1" si="13"/>
        <v>40470.53652858796</v>
      </c>
      <c r="T354" s="31">
        <f t="shared" ca="1" si="14"/>
        <v>14</v>
      </c>
      <c r="U354" s="32" t="s">
        <v>42</v>
      </c>
      <c r="V354" s="32" t="s">
        <v>42</v>
      </c>
      <c r="W354" s="32" t="s">
        <v>42</v>
      </c>
      <c r="X354" s="32" t="s">
        <v>42</v>
      </c>
      <c r="Y354" s="32" t="s">
        <v>42</v>
      </c>
      <c r="Z354" s="35"/>
      <c r="AA354" s="35"/>
      <c r="AB354" s="32"/>
      <c r="AC354" s="12" t="s">
        <v>2510</v>
      </c>
      <c r="AD354" s="25">
        <v>40289</v>
      </c>
      <c r="AE354" s="25"/>
      <c r="AF354" s="25"/>
      <c r="AG354" s="25"/>
      <c r="AH354" s="11" t="s">
        <v>219</v>
      </c>
    </row>
    <row r="355" spans="1:34" s="37" customFormat="1">
      <c r="A355" s="33">
        <v>353</v>
      </c>
      <c r="B355" s="29">
        <v>40055</v>
      </c>
      <c r="C355" s="30">
        <v>40043</v>
      </c>
      <c r="D355" s="30"/>
      <c r="E355" s="38" t="s">
        <v>1159</v>
      </c>
      <c r="F355" s="31"/>
      <c r="G355" s="32" t="s">
        <v>37</v>
      </c>
      <c r="H355" s="33">
        <v>33</v>
      </c>
      <c r="I355" s="32" t="s">
        <v>1160</v>
      </c>
      <c r="J355" s="31" t="s">
        <v>1161</v>
      </c>
      <c r="K355" s="31" t="s">
        <v>291</v>
      </c>
      <c r="L355" s="32" t="s">
        <v>24</v>
      </c>
      <c r="M355" s="30">
        <v>40043</v>
      </c>
      <c r="N355" s="33">
        <v>1</v>
      </c>
      <c r="O355" s="32" t="s">
        <v>40</v>
      </c>
      <c r="P355" s="32" t="s">
        <v>72</v>
      </c>
      <c r="Q355" s="32" t="s">
        <v>27</v>
      </c>
      <c r="R355" s="32" t="s">
        <v>42</v>
      </c>
      <c r="S355" s="30">
        <f t="shared" ca="1" si="13"/>
        <v>40470.53652858796</v>
      </c>
      <c r="T355" s="31">
        <f t="shared" ca="1" si="14"/>
        <v>14</v>
      </c>
      <c r="U355" s="32" t="s">
        <v>42</v>
      </c>
      <c r="V355" s="32" t="s">
        <v>42</v>
      </c>
      <c r="W355" s="32" t="s">
        <v>42</v>
      </c>
      <c r="X355" s="32" t="s">
        <v>42</v>
      </c>
      <c r="Y355" s="32" t="s">
        <v>42</v>
      </c>
      <c r="Z355" s="35"/>
      <c r="AA355" s="35"/>
      <c r="AB355" s="32"/>
      <c r="AC355" s="12" t="s">
        <v>2510</v>
      </c>
      <c r="AD355" s="25">
        <v>40296</v>
      </c>
      <c r="AE355" s="25"/>
      <c r="AF355" s="25"/>
      <c r="AG355" s="25"/>
      <c r="AH355" s="11" t="s">
        <v>219</v>
      </c>
    </row>
    <row r="356" spans="1:34" s="37" customFormat="1" ht="12.75" customHeight="1">
      <c r="A356" s="33">
        <v>354</v>
      </c>
      <c r="B356" s="29">
        <v>40034</v>
      </c>
      <c r="C356" s="30">
        <v>40046</v>
      </c>
      <c r="D356" s="30"/>
      <c r="E356" s="38" t="s">
        <v>1162</v>
      </c>
      <c r="F356" s="31"/>
      <c r="G356" s="32" t="s">
        <v>37</v>
      </c>
      <c r="H356" s="33">
        <v>20</v>
      </c>
      <c r="I356" s="32" t="s">
        <v>1199</v>
      </c>
      <c r="J356" s="31" t="s">
        <v>105</v>
      </c>
      <c r="K356" s="31" t="s">
        <v>291</v>
      </c>
      <c r="L356" s="32" t="s">
        <v>24</v>
      </c>
      <c r="M356" s="30">
        <v>40046</v>
      </c>
      <c r="N356" s="33">
        <v>1</v>
      </c>
      <c r="O356" s="32" t="s">
        <v>25</v>
      </c>
      <c r="P356" s="32" t="s">
        <v>26</v>
      </c>
      <c r="Q356" s="32" t="s">
        <v>27</v>
      </c>
      <c r="R356" s="32" t="s">
        <v>56</v>
      </c>
      <c r="S356" s="30">
        <f t="shared" ca="1" si="13"/>
        <v>40470.53652858796</v>
      </c>
      <c r="T356" s="31">
        <f t="shared" ca="1" si="14"/>
        <v>14</v>
      </c>
      <c r="U356" s="32" t="s">
        <v>56</v>
      </c>
      <c r="V356" s="32" t="s">
        <v>42</v>
      </c>
      <c r="W356" s="32" t="s">
        <v>224</v>
      </c>
      <c r="X356" s="32" t="s">
        <v>224</v>
      </c>
      <c r="Y356" s="32" t="s">
        <v>42</v>
      </c>
      <c r="Z356" s="35"/>
      <c r="AA356" s="35"/>
      <c r="AB356" s="32"/>
      <c r="AC356" s="12" t="s">
        <v>2510</v>
      </c>
      <c r="AD356" s="25">
        <v>40298</v>
      </c>
      <c r="AE356" s="25"/>
      <c r="AF356" s="25"/>
      <c r="AG356" s="25"/>
      <c r="AH356" s="11" t="s">
        <v>219</v>
      </c>
    </row>
    <row r="357" spans="1:34" s="37" customFormat="1">
      <c r="A357" s="33">
        <v>355</v>
      </c>
      <c r="B357" s="29">
        <v>40034</v>
      </c>
      <c r="C357" s="30">
        <v>40046</v>
      </c>
      <c r="D357" s="30"/>
      <c r="E357" s="38" t="s">
        <v>1200</v>
      </c>
      <c r="F357" s="31"/>
      <c r="G357" s="32" t="s">
        <v>37</v>
      </c>
      <c r="H357" s="33">
        <v>20</v>
      </c>
      <c r="I357" s="32" t="s">
        <v>1201</v>
      </c>
      <c r="J357" s="31" t="s">
        <v>1202</v>
      </c>
      <c r="K357" s="31" t="s">
        <v>39</v>
      </c>
      <c r="L357" s="32" t="s">
        <v>24</v>
      </c>
      <c r="M357" s="30">
        <v>40046</v>
      </c>
      <c r="N357" s="33">
        <v>1</v>
      </c>
      <c r="O357" s="32" t="s">
        <v>40</v>
      </c>
      <c r="P357" s="32" t="s">
        <v>72</v>
      </c>
      <c r="Q357" s="32" t="s">
        <v>27</v>
      </c>
      <c r="R357" s="32" t="s">
        <v>42</v>
      </c>
      <c r="S357" s="30">
        <f t="shared" ca="1" si="13"/>
        <v>40470.53652858796</v>
      </c>
      <c r="T357" s="31">
        <f t="shared" ca="1" si="14"/>
        <v>14</v>
      </c>
      <c r="U357" s="32" t="s">
        <v>42</v>
      </c>
      <c r="V357" s="32" t="s">
        <v>42</v>
      </c>
      <c r="W357" s="32" t="s">
        <v>42</v>
      </c>
      <c r="X357" s="32" t="s">
        <v>42</v>
      </c>
      <c r="Y357" s="32" t="s">
        <v>42</v>
      </c>
      <c r="Z357" s="35"/>
      <c r="AA357" s="35"/>
      <c r="AB357" s="32"/>
      <c r="AC357" s="12" t="s">
        <v>2510</v>
      </c>
      <c r="AD357" s="25">
        <v>40298</v>
      </c>
      <c r="AE357" s="25"/>
      <c r="AF357" s="25"/>
      <c r="AG357" s="25"/>
      <c r="AH357" s="11" t="s">
        <v>219</v>
      </c>
    </row>
    <row r="358" spans="1:34" s="37" customFormat="1" ht="12.75" customHeight="1">
      <c r="A358" s="33">
        <v>356</v>
      </c>
      <c r="B358" s="29">
        <v>40034</v>
      </c>
      <c r="C358" s="30">
        <v>40050</v>
      </c>
      <c r="D358" s="30"/>
      <c r="E358" s="38" t="s">
        <v>1203</v>
      </c>
      <c r="F358" s="31"/>
      <c r="G358" s="32" t="s">
        <v>20</v>
      </c>
      <c r="H358" s="33">
        <v>20</v>
      </c>
      <c r="I358" s="32" t="s">
        <v>1204</v>
      </c>
      <c r="J358" s="31" t="s">
        <v>1205</v>
      </c>
      <c r="K358" s="31" t="s">
        <v>291</v>
      </c>
      <c r="L358" s="32" t="s">
        <v>24</v>
      </c>
      <c r="M358" s="30">
        <v>40050</v>
      </c>
      <c r="N358" s="33">
        <v>1</v>
      </c>
      <c r="O358" s="32" t="s">
        <v>25</v>
      </c>
      <c r="P358" s="32" t="s">
        <v>26</v>
      </c>
      <c r="Q358" s="32" t="s">
        <v>27</v>
      </c>
      <c r="R358" s="32" t="s">
        <v>56</v>
      </c>
      <c r="S358" s="30">
        <f t="shared" ca="1" si="13"/>
        <v>40470.53652858796</v>
      </c>
      <c r="T358" s="31">
        <f t="shared" ca="1" si="14"/>
        <v>14</v>
      </c>
      <c r="U358" s="32" t="s">
        <v>56</v>
      </c>
      <c r="V358" s="32" t="s">
        <v>42</v>
      </c>
      <c r="W358" s="32" t="s">
        <v>224</v>
      </c>
      <c r="X358" s="32" t="s">
        <v>224</v>
      </c>
      <c r="Y358" s="32" t="s">
        <v>42</v>
      </c>
      <c r="Z358" s="35"/>
      <c r="AA358" s="35"/>
      <c r="AB358" s="32"/>
      <c r="AC358" s="12" t="s">
        <v>915</v>
      </c>
      <c r="AD358" s="25">
        <v>40351</v>
      </c>
      <c r="AE358" s="25"/>
      <c r="AF358" s="25"/>
      <c r="AG358" s="25"/>
      <c r="AH358" s="11" t="s">
        <v>61</v>
      </c>
    </row>
    <row r="359" spans="1:34" s="37" customFormat="1" ht="12.75" customHeight="1">
      <c r="A359" s="33">
        <v>357</v>
      </c>
      <c r="B359" s="29">
        <v>40034</v>
      </c>
      <c r="C359" s="30">
        <v>40050</v>
      </c>
      <c r="D359" s="30"/>
      <c r="E359" s="38" t="s">
        <v>1206</v>
      </c>
      <c r="F359" s="31"/>
      <c r="G359" s="32" t="s">
        <v>20</v>
      </c>
      <c r="H359" s="33">
        <v>58</v>
      </c>
      <c r="I359" s="32" t="s">
        <v>1207</v>
      </c>
      <c r="J359" s="31" t="s">
        <v>1208</v>
      </c>
      <c r="K359" s="31" t="s">
        <v>253</v>
      </c>
      <c r="L359" s="32" t="s">
        <v>24</v>
      </c>
      <c r="M359" s="30">
        <v>40050</v>
      </c>
      <c r="N359" s="33">
        <v>2</v>
      </c>
      <c r="O359" s="32" t="s">
        <v>25</v>
      </c>
      <c r="P359" s="32" t="s">
        <v>26</v>
      </c>
      <c r="Q359" s="32" t="s">
        <v>49</v>
      </c>
      <c r="R359" s="32" t="s">
        <v>28</v>
      </c>
      <c r="S359" s="30">
        <f t="shared" ca="1" si="13"/>
        <v>40470.53652858796</v>
      </c>
      <c r="T359" s="31">
        <f t="shared" ca="1" si="14"/>
        <v>14</v>
      </c>
      <c r="U359" s="32" t="s">
        <v>42</v>
      </c>
      <c r="V359" s="32" t="s">
        <v>56</v>
      </c>
      <c r="W359" s="32" t="s">
        <v>56</v>
      </c>
      <c r="X359" s="32" t="s">
        <v>224</v>
      </c>
      <c r="Y359" s="32" t="s">
        <v>42</v>
      </c>
      <c r="Z359" s="35"/>
      <c r="AA359" s="35"/>
      <c r="AB359" s="32"/>
      <c r="AC359" s="12" t="s">
        <v>2510</v>
      </c>
      <c r="AD359" s="25">
        <v>40298</v>
      </c>
      <c r="AE359" s="25"/>
      <c r="AF359" s="25"/>
      <c r="AG359" s="25"/>
      <c r="AH359" s="11" t="s">
        <v>219</v>
      </c>
    </row>
    <row r="360" spans="1:34" s="37" customFormat="1">
      <c r="A360" s="33">
        <v>358</v>
      </c>
      <c r="B360" s="29">
        <v>40034</v>
      </c>
      <c r="C360" s="30">
        <v>40052</v>
      </c>
      <c r="D360" s="30"/>
      <c r="E360" s="38" t="s">
        <v>1209</v>
      </c>
      <c r="F360" s="31"/>
      <c r="G360" s="32" t="s">
        <v>37</v>
      </c>
      <c r="H360" s="33">
        <v>19</v>
      </c>
      <c r="I360" s="32" t="s">
        <v>1210</v>
      </c>
      <c r="J360" s="31"/>
      <c r="K360" s="31" t="s">
        <v>291</v>
      </c>
      <c r="L360" s="32" t="s">
        <v>24</v>
      </c>
      <c r="M360" s="30">
        <v>40050</v>
      </c>
      <c r="N360" s="33">
        <v>1</v>
      </c>
      <c r="O360" s="32" t="s">
        <v>40</v>
      </c>
      <c r="P360" s="32" t="s">
        <v>265</v>
      </c>
      <c r="Q360" s="32" t="s">
        <v>110</v>
      </c>
      <c r="R360" s="32" t="s">
        <v>56</v>
      </c>
      <c r="S360" s="30">
        <f t="shared" ca="1" si="13"/>
        <v>40470.53652858796</v>
      </c>
      <c r="T360" s="31">
        <f t="shared" ca="1" si="14"/>
        <v>14</v>
      </c>
      <c r="U360" s="32" t="s">
        <v>42</v>
      </c>
      <c r="V360" s="32" t="s">
        <v>42</v>
      </c>
      <c r="W360" s="32" t="s">
        <v>42</v>
      </c>
      <c r="X360" s="32" t="s">
        <v>42</v>
      </c>
      <c r="Y360" s="32" t="s">
        <v>42</v>
      </c>
      <c r="Z360" s="35"/>
      <c r="AA360" s="35"/>
      <c r="AB360" s="32"/>
      <c r="AC360" s="12" t="s">
        <v>2510</v>
      </c>
      <c r="AD360" s="25">
        <v>40225</v>
      </c>
      <c r="AE360" s="25"/>
      <c r="AF360" s="25"/>
      <c r="AG360" s="25"/>
      <c r="AH360" s="11" t="s">
        <v>219</v>
      </c>
    </row>
    <row r="361" spans="1:34" s="37" customFormat="1" ht="12.75" customHeight="1">
      <c r="A361" s="33">
        <v>359</v>
      </c>
      <c r="B361" s="29">
        <v>40034</v>
      </c>
      <c r="C361" s="30">
        <v>40054</v>
      </c>
      <c r="D361" s="30"/>
      <c r="E361" s="38" t="s">
        <v>1211</v>
      </c>
      <c r="F361" s="31"/>
      <c r="G361" s="32" t="s">
        <v>37</v>
      </c>
      <c r="H361" s="33">
        <v>36</v>
      </c>
      <c r="I361" s="32" t="s">
        <v>1212</v>
      </c>
      <c r="J361" s="31" t="s">
        <v>1213</v>
      </c>
      <c r="K361" s="31" t="s">
        <v>291</v>
      </c>
      <c r="L361" s="32" t="s">
        <v>24</v>
      </c>
      <c r="M361" s="30">
        <v>40052</v>
      </c>
      <c r="N361" s="33">
        <v>1</v>
      </c>
      <c r="O361" s="32" t="s">
        <v>25</v>
      </c>
      <c r="P361" s="32" t="s">
        <v>26</v>
      </c>
      <c r="Q361" s="32" t="s">
        <v>27</v>
      </c>
      <c r="R361" s="32" t="s">
        <v>56</v>
      </c>
      <c r="S361" s="30">
        <f t="shared" ca="1" si="13"/>
        <v>40470.53652858796</v>
      </c>
      <c r="T361" s="31">
        <f t="shared" ca="1" si="14"/>
        <v>14</v>
      </c>
      <c r="U361" s="32" t="s">
        <v>56</v>
      </c>
      <c r="V361" s="32" t="s">
        <v>42</v>
      </c>
      <c r="W361" s="32" t="s">
        <v>224</v>
      </c>
      <c r="X361" s="32" t="s">
        <v>56</v>
      </c>
      <c r="Y361" s="32" t="s">
        <v>42</v>
      </c>
      <c r="Z361" s="35"/>
      <c r="AA361" s="35"/>
      <c r="AB361" s="32"/>
      <c r="AC361" s="12" t="s">
        <v>2510</v>
      </c>
      <c r="AD361" s="25">
        <v>40303</v>
      </c>
      <c r="AE361" s="25"/>
      <c r="AF361" s="25"/>
      <c r="AG361" s="25"/>
      <c r="AH361" s="11" t="s">
        <v>219</v>
      </c>
    </row>
    <row r="362" spans="1:34" s="37" customFormat="1" ht="12.75" customHeight="1">
      <c r="A362" s="33">
        <v>360</v>
      </c>
      <c r="B362" s="29">
        <v>40034</v>
      </c>
      <c r="C362" s="30">
        <v>40056</v>
      </c>
      <c r="D362" s="30"/>
      <c r="E362" s="38" t="s">
        <v>1214</v>
      </c>
      <c r="F362" s="31"/>
      <c r="G362" s="32" t="s">
        <v>37</v>
      </c>
      <c r="H362" s="33">
        <v>23</v>
      </c>
      <c r="I362" s="32" t="s">
        <v>1215</v>
      </c>
      <c r="J362" s="31" t="s">
        <v>1147</v>
      </c>
      <c r="K362" s="31" t="s">
        <v>39</v>
      </c>
      <c r="L362" s="32" t="s">
        <v>24</v>
      </c>
      <c r="M362" s="30">
        <v>40056</v>
      </c>
      <c r="N362" s="33">
        <v>1</v>
      </c>
      <c r="O362" s="32" t="s">
        <v>25</v>
      </c>
      <c r="P362" s="32" t="s">
        <v>26</v>
      </c>
      <c r="Q362" s="32" t="s">
        <v>27</v>
      </c>
      <c r="R362" s="32" t="s">
        <v>28</v>
      </c>
      <c r="S362" s="30">
        <f t="shared" ca="1" si="13"/>
        <v>40470.53652858796</v>
      </c>
      <c r="T362" s="31">
        <f t="shared" ca="1" si="14"/>
        <v>14</v>
      </c>
      <c r="U362" s="32" t="s">
        <v>56</v>
      </c>
      <c r="V362" s="32" t="s">
        <v>42</v>
      </c>
      <c r="W362" s="32" t="s">
        <v>224</v>
      </c>
      <c r="X362" s="32" t="s">
        <v>56</v>
      </c>
      <c r="Y362" s="32" t="s">
        <v>42</v>
      </c>
      <c r="Z362" s="35"/>
      <c r="AA362" s="35"/>
      <c r="AB362" s="32"/>
      <c r="AC362" s="12" t="s">
        <v>2510</v>
      </c>
      <c r="AD362" s="25">
        <v>40379</v>
      </c>
      <c r="AE362" s="25"/>
      <c r="AF362" s="25"/>
      <c r="AG362" s="25"/>
      <c r="AH362" s="11" t="s">
        <v>219</v>
      </c>
    </row>
    <row r="363" spans="1:34" s="37" customFormat="1" ht="12.75" customHeight="1">
      <c r="A363" s="33">
        <v>361</v>
      </c>
      <c r="B363" s="29">
        <v>40065</v>
      </c>
      <c r="C363" s="30">
        <v>40057</v>
      </c>
      <c r="D363" s="30"/>
      <c r="E363" s="38" t="s">
        <v>1216</v>
      </c>
      <c r="F363" s="31"/>
      <c r="G363" s="32" t="s">
        <v>37</v>
      </c>
      <c r="H363" s="33">
        <v>70</v>
      </c>
      <c r="I363" s="32" t="s">
        <v>1217</v>
      </c>
      <c r="J363" s="31" t="s">
        <v>1218</v>
      </c>
      <c r="K363" s="31" t="s">
        <v>59</v>
      </c>
      <c r="L363" s="32" t="s">
        <v>24</v>
      </c>
      <c r="M363" s="30">
        <v>40057</v>
      </c>
      <c r="N363" s="33">
        <v>1</v>
      </c>
      <c r="O363" s="32" t="s">
        <v>25</v>
      </c>
      <c r="P363" s="32" t="s">
        <v>26</v>
      </c>
      <c r="Q363" s="32" t="s">
        <v>27</v>
      </c>
      <c r="R363" s="32" t="s">
        <v>60</v>
      </c>
      <c r="S363" s="30">
        <f t="shared" ca="1" si="13"/>
        <v>40470.53652858796</v>
      </c>
      <c r="T363" s="31">
        <f t="shared" ca="1" si="14"/>
        <v>13</v>
      </c>
      <c r="U363" s="32" t="s">
        <v>224</v>
      </c>
      <c r="V363" s="32" t="s">
        <v>42</v>
      </c>
      <c r="W363" s="32" t="s">
        <v>224</v>
      </c>
      <c r="X363" s="32" t="s">
        <v>224</v>
      </c>
      <c r="Y363" s="32" t="s">
        <v>42</v>
      </c>
      <c r="Z363" s="35"/>
      <c r="AA363" s="35"/>
      <c r="AB363" s="32"/>
      <c r="AC363" s="12" t="s">
        <v>2519</v>
      </c>
      <c r="AD363" s="25">
        <v>40087</v>
      </c>
      <c r="AE363" s="25"/>
      <c r="AF363" s="25"/>
      <c r="AG363" s="25"/>
      <c r="AH363" s="11" t="s">
        <v>158</v>
      </c>
    </row>
    <row r="364" spans="1:34" s="37" customFormat="1" ht="12.75" customHeight="1">
      <c r="A364" s="33">
        <v>362</v>
      </c>
      <c r="B364" s="29">
        <v>40065</v>
      </c>
      <c r="C364" s="30">
        <v>40057</v>
      </c>
      <c r="D364" s="30"/>
      <c r="E364" s="38" t="s">
        <v>1219</v>
      </c>
      <c r="F364" s="31"/>
      <c r="G364" s="32" t="s">
        <v>20</v>
      </c>
      <c r="H364" s="33">
        <v>64</v>
      </c>
      <c r="I364" s="32" t="s">
        <v>1220</v>
      </c>
      <c r="J364" s="31"/>
      <c r="K364" s="31" t="s">
        <v>291</v>
      </c>
      <c r="L364" s="32" t="s">
        <v>24</v>
      </c>
      <c r="M364" s="30">
        <v>40057</v>
      </c>
      <c r="N364" s="33">
        <v>2</v>
      </c>
      <c r="O364" s="32" t="s">
        <v>25</v>
      </c>
      <c r="P364" s="32" t="s">
        <v>26</v>
      </c>
      <c r="Q364" s="32" t="s">
        <v>49</v>
      </c>
      <c r="R364" s="32" t="s">
        <v>2731</v>
      </c>
      <c r="S364" s="30">
        <f t="shared" ca="1" si="13"/>
        <v>40470.53652858796</v>
      </c>
      <c r="T364" s="31">
        <f t="shared" ca="1" si="14"/>
        <v>13</v>
      </c>
      <c r="U364" s="32" t="s">
        <v>42</v>
      </c>
      <c r="V364" s="32" t="s">
        <v>56</v>
      </c>
      <c r="W364" s="32" t="s">
        <v>56</v>
      </c>
      <c r="X364" s="32" t="s">
        <v>56</v>
      </c>
      <c r="Y364" s="32" t="s">
        <v>42</v>
      </c>
      <c r="Z364" s="35"/>
      <c r="AA364" s="35"/>
      <c r="AB364" s="32"/>
      <c r="AC364" s="12" t="s">
        <v>915</v>
      </c>
      <c r="AD364" s="25">
        <v>40311</v>
      </c>
      <c r="AE364" s="25"/>
      <c r="AF364" s="25"/>
      <c r="AG364" s="25"/>
      <c r="AH364" s="11" t="s">
        <v>61</v>
      </c>
    </row>
    <row r="365" spans="1:34" s="37" customFormat="1" ht="12.75" customHeight="1">
      <c r="A365" s="33">
        <v>363</v>
      </c>
      <c r="B365" s="29">
        <v>40065</v>
      </c>
      <c r="C365" s="30">
        <v>40057</v>
      </c>
      <c r="D365" s="30"/>
      <c r="E365" s="38" t="s">
        <v>1221</v>
      </c>
      <c r="F365" s="31"/>
      <c r="G365" s="32" t="s">
        <v>20</v>
      </c>
      <c r="H365" s="33">
        <v>19</v>
      </c>
      <c r="I365" s="32" t="s">
        <v>1222</v>
      </c>
      <c r="J365" s="31" t="s">
        <v>1223</v>
      </c>
      <c r="K365" s="31" t="s">
        <v>223</v>
      </c>
      <c r="L365" s="32" t="s">
        <v>24</v>
      </c>
      <c r="M365" s="30">
        <v>40057</v>
      </c>
      <c r="N365" s="33">
        <v>1</v>
      </c>
      <c r="O365" s="32" t="s">
        <v>25</v>
      </c>
      <c r="P365" s="32" t="s">
        <v>26</v>
      </c>
      <c r="Q365" s="32" t="s">
        <v>27</v>
      </c>
      <c r="R365" s="32" t="s">
        <v>60</v>
      </c>
      <c r="S365" s="30">
        <f t="shared" ca="1" si="13"/>
        <v>40470.53652858796</v>
      </c>
      <c r="T365" s="31">
        <f t="shared" ca="1" si="14"/>
        <v>13</v>
      </c>
      <c r="U365" s="32" t="s">
        <v>224</v>
      </c>
      <c r="V365" s="32" t="s">
        <v>42</v>
      </c>
      <c r="W365" s="32" t="s">
        <v>224</v>
      </c>
      <c r="X365" s="32" t="s">
        <v>224</v>
      </c>
      <c r="Y365" s="32" t="s">
        <v>42</v>
      </c>
      <c r="Z365" s="35"/>
      <c r="AA365" s="35"/>
      <c r="AB365" s="32"/>
      <c r="AC365" s="12" t="s">
        <v>2519</v>
      </c>
      <c r="AD365" s="25">
        <v>40087</v>
      </c>
      <c r="AE365" s="25"/>
      <c r="AF365" s="25"/>
      <c r="AG365" s="25"/>
      <c r="AH365" s="11" t="s">
        <v>158</v>
      </c>
    </row>
    <row r="366" spans="1:34" s="37" customFormat="1" ht="12.75" customHeight="1">
      <c r="A366" s="33">
        <v>364</v>
      </c>
      <c r="B366" s="29">
        <v>40065</v>
      </c>
      <c r="C366" s="30">
        <v>40057</v>
      </c>
      <c r="D366" s="30"/>
      <c r="E366" s="38" t="s">
        <v>1224</v>
      </c>
      <c r="F366" s="31"/>
      <c r="G366" s="32" t="s">
        <v>20</v>
      </c>
      <c r="H366" s="33">
        <v>45</v>
      </c>
      <c r="I366" s="32" t="s">
        <v>1225</v>
      </c>
      <c r="J366" s="31" t="s">
        <v>1226</v>
      </c>
      <c r="K366" s="31" t="s">
        <v>253</v>
      </c>
      <c r="L366" s="32" t="s">
        <v>24</v>
      </c>
      <c r="M366" s="30">
        <v>40057</v>
      </c>
      <c r="N366" s="33">
        <v>1</v>
      </c>
      <c r="O366" s="32" t="s">
        <v>25</v>
      </c>
      <c r="P366" s="32" t="s">
        <v>26</v>
      </c>
      <c r="Q366" s="32" t="s">
        <v>27</v>
      </c>
      <c r="R366" s="32" t="s">
        <v>28</v>
      </c>
      <c r="S366" s="30">
        <f t="shared" ca="1" si="13"/>
        <v>40470.53652858796</v>
      </c>
      <c r="T366" s="31">
        <f t="shared" ca="1" si="14"/>
        <v>13</v>
      </c>
      <c r="U366" s="32" t="s">
        <v>42</v>
      </c>
      <c r="V366" s="32" t="s">
        <v>56</v>
      </c>
      <c r="W366" s="32" t="s">
        <v>56</v>
      </c>
      <c r="X366" s="32" t="s">
        <v>56</v>
      </c>
      <c r="Y366" s="32" t="s">
        <v>42</v>
      </c>
      <c r="Z366" s="35"/>
      <c r="AA366" s="35"/>
      <c r="AB366" s="32"/>
      <c r="AC366" s="12" t="s">
        <v>915</v>
      </c>
      <c r="AD366" s="25">
        <v>40281</v>
      </c>
      <c r="AE366" s="25"/>
      <c r="AF366" s="25"/>
      <c r="AG366" s="25"/>
      <c r="AH366" s="11" t="s">
        <v>61</v>
      </c>
    </row>
    <row r="367" spans="1:34" s="37" customFormat="1" ht="12.75" customHeight="1">
      <c r="A367" s="33">
        <v>365</v>
      </c>
      <c r="B367" s="29">
        <v>40065</v>
      </c>
      <c r="C367" s="30">
        <v>40059</v>
      </c>
      <c r="D367" s="30"/>
      <c r="E367" s="38" t="s">
        <v>1227</v>
      </c>
      <c r="F367" s="31"/>
      <c r="G367" s="32" t="s">
        <v>37</v>
      </c>
      <c r="H367" s="33">
        <v>17</v>
      </c>
      <c r="I367" s="32" t="s">
        <v>1228</v>
      </c>
      <c r="J367" s="31" t="s">
        <v>1229</v>
      </c>
      <c r="K367" s="31" t="s">
        <v>39</v>
      </c>
      <c r="L367" s="32" t="s">
        <v>24</v>
      </c>
      <c r="M367" s="30">
        <v>40059</v>
      </c>
      <c r="N367" s="33">
        <v>2</v>
      </c>
      <c r="O367" s="32" t="s">
        <v>25</v>
      </c>
      <c r="P367" s="32" t="s">
        <v>26</v>
      </c>
      <c r="Q367" s="32" t="s">
        <v>110</v>
      </c>
      <c r="R367" s="32" t="s">
        <v>65</v>
      </c>
      <c r="S367" s="30">
        <f t="shared" ca="1" si="13"/>
        <v>40470.53652858796</v>
      </c>
      <c r="T367" s="31">
        <f t="shared" ca="1" si="14"/>
        <v>13</v>
      </c>
      <c r="U367" s="32" t="s">
        <v>2731</v>
      </c>
      <c r="V367" s="32" t="s">
        <v>42</v>
      </c>
      <c r="W367" s="32" t="s">
        <v>56</v>
      </c>
      <c r="X367" s="32" t="s">
        <v>56</v>
      </c>
      <c r="Y367" s="32" t="s">
        <v>42</v>
      </c>
      <c r="Z367" s="35"/>
      <c r="AA367" s="35"/>
      <c r="AB367" s="32"/>
      <c r="AC367" s="12" t="s">
        <v>915</v>
      </c>
      <c r="AD367" s="25">
        <v>40310</v>
      </c>
      <c r="AE367" s="25"/>
      <c r="AF367" s="25"/>
      <c r="AG367" s="25"/>
      <c r="AH367" s="11" t="s">
        <v>61</v>
      </c>
    </row>
    <row r="368" spans="1:34" s="37" customFormat="1">
      <c r="A368" s="33">
        <v>366</v>
      </c>
      <c r="B368" s="29">
        <v>40065</v>
      </c>
      <c r="C368" s="30">
        <v>40060</v>
      </c>
      <c r="D368" s="30"/>
      <c r="E368" s="38" t="s">
        <v>1230</v>
      </c>
      <c r="F368" s="31"/>
      <c r="G368" s="32" t="s">
        <v>20</v>
      </c>
      <c r="H368" s="33">
        <v>35</v>
      </c>
      <c r="I368" s="32" t="s">
        <v>1231</v>
      </c>
      <c r="J368" s="31" t="s">
        <v>1232</v>
      </c>
      <c r="K368" s="31" t="s">
        <v>223</v>
      </c>
      <c r="L368" s="32" t="s">
        <v>24</v>
      </c>
      <c r="M368" s="30">
        <v>40060</v>
      </c>
      <c r="N368" s="33">
        <v>1</v>
      </c>
      <c r="O368" s="32" t="s">
        <v>40</v>
      </c>
      <c r="P368" s="32" t="s">
        <v>109</v>
      </c>
      <c r="Q368" s="32" t="s">
        <v>27</v>
      </c>
      <c r="R368" s="32" t="s">
        <v>56</v>
      </c>
      <c r="S368" s="30">
        <f t="shared" ca="1" si="13"/>
        <v>40470.53652858796</v>
      </c>
      <c r="T368" s="31">
        <f t="shared" ca="1" si="14"/>
        <v>13</v>
      </c>
      <c r="U368" s="32" t="s">
        <v>42</v>
      </c>
      <c r="V368" s="32" t="s">
        <v>42</v>
      </c>
      <c r="W368" s="32" t="s">
        <v>42</v>
      </c>
      <c r="X368" s="32" t="s">
        <v>42</v>
      </c>
      <c r="Y368" s="32" t="s">
        <v>42</v>
      </c>
      <c r="Z368" s="35"/>
      <c r="AA368" s="35"/>
      <c r="AB368" s="32"/>
      <c r="AC368" s="12" t="s">
        <v>785</v>
      </c>
      <c r="AD368" s="25">
        <v>40061</v>
      </c>
      <c r="AE368" s="25"/>
      <c r="AF368" s="25"/>
      <c r="AG368" s="25"/>
      <c r="AH368" s="11" t="s">
        <v>122</v>
      </c>
    </row>
    <row r="369" spans="1:34" s="37" customFormat="1" ht="12.75" customHeight="1">
      <c r="A369" s="33">
        <v>367</v>
      </c>
      <c r="B369" s="29">
        <v>40065</v>
      </c>
      <c r="C369" s="30">
        <v>40060</v>
      </c>
      <c r="D369" s="30"/>
      <c r="E369" s="38" t="s">
        <v>1233</v>
      </c>
      <c r="F369" s="31"/>
      <c r="G369" s="32" t="s">
        <v>37</v>
      </c>
      <c r="H369" s="33">
        <v>41</v>
      </c>
      <c r="I369" s="32" t="s">
        <v>1234</v>
      </c>
      <c r="J369" s="31"/>
      <c r="K369" s="31" t="s">
        <v>291</v>
      </c>
      <c r="L369" s="32" t="s">
        <v>24</v>
      </c>
      <c r="M369" s="30">
        <v>40060</v>
      </c>
      <c r="N369" s="33">
        <v>1</v>
      </c>
      <c r="O369" s="32" t="s">
        <v>25</v>
      </c>
      <c r="P369" s="32" t="s">
        <v>26</v>
      </c>
      <c r="Q369" s="32" t="s">
        <v>27</v>
      </c>
      <c r="R369" s="32" t="s">
        <v>56</v>
      </c>
      <c r="S369" s="30">
        <f t="shared" ca="1" si="13"/>
        <v>40470.53652858796</v>
      </c>
      <c r="T369" s="31">
        <f t="shared" ca="1" si="14"/>
        <v>13</v>
      </c>
      <c r="U369" s="32" t="s">
        <v>56</v>
      </c>
      <c r="V369" s="32" t="s">
        <v>42</v>
      </c>
      <c r="W369" s="32" t="s">
        <v>224</v>
      </c>
      <c r="X369" s="32" t="s">
        <v>56</v>
      </c>
      <c r="Y369" s="32" t="s">
        <v>42</v>
      </c>
      <c r="Z369" s="35"/>
      <c r="AA369" s="35"/>
      <c r="AB369" s="32"/>
      <c r="AC369" s="12" t="s">
        <v>2510</v>
      </c>
      <c r="AD369" s="25">
        <v>40339</v>
      </c>
      <c r="AE369" s="25"/>
      <c r="AF369" s="25"/>
      <c r="AG369" s="25"/>
      <c r="AH369" s="11" t="s">
        <v>219</v>
      </c>
    </row>
    <row r="370" spans="1:34" s="37" customFormat="1">
      <c r="A370" s="33">
        <v>368</v>
      </c>
      <c r="B370" s="29">
        <v>40065</v>
      </c>
      <c r="C370" s="30">
        <v>40064</v>
      </c>
      <c r="D370" s="30"/>
      <c r="E370" s="38" t="s">
        <v>1235</v>
      </c>
      <c r="F370" s="31"/>
      <c r="G370" s="32" t="s">
        <v>37</v>
      </c>
      <c r="H370" s="33">
        <v>50</v>
      </c>
      <c r="I370" s="32" t="s">
        <v>1236</v>
      </c>
      <c r="J370" s="31" t="s">
        <v>1237</v>
      </c>
      <c r="K370" s="31" t="s">
        <v>71</v>
      </c>
      <c r="L370" s="32" t="s">
        <v>24</v>
      </c>
      <c r="M370" s="30">
        <v>40064</v>
      </c>
      <c r="N370" s="33">
        <v>1</v>
      </c>
      <c r="O370" s="32" t="s">
        <v>40</v>
      </c>
      <c r="P370" s="32" t="s">
        <v>72</v>
      </c>
      <c r="Q370" s="32" t="s">
        <v>27</v>
      </c>
      <c r="R370" s="32" t="s">
        <v>56</v>
      </c>
      <c r="S370" s="30">
        <f t="shared" ca="1" si="13"/>
        <v>40470.53652858796</v>
      </c>
      <c r="T370" s="31">
        <f t="shared" ca="1" si="14"/>
        <v>13</v>
      </c>
      <c r="U370" s="32" t="s">
        <v>42</v>
      </c>
      <c r="V370" s="32" t="s">
        <v>42</v>
      </c>
      <c r="W370" s="32" t="s">
        <v>42</v>
      </c>
      <c r="X370" s="32" t="s">
        <v>42</v>
      </c>
      <c r="Y370" s="32" t="s">
        <v>42</v>
      </c>
      <c r="Z370" s="35"/>
      <c r="AA370" s="35"/>
      <c r="AB370" s="32"/>
      <c r="AC370" s="12" t="s">
        <v>785</v>
      </c>
      <c r="AD370" s="25">
        <v>40135</v>
      </c>
      <c r="AE370" s="25"/>
      <c r="AF370" s="25"/>
      <c r="AG370" s="25"/>
      <c r="AH370" s="11" t="s">
        <v>122</v>
      </c>
    </row>
    <row r="371" spans="1:34" s="37" customFormat="1" ht="12.75" customHeight="1">
      <c r="A371" s="33">
        <v>369</v>
      </c>
      <c r="B371" s="29">
        <v>40065</v>
      </c>
      <c r="C371" s="30">
        <v>40065</v>
      </c>
      <c r="D371" s="30"/>
      <c r="E371" s="38" t="s">
        <v>1238</v>
      </c>
      <c r="F371" s="31"/>
      <c r="G371" s="32" t="s">
        <v>37</v>
      </c>
      <c r="H371" s="33">
        <v>18</v>
      </c>
      <c r="I371" s="32" t="s">
        <v>1239</v>
      </c>
      <c r="J371" s="31" t="s">
        <v>1240</v>
      </c>
      <c r="K371" s="31" t="s">
        <v>206</v>
      </c>
      <c r="L371" s="32" t="s">
        <v>24</v>
      </c>
      <c r="M371" s="30">
        <v>40065</v>
      </c>
      <c r="N371" s="33">
        <v>1</v>
      </c>
      <c r="O371" s="32" t="s">
        <v>25</v>
      </c>
      <c r="P371" s="32" t="s">
        <v>26</v>
      </c>
      <c r="Q371" s="32" t="s">
        <v>27</v>
      </c>
      <c r="R371" s="32" t="s">
        <v>28</v>
      </c>
      <c r="S371" s="30">
        <f t="shared" ca="1" si="13"/>
        <v>40470.53652858796</v>
      </c>
      <c r="T371" s="31">
        <f t="shared" ca="1" si="14"/>
        <v>13</v>
      </c>
      <c r="U371" s="32" t="s">
        <v>224</v>
      </c>
      <c r="V371" s="32" t="s">
        <v>42</v>
      </c>
      <c r="W371" s="32" t="s">
        <v>224</v>
      </c>
      <c r="X371" s="32" t="s">
        <v>224</v>
      </c>
      <c r="Y371" s="32" t="s">
        <v>42</v>
      </c>
      <c r="Z371" s="35"/>
      <c r="AA371" s="35"/>
      <c r="AB371" s="32"/>
      <c r="AC371" s="12" t="s">
        <v>2648</v>
      </c>
      <c r="AD371" s="25">
        <v>40361</v>
      </c>
      <c r="AE371" s="25"/>
      <c r="AF371" s="25"/>
      <c r="AG371" s="25"/>
      <c r="AH371" s="25" t="s">
        <v>1421</v>
      </c>
    </row>
    <row r="372" spans="1:34" s="37" customFormat="1">
      <c r="A372" s="33">
        <v>370</v>
      </c>
      <c r="B372" s="29">
        <v>40065</v>
      </c>
      <c r="C372" s="30">
        <v>40066</v>
      </c>
      <c r="D372" s="30"/>
      <c r="E372" s="38" t="s">
        <v>1241</v>
      </c>
      <c r="F372" s="31"/>
      <c r="G372" s="32" t="s">
        <v>37</v>
      </c>
      <c r="H372" s="33">
        <v>17</v>
      </c>
      <c r="I372" s="32" t="s">
        <v>1242</v>
      </c>
      <c r="J372" s="31"/>
      <c r="K372" s="31" t="s">
        <v>39</v>
      </c>
      <c r="L372" s="32" t="s">
        <v>24</v>
      </c>
      <c r="M372" s="30">
        <v>40066</v>
      </c>
      <c r="N372" s="33">
        <v>1</v>
      </c>
      <c r="O372" s="32" t="s">
        <v>40</v>
      </c>
      <c r="P372" s="32" t="s">
        <v>176</v>
      </c>
      <c r="Q372" s="32" t="s">
        <v>27</v>
      </c>
      <c r="R372" s="32" t="s">
        <v>56</v>
      </c>
      <c r="S372" s="30">
        <f t="shared" ca="1" si="13"/>
        <v>40470.53652858796</v>
      </c>
      <c r="T372" s="31">
        <f t="shared" ca="1" si="14"/>
        <v>13</v>
      </c>
      <c r="U372" s="32" t="s">
        <v>42</v>
      </c>
      <c r="V372" s="32" t="s">
        <v>42</v>
      </c>
      <c r="W372" s="32" t="s">
        <v>42</v>
      </c>
      <c r="X372" s="32" t="s">
        <v>42</v>
      </c>
      <c r="Y372" s="32" t="s">
        <v>42</v>
      </c>
      <c r="Z372" s="35"/>
      <c r="AA372" s="35"/>
      <c r="AB372" s="32"/>
      <c r="AC372" s="12" t="s">
        <v>2510</v>
      </c>
      <c r="AD372" s="25">
        <v>40337</v>
      </c>
      <c r="AE372" s="25"/>
      <c r="AF372" s="25"/>
      <c r="AG372" s="25"/>
      <c r="AH372" s="11" t="s">
        <v>219</v>
      </c>
    </row>
    <row r="373" spans="1:34" s="37" customFormat="1" ht="12.75" customHeight="1">
      <c r="A373" s="33">
        <v>371</v>
      </c>
      <c r="B373" s="29">
        <v>40065</v>
      </c>
      <c r="C373" s="30">
        <v>40067</v>
      </c>
      <c r="D373" s="30"/>
      <c r="E373" s="38" t="s">
        <v>1243</v>
      </c>
      <c r="F373" s="31"/>
      <c r="G373" s="32" t="s">
        <v>37</v>
      </c>
      <c r="H373" s="33">
        <v>16</v>
      </c>
      <c r="I373" s="32" t="s">
        <v>1244</v>
      </c>
      <c r="J373" s="31" t="s">
        <v>1245</v>
      </c>
      <c r="K373" s="31" t="s">
        <v>223</v>
      </c>
      <c r="L373" s="32" t="s">
        <v>24</v>
      </c>
      <c r="M373" s="30">
        <v>40067</v>
      </c>
      <c r="N373" s="33">
        <v>1</v>
      </c>
      <c r="O373" s="32" t="s">
        <v>25</v>
      </c>
      <c r="P373" s="32" t="s">
        <v>26</v>
      </c>
      <c r="Q373" s="32" t="s">
        <v>27</v>
      </c>
      <c r="R373" s="32" t="s">
        <v>2729</v>
      </c>
      <c r="S373" s="30">
        <f t="shared" ca="1" si="13"/>
        <v>40470.53652858796</v>
      </c>
      <c r="T373" s="31">
        <f t="shared" ca="1" si="14"/>
        <v>13</v>
      </c>
      <c r="U373" s="32" t="s">
        <v>224</v>
      </c>
      <c r="V373" s="32" t="s">
        <v>42</v>
      </c>
      <c r="W373" s="32" t="s">
        <v>224</v>
      </c>
      <c r="X373" s="32" t="s">
        <v>224</v>
      </c>
      <c r="Y373" s="32" t="s">
        <v>42</v>
      </c>
      <c r="Z373" s="35"/>
      <c r="AA373" s="35"/>
      <c r="AB373" s="32"/>
      <c r="AC373" s="12" t="s">
        <v>35</v>
      </c>
      <c r="AD373" s="25"/>
      <c r="AE373" s="25"/>
      <c r="AF373" s="25"/>
      <c r="AG373" s="25"/>
      <c r="AH373" s="11" t="s">
        <v>35</v>
      </c>
    </row>
    <row r="374" spans="1:34" s="37" customFormat="1" ht="12.75" customHeight="1">
      <c r="A374" s="33">
        <v>372</v>
      </c>
      <c r="B374" s="29">
        <v>40065</v>
      </c>
      <c r="C374" s="30">
        <v>40070</v>
      </c>
      <c r="D374" s="30"/>
      <c r="E374" s="38" t="s">
        <v>1246</v>
      </c>
      <c r="F374" s="31"/>
      <c r="G374" s="32" t="s">
        <v>37</v>
      </c>
      <c r="H374" s="33">
        <v>60</v>
      </c>
      <c r="I374" s="32" t="s">
        <v>1247</v>
      </c>
      <c r="J374" s="31" t="s">
        <v>1248</v>
      </c>
      <c r="K374" s="31" t="s">
        <v>59</v>
      </c>
      <c r="L374" s="32" t="s">
        <v>24</v>
      </c>
      <c r="M374" s="30">
        <v>40070</v>
      </c>
      <c r="N374" s="33">
        <v>1</v>
      </c>
      <c r="O374" s="32" t="s">
        <v>25</v>
      </c>
      <c r="P374" s="32" t="s">
        <v>26</v>
      </c>
      <c r="Q374" s="32" t="s">
        <v>27</v>
      </c>
      <c r="R374" s="32" t="s">
        <v>60</v>
      </c>
      <c r="S374" s="30">
        <f t="shared" ca="1" si="13"/>
        <v>40470.53652858796</v>
      </c>
      <c r="T374" s="31">
        <f t="shared" ca="1" si="14"/>
        <v>13</v>
      </c>
      <c r="U374" s="32" t="s">
        <v>28</v>
      </c>
      <c r="V374" s="32" t="s">
        <v>56</v>
      </c>
      <c r="W374" s="32" t="s">
        <v>56</v>
      </c>
      <c r="X374" s="32" t="s">
        <v>224</v>
      </c>
      <c r="Y374" s="32" t="s">
        <v>42</v>
      </c>
      <c r="Z374" s="35"/>
      <c r="AA374" s="35"/>
      <c r="AB374" s="32"/>
      <c r="AC374" s="12" t="s">
        <v>2510</v>
      </c>
      <c r="AD374" s="25">
        <v>40359</v>
      </c>
      <c r="AE374" s="25"/>
      <c r="AF374" s="25"/>
      <c r="AG374" s="25"/>
      <c r="AH374" s="11" t="s">
        <v>219</v>
      </c>
    </row>
    <row r="375" spans="1:34" s="37" customFormat="1" ht="12.75" customHeight="1">
      <c r="A375" s="33">
        <v>373</v>
      </c>
      <c r="B375" s="29">
        <v>40065</v>
      </c>
      <c r="C375" s="30">
        <v>40071</v>
      </c>
      <c r="D375" s="30"/>
      <c r="E375" s="38" t="s">
        <v>1249</v>
      </c>
      <c r="F375" s="31"/>
      <c r="G375" s="32" t="s">
        <v>37</v>
      </c>
      <c r="H375" s="33">
        <v>35</v>
      </c>
      <c r="I375" s="32" t="s">
        <v>1250</v>
      </c>
      <c r="J375" s="31"/>
      <c r="K375" s="31" t="s">
        <v>291</v>
      </c>
      <c r="L375" s="32" t="s">
        <v>24</v>
      </c>
      <c r="M375" s="30">
        <v>40071</v>
      </c>
      <c r="N375" s="33">
        <v>2</v>
      </c>
      <c r="O375" s="32" t="s">
        <v>25</v>
      </c>
      <c r="P375" s="32" t="s">
        <v>26</v>
      </c>
      <c r="Q375" s="32" t="s">
        <v>49</v>
      </c>
      <c r="R375" s="32" t="s">
        <v>56</v>
      </c>
      <c r="S375" s="30">
        <f t="shared" ca="1" si="13"/>
        <v>40470.53652858796</v>
      </c>
      <c r="T375" s="31">
        <f t="shared" ca="1" si="14"/>
        <v>13</v>
      </c>
      <c r="U375" s="32" t="s">
        <v>42</v>
      </c>
      <c r="V375" s="32" t="s">
        <v>224</v>
      </c>
      <c r="W375" s="32" t="s">
        <v>224</v>
      </c>
      <c r="X375" s="32" t="s">
        <v>224</v>
      </c>
      <c r="Y375" s="32" t="s">
        <v>42</v>
      </c>
      <c r="Z375" s="35"/>
      <c r="AA375" s="35"/>
      <c r="AB375" s="32"/>
      <c r="AC375" s="12" t="s">
        <v>35</v>
      </c>
      <c r="AD375" s="25"/>
      <c r="AE375" s="25"/>
      <c r="AF375" s="25"/>
      <c r="AG375" s="25"/>
      <c r="AH375" s="11" t="s">
        <v>35</v>
      </c>
    </row>
    <row r="376" spans="1:34" s="37" customFormat="1">
      <c r="A376" s="33">
        <v>374</v>
      </c>
      <c r="B376" s="29">
        <v>40065</v>
      </c>
      <c r="C376" s="30">
        <v>40071</v>
      </c>
      <c r="D376" s="30"/>
      <c r="E376" s="38" t="s">
        <v>1251</v>
      </c>
      <c r="F376" s="31"/>
      <c r="G376" s="32" t="s">
        <v>37</v>
      </c>
      <c r="H376" s="33">
        <v>34</v>
      </c>
      <c r="I376" s="32" t="s">
        <v>1252</v>
      </c>
      <c r="J376" s="31" t="s">
        <v>1253</v>
      </c>
      <c r="K376" s="31" t="s">
        <v>291</v>
      </c>
      <c r="L376" s="32" t="s">
        <v>24</v>
      </c>
      <c r="M376" s="30">
        <v>40071</v>
      </c>
      <c r="N376" s="33">
        <v>1</v>
      </c>
      <c r="O376" s="32" t="s">
        <v>40</v>
      </c>
      <c r="P376" s="32" t="s">
        <v>109</v>
      </c>
      <c r="Q376" s="32" t="s">
        <v>27</v>
      </c>
      <c r="R376" s="32" t="s">
        <v>56</v>
      </c>
      <c r="S376" s="30">
        <f t="shared" ca="1" si="13"/>
        <v>40470.53652858796</v>
      </c>
      <c r="T376" s="31">
        <f t="shared" ca="1" si="14"/>
        <v>13</v>
      </c>
      <c r="U376" s="32" t="s">
        <v>42</v>
      </c>
      <c r="V376" s="32" t="s">
        <v>42</v>
      </c>
      <c r="W376" s="32" t="s">
        <v>42</v>
      </c>
      <c r="X376" s="32" t="s">
        <v>42</v>
      </c>
      <c r="Y376" s="32" t="s">
        <v>42</v>
      </c>
      <c r="Z376" s="35"/>
      <c r="AA376" s="35"/>
      <c r="AB376" s="32"/>
      <c r="AC376" s="12" t="s">
        <v>2510</v>
      </c>
      <c r="AD376" s="25">
        <v>40329</v>
      </c>
      <c r="AE376" s="25"/>
      <c r="AF376" s="25"/>
      <c r="AG376" s="25"/>
      <c r="AH376" s="11" t="s">
        <v>219</v>
      </c>
    </row>
    <row r="377" spans="1:34" s="37" customFormat="1" ht="12.75" customHeight="1">
      <c r="A377" s="33">
        <v>375</v>
      </c>
      <c r="B377" s="29">
        <v>40065</v>
      </c>
      <c r="C377" s="30">
        <v>40071</v>
      </c>
      <c r="D377" s="30"/>
      <c r="E377" s="38" t="s">
        <v>1254</v>
      </c>
      <c r="F377" s="31"/>
      <c r="G377" s="32" t="s">
        <v>37</v>
      </c>
      <c r="H377" s="33">
        <v>15</v>
      </c>
      <c r="I377" s="32" t="s">
        <v>1255</v>
      </c>
      <c r="J377" s="31" t="s">
        <v>1256</v>
      </c>
      <c r="K377" s="31" t="s">
        <v>39</v>
      </c>
      <c r="L377" s="32" t="s">
        <v>24</v>
      </c>
      <c r="M377" s="30">
        <v>40071</v>
      </c>
      <c r="N377" s="33">
        <v>1</v>
      </c>
      <c r="O377" s="32" t="s">
        <v>25</v>
      </c>
      <c r="P377" s="32" t="s">
        <v>26</v>
      </c>
      <c r="Q377" s="32" t="s">
        <v>27</v>
      </c>
      <c r="R377" s="32" t="s">
        <v>60</v>
      </c>
      <c r="S377" s="30">
        <f t="shared" ca="1" si="13"/>
        <v>40470.53652858796</v>
      </c>
      <c r="T377" s="31">
        <f t="shared" ca="1" si="14"/>
        <v>13</v>
      </c>
      <c r="U377" s="32" t="s">
        <v>56</v>
      </c>
      <c r="V377" s="32" t="s">
        <v>42</v>
      </c>
      <c r="W377" s="32" t="s">
        <v>224</v>
      </c>
      <c r="X377" s="32" t="s">
        <v>224</v>
      </c>
      <c r="Y377" s="32" t="s">
        <v>42</v>
      </c>
      <c r="Z377" s="35"/>
      <c r="AA377" s="35"/>
      <c r="AB377" s="32"/>
      <c r="AC377" s="12" t="s">
        <v>915</v>
      </c>
      <c r="AD377" s="25">
        <v>40343</v>
      </c>
      <c r="AE377" s="25"/>
      <c r="AF377" s="25"/>
      <c r="AG377" s="25"/>
      <c r="AH377" s="11" t="s">
        <v>61</v>
      </c>
    </row>
    <row r="378" spans="1:34" s="37" customFormat="1">
      <c r="A378" s="33">
        <v>376</v>
      </c>
      <c r="B378" s="29">
        <v>40065</v>
      </c>
      <c r="C378" s="30">
        <v>40073</v>
      </c>
      <c r="D378" s="30"/>
      <c r="E378" s="38" t="s">
        <v>1089</v>
      </c>
      <c r="F378" s="31"/>
      <c r="G378" s="32" t="s">
        <v>37</v>
      </c>
      <c r="H378" s="33">
        <v>26</v>
      </c>
      <c r="I378" s="32" t="s">
        <v>1090</v>
      </c>
      <c r="J378" s="31" t="s">
        <v>1091</v>
      </c>
      <c r="K378" s="31" t="s">
        <v>291</v>
      </c>
      <c r="L378" s="32" t="s">
        <v>24</v>
      </c>
      <c r="M378" s="30">
        <v>40073</v>
      </c>
      <c r="N378" s="33">
        <v>1</v>
      </c>
      <c r="O378" s="32" t="s">
        <v>40</v>
      </c>
      <c r="P378" s="32" t="s">
        <v>2749</v>
      </c>
      <c r="Q378" s="32" t="s">
        <v>27</v>
      </c>
      <c r="R378" s="32" t="s">
        <v>42</v>
      </c>
      <c r="S378" s="30">
        <f t="shared" ca="1" si="13"/>
        <v>40470.53652858796</v>
      </c>
      <c r="T378" s="31">
        <f t="shared" ca="1" si="14"/>
        <v>13</v>
      </c>
      <c r="U378" s="32" t="s">
        <v>42</v>
      </c>
      <c r="V378" s="32" t="s">
        <v>42</v>
      </c>
      <c r="W378" s="32" t="s">
        <v>42</v>
      </c>
      <c r="X378" s="32" t="s">
        <v>42</v>
      </c>
      <c r="Y378" s="32" t="s">
        <v>42</v>
      </c>
      <c r="Z378" s="35"/>
      <c r="AA378" s="35"/>
      <c r="AB378" s="32"/>
      <c r="AC378" s="12" t="s">
        <v>2510</v>
      </c>
      <c r="AD378" s="25">
        <v>40427</v>
      </c>
      <c r="AE378" s="25"/>
      <c r="AF378" s="25"/>
      <c r="AG378" s="25"/>
      <c r="AH378" s="11" t="s">
        <v>219</v>
      </c>
    </row>
    <row r="379" spans="1:34" s="37" customFormat="1">
      <c r="A379" s="33">
        <v>377</v>
      </c>
      <c r="B379" s="29">
        <v>40065</v>
      </c>
      <c r="C379" s="30">
        <v>40074</v>
      </c>
      <c r="D379" s="30"/>
      <c r="E379" s="38" t="s">
        <v>1092</v>
      </c>
      <c r="F379" s="31"/>
      <c r="G379" s="32" t="s">
        <v>37</v>
      </c>
      <c r="H379" s="33">
        <v>15</v>
      </c>
      <c r="I379" s="32" t="s">
        <v>1093</v>
      </c>
      <c r="J379" s="31" t="s">
        <v>1094</v>
      </c>
      <c r="K379" s="31" t="s">
        <v>39</v>
      </c>
      <c r="L379" s="32" t="s">
        <v>24</v>
      </c>
      <c r="M379" s="30">
        <v>40074</v>
      </c>
      <c r="N379" s="33">
        <v>1</v>
      </c>
      <c r="O379" s="32" t="s">
        <v>40</v>
      </c>
      <c r="P379" s="32" t="s">
        <v>2749</v>
      </c>
      <c r="Q379" s="32" t="s">
        <v>27</v>
      </c>
      <c r="R379" s="32" t="s">
        <v>56</v>
      </c>
      <c r="S379" s="30">
        <f t="shared" ca="1" si="13"/>
        <v>40470.53652858796</v>
      </c>
      <c r="T379" s="31">
        <f t="shared" ca="1" si="14"/>
        <v>13</v>
      </c>
      <c r="U379" s="32" t="s">
        <v>42</v>
      </c>
      <c r="V379" s="32" t="s">
        <v>42</v>
      </c>
      <c r="W379" s="32" t="s">
        <v>42</v>
      </c>
      <c r="X379" s="32" t="s">
        <v>42</v>
      </c>
      <c r="Y379" s="32" t="s">
        <v>42</v>
      </c>
      <c r="Z379" s="35"/>
      <c r="AA379" s="35"/>
      <c r="AB379" s="32"/>
      <c r="AC379" s="12" t="s">
        <v>2510</v>
      </c>
      <c r="AD379" s="25">
        <v>40315</v>
      </c>
      <c r="AE379" s="25"/>
      <c r="AF379" s="25"/>
      <c r="AG379" s="25"/>
      <c r="AH379" s="11" t="s">
        <v>219</v>
      </c>
    </row>
    <row r="380" spans="1:34" s="37" customFormat="1" ht="12.75" customHeight="1">
      <c r="A380" s="33">
        <v>378</v>
      </c>
      <c r="B380" s="29">
        <v>40065</v>
      </c>
      <c r="C380" s="30">
        <v>40074</v>
      </c>
      <c r="D380" s="30"/>
      <c r="E380" s="38" t="s">
        <v>1095</v>
      </c>
      <c r="F380" s="31"/>
      <c r="G380" s="32" t="s">
        <v>20</v>
      </c>
      <c r="H380" s="33">
        <v>19</v>
      </c>
      <c r="I380" s="32" t="s">
        <v>1096</v>
      </c>
      <c r="J380" s="31" t="s">
        <v>1097</v>
      </c>
      <c r="K380" s="31" t="s">
        <v>291</v>
      </c>
      <c r="L380" s="32" t="s">
        <v>24</v>
      </c>
      <c r="M380" s="30">
        <v>40074</v>
      </c>
      <c r="N380" s="33">
        <v>1</v>
      </c>
      <c r="O380" s="32" t="s">
        <v>25</v>
      </c>
      <c r="P380" s="32" t="s">
        <v>26</v>
      </c>
      <c r="Q380" s="32" t="s">
        <v>27</v>
      </c>
      <c r="R380" s="32" t="s">
        <v>56</v>
      </c>
      <c r="S380" s="30">
        <f t="shared" ca="1" si="13"/>
        <v>40470.53652858796</v>
      </c>
      <c r="T380" s="31">
        <f t="shared" ca="1" si="14"/>
        <v>13</v>
      </c>
      <c r="U380" s="32" t="s">
        <v>224</v>
      </c>
      <c r="V380" s="32" t="s">
        <v>42</v>
      </c>
      <c r="W380" s="32" t="s">
        <v>224</v>
      </c>
      <c r="X380" s="32" t="s">
        <v>224</v>
      </c>
      <c r="Y380" s="32" t="s">
        <v>42</v>
      </c>
      <c r="Z380" s="35"/>
      <c r="AA380" s="35"/>
      <c r="AB380" s="32"/>
      <c r="AC380" s="12" t="s">
        <v>785</v>
      </c>
      <c r="AD380" s="25"/>
      <c r="AE380" s="25"/>
      <c r="AF380" s="25"/>
      <c r="AG380" s="25"/>
      <c r="AH380" s="11" t="s">
        <v>122</v>
      </c>
    </row>
    <row r="381" spans="1:34" s="37" customFormat="1">
      <c r="A381" s="33">
        <v>379</v>
      </c>
      <c r="B381" s="29">
        <v>40065</v>
      </c>
      <c r="C381" s="30">
        <v>40080</v>
      </c>
      <c r="D381" s="30"/>
      <c r="E381" s="38" t="s">
        <v>1098</v>
      </c>
      <c r="F381" s="31"/>
      <c r="G381" s="32" t="s">
        <v>20</v>
      </c>
      <c r="H381" s="33">
        <v>11</v>
      </c>
      <c r="I381" s="32" t="s">
        <v>1303</v>
      </c>
      <c r="J381" s="31" t="s">
        <v>1304</v>
      </c>
      <c r="K381" s="31" t="s">
        <v>106</v>
      </c>
      <c r="L381" s="32" t="s">
        <v>24</v>
      </c>
      <c r="M381" s="30">
        <v>40080</v>
      </c>
      <c r="N381" s="33">
        <v>1</v>
      </c>
      <c r="O381" s="32" t="s">
        <v>40</v>
      </c>
      <c r="P381" s="32" t="s">
        <v>176</v>
      </c>
      <c r="Q381" s="32" t="s">
        <v>27</v>
      </c>
      <c r="R381" s="32" t="s">
        <v>56</v>
      </c>
      <c r="S381" s="30">
        <f t="shared" ca="1" si="13"/>
        <v>40470.53652858796</v>
      </c>
      <c r="T381" s="31">
        <f t="shared" ca="1" si="14"/>
        <v>13</v>
      </c>
      <c r="U381" s="32" t="s">
        <v>42</v>
      </c>
      <c r="V381" s="32" t="s">
        <v>42</v>
      </c>
      <c r="W381" s="32" t="s">
        <v>42</v>
      </c>
      <c r="X381" s="32" t="s">
        <v>42</v>
      </c>
      <c r="Y381" s="32" t="s">
        <v>42</v>
      </c>
      <c r="Z381" s="35"/>
      <c r="AA381" s="35"/>
      <c r="AB381" s="32"/>
      <c r="AC381" s="12" t="s">
        <v>2510</v>
      </c>
      <c r="AD381" s="25">
        <v>40359</v>
      </c>
      <c r="AE381" s="25"/>
      <c r="AF381" s="25"/>
      <c r="AG381" s="25"/>
      <c r="AH381" s="11" t="s">
        <v>44</v>
      </c>
    </row>
    <row r="382" spans="1:34" s="37" customFormat="1" ht="12.75" customHeight="1">
      <c r="A382" s="33">
        <v>380</v>
      </c>
      <c r="B382" s="29">
        <v>40065</v>
      </c>
      <c r="C382" s="30">
        <v>40080</v>
      </c>
      <c r="D382" s="30"/>
      <c r="E382" s="38" t="s">
        <v>1305</v>
      </c>
      <c r="F382" s="31"/>
      <c r="G382" s="32" t="s">
        <v>37</v>
      </c>
      <c r="H382" s="33">
        <v>39</v>
      </c>
      <c r="I382" s="32" t="s">
        <v>1306</v>
      </c>
      <c r="J382" s="31"/>
      <c r="K382" s="31" t="s">
        <v>291</v>
      </c>
      <c r="L382" s="32" t="s">
        <v>24</v>
      </c>
      <c r="M382" s="30">
        <v>40080</v>
      </c>
      <c r="N382" s="33">
        <v>1</v>
      </c>
      <c r="O382" s="32" t="s">
        <v>25</v>
      </c>
      <c r="P382" s="32" t="s">
        <v>26</v>
      </c>
      <c r="Q382" s="32" t="s">
        <v>27</v>
      </c>
      <c r="R382" s="32" t="s">
        <v>28</v>
      </c>
      <c r="S382" s="30">
        <f t="shared" ca="1" si="13"/>
        <v>40470.53652858796</v>
      </c>
      <c r="T382" s="31">
        <f t="shared" ca="1" si="14"/>
        <v>13</v>
      </c>
      <c r="U382" s="32" t="s">
        <v>56</v>
      </c>
      <c r="V382" s="32" t="s">
        <v>42</v>
      </c>
      <c r="W382" s="32" t="s">
        <v>224</v>
      </c>
      <c r="X382" s="32" t="s">
        <v>224</v>
      </c>
      <c r="Y382" s="32" t="s">
        <v>42</v>
      </c>
      <c r="Z382" s="35"/>
      <c r="AA382" s="35"/>
      <c r="AB382" s="32"/>
      <c r="AC382" s="12" t="s">
        <v>785</v>
      </c>
      <c r="AD382" s="25">
        <v>40169</v>
      </c>
      <c r="AE382" s="25"/>
      <c r="AF382" s="25"/>
      <c r="AG382" s="25"/>
      <c r="AH382" s="11" t="s">
        <v>122</v>
      </c>
    </row>
    <row r="383" spans="1:34" s="37" customFormat="1" ht="12.75" customHeight="1">
      <c r="A383" s="33">
        <v>381</v>
      </c>
      <c r="B383" s="29">
        <v>40065</v>
      </c>
      <c r="C383" s="30">
        <v>40081</v>
      </c>
      <c r="D383" s="30"/>
      <c r="E383" s="38" t="s">
        <v>1307</v>
      </c>
      <c r="F383" s="31"/>
      <c r="G383" s="32" t="s">
        <v>20</v>
      </c>
      <c r="H383" s="33">
        <v>46</v>
      </c>
      <c r="I383" s="32" t="s">
        <v>1308</v>
      </c>
      <c r="J383" s="31" t="s">
        <v>1309</v>
      </c>
      <c r="K383" s="31" t="s">
        <v>291</v>
      </c>
      <c r="L383" s="32" t="s">
        <v>24</v>
      </c>
      <c r="M383" s="30">
        <v>40081</v>
      </c>
      <c r="N383" s="33">
        <v>1</v>
      </c>
      <c r="O383" s="32" t="s">
        <v>25</v>
      </c>
      <c r="P383" s="32" t="s">
        <v>26</v>
      </c>
      <c r="Q383" s="32" t="s">
        <v>27</v>
      </c>
      <c r="R383" s="32" t="s">
        <v>56</v>
      </c>
      <c r="S383" s="30">
        <f t="shared" ca="1" si="13"/>
        <v>40470.53652858796</v>
      </c>
      <c r="T383" s="31">
        <f t="shared" ca="1" si="14"/>
        <v>13</v>
      </c>
      <c r="U383" s="32" t="s">
        <v>224</v>
      </c>
      <c r="V383" s="32" t="s">
        <v>42</v>
      </c>
      <c r="W383" s="32" t="s">
        <v>224</v>
      </c>
      <c r="X383" s="32" t="s">
        <v>224</v>
      </c>
      <c r="Y383" s="25" t="s">
        <v>42</v>
      </c>
      <c r="Z383" s="35"/>
      <c r="AA383" s="35"/>
      <c r="AB383" s="32"/>
      <c r="AC383" s="12" t="s">
        <v>1310</v>
      </c>
      <c r="AD383" s="25">
        <v>40081</v>
      </c>
      <c r="AE383" s="25"/>
      <c r="AF383" s="25"/>
      <c r="AG383" s="25"/>
      <c r="AH383" s="11" t="s">
        <v>122</v>
      </c>
    </row>
    <row r="384" spans="1:34" s="37" customFormat="1" ht="12.75" customHeight="1">
      <c r="A384" s="33">
        <v>382</v>
      </c>
      <c r="B384" s="29">
        <v>40065</v>
      </c>
      <c r="C384" s="30">
        <v>40085</v>
      </c>
      <c r="D384" s="30"/>
      <c r="E384" s="38" t="s">
        <v>1311</v>
      </c>
      <c r="F384" s="31"/>
      <c r="G384" s="32" t="s">
        <v>20</v>
      </c>
      <c r="H384" s="33">
        <v>70</v>
      </c>
      <c r="I384" s="32" t="s">
        <v>1312</v>
      </c>
      <c r="J384" s="31" t="s">
        <v>1313</v>
      </c>
      <c r="K384" s="31" t="s">
        <v>71</v>
      </c>
      <c r="L384" s="32" t="s">
        <v>24</v>
      </c>
      <c r="M384" s="30">
        <v>40085</v>
      </c>
      <c r="N384" s="33">
        <v>2</v>
      </c>
      <c r="O384" s="32" t="s">
        <v>25</v>
      </c>
      <c r="P384" s="32" t="s">
        <v>26</v>
      </c>
      <c r="Q384" s="32" t="s">
        <v>381</v>
      </c>
      <c r="R384" s="32" t="s">
        <v>60</v>
      </c>
      <c r="S384" s="30">
        <f t="shared" ca="1" si="13"/>
        <v>40470.53652858796</v>
      </c>
      <c r="T384" s="31">
        <f t="shared" ca="1" si="14"/>
        <v>13</v>
      </c>
      <c r="U384" s="32" t="s">
        <v>42</v>
      </c>
      <c r="V384" s="32" t="s">
        <v>224</v>
      </c>
      <c r="W384" s="32" t="s">
        <v>224</v>
      </c>
      <c r="X384" s="32" t="s">
        <v>224</v>
      </c>
      <c r="Y384" s="25" t="s">
        <v>42</v>
      </c>
      <c r="Z384" s="35"/>
      <c r="AA384" s="35"/>
      <c r="AB384" s="32"/>
      <c r="AC384" s="12" t="s">
        <v>2519</v>
      </c>
      <c r="AD384" s="25">
        <v>40119</v>
      </c>
      <c r="AE384" s="25"/>
      <c r="AF384" s="25"/>
      <c r="AG384" s="25"/>
      <c r="AH384" s="11" t="s">
        <v>158</v>
      </c>
    </row>
    <row r="385" spans="1:34" s="37" customFormat="1">
      <c r="A385" s="33">
        <v>383</v>
      </c>
      <c r="B385" s="29">
        <v>40065</v>
      </c>
      <c r="C385" s="30">
        <v>40085</v>
      </c>
      <c r="D385" s="30"/>
      <c r="E385" s="38" t="s">
        <v>1314</v>
      </c>
      <c r="F385" s="31"/>
      <c r="G385" s="32" t="s">
        <v>37</v>
      </c>
      <c r="H385" s="33">
        <v>17</v>
      </c>
      <c r="I385" s="32" t="s">
        <v>1315</v>
      </c>
      <c r="J385" s="31" t="s">
        <v>1316</v>
      </c>
      <c r="K385" s="31" t="s">
        <v>39</v>
      </c>
      <c r="L385" s="32" t="s">
        <v>24</v>
      </c>
      <c r="M385" s="30">
        <v>40085</v>
      </c>
      <c r="N385" s="33">
        <v>2</v>
      </c>
      <c r="O385" s="32" t="s">
        <v>40</v>
      </c>
      <c r="P385" s="32" t="s">
        <v>2749</v>
      </c>
      <c r="Q385" s="11" t="s">
        <v>477</v>
      </c>
      <c r="R385" s="32" t="s">
        <v>42</v>
      </c>
      <c r="S385" s="30">
        <f t="shared" ca="1" si="13"/>
        <v>40470.53652858796</v>
      </c>
      <c r="T385" s="31">
        <f t="shared" ca="1" si="14"/>
        <v>13</v>
      </c>
      <c r="U385" s="32" t="s">
        <v>42</v>
      </c>
      <c r="V385" s="32" t="s">
        <v>42</v>
      </c>
      <c r="W385" s="32" t="s">
        <v>42</v>
      </c>
      <c r="X385" s="32" t="s">
        <v>42</v>
      </c>
      <c r="Y385" s="25" t="s">
        <v>42</v>
      </c>
      <c r="Z385" s="35"/>
      <c r="AA385" s="35"/>
      <c r="AB385" s="32"/>
      <c r="AC385" s="12" t="s">
        <v>2519</v>
      </c>
      <c r="AD385" s="25">
        <v>2009</v>
      </c>
      <c r="AE385" s="25"/>
      <c r="AF385" s="25"/>
      <c r="AG385" s="25"/>
      <c r="AH385" s="11" t="s">
        <v>158</v>
      </c>
    </row>
    <row r="386" spans="1:34" s="37" customFormat="1">
      <c r="A386" s="33">
        <v>384</v>
      </c>
      <c r="B386" s="29">
        <v>40065</v>
      </c>
      <c r="C386" s="30">
        <v>40085</v>
      </c>
      <c r="D386" s="30"/>
      <c r="E386" s="38" t="s">
        <v>1317</v>
      </c>
      <c r="F386" s="31"/>
      <c r="G386" s="32" t="s">
        <v>37</v>
      </c>
      <c r="H386" s="33">
        <v>35</v>
      </c>
      <c r="I386" s="32" t="s">
        <v>1318</v>
      </c>
      <c r="J386" s="31" t="s">
        <v>1319</v>
      </c>
      <c r="K386" s="31" t="s">
        <v>206</v>
      </c>
      <c r="L386" s="32" t="s">
        <v>24</v>
      </c>
      <c r="M386" s="30">
        <v>40085</v>
      </c>
      <c r="N386" s="33">
        <v>1</v>
      </c>
      <c r="O386" s="32" t="s">
        <v>40</v>
      </c>
      <c r="P386" s="32" t="s">
        <v>176</v>
      </c>
      <c r="Q386" s="32" t="s">
        <v>27</v>
      </c>
      <c r="R386" s="32" t="s">
        <v>42</v>
      </c>
      <c r="S386" s="30">
        <f t="shared" ref="S386:S449" ca="1" si="15">NOW()</f>
        <v>40470.53652858796</v>
      </c>
      <c r="T386" s="31">
        <f t="shared" ca="1" si="14"/>
        <v>13</v>
      </c>
      <c r="U386" s="32" t="s">
        <v>42</v>
      </c>
      <c r="V386" s="32" t="s">
        <v>42</v>
      </c>
      <c r="W386" s="32" t="s">
        <v>42</v>
      </c>
      <c r="X386" s="32" t="s">
        <v>42</v>
      </c>
      <c r="Y386" s="25" t="s">
        <v>42</v>
      </c>
      <c r="Z386" s="35"/>
      <c r="AA386" s="35"/>
      <c r="AB386" s="32"/>
      <c r="AC386" s="12" t="s">
        <v>2510</v>
      </c>
      <c r="AD386" s="25">
        <v>40322</v>
      </c>
      <c r="AE386" s="25"/>
      <c r="AF386" s="25"/>
      <c r="AG386" s="25"/>
      <c r="AH386" s="11" t="s">
        <v>44</v>
      </c>
    </row>
    <row r="387" spans="1:34" s="37" customFormat="1" ht="12.75" customHeight="1">
      <c r="A387" s="33">
        <v>385</v>
      </c>
      <c r="B387" s="29">
        <v>40065</v>
      </c>
      <c r="C387" s="30">
        <v>40086</v>
      </c>
      <c r="D387" s="30"/>
      <c r="E387" s="38" t="s">
        <v>1320</v>
      </c>
      <c r="F387" s="31"/>
      <c r="G387" s="32" t="s">
        <v>37</v>
      </c>
      <c r="H387" s="33">
        <v>23</v>
      </c>
      <c r="I387" s="32" t="s">
        <v>1321</v>
      </c>
      <c r="J387" s="31" t="s">
        <v>1322</v>
      </c>
      <c r="K387" s="31" t="s">
        <v>106</v>
      </c>
      <c r="L387" s="32" t="s">
        <v>24</v>
      </c>
      <c r="M387" s="30">
        <v>40086</v>
      </c>
      <c r="N387" s="33">
        <v>2</v>
      </c>
      <c r="O387" s="32" t="s">
        <v>25</v>
      </c>
      <c r="P387" s="32" t="s">
        <v>26</v>
      </c>
      <c r="Q387" s="32" t="s">
        <v>381</v>
      </c>
      <c r="R387" s="32" t="s">
        <v>56</v>
      </c>
      <c r="S387" s="30">
        <f t="shared" ca="1" si="15"/>
        <v>40470.53652858796</v>
      </c>
      <c r="T387" s="31">
        <f t="shared" ca="1" si="14"/>
        <v>13</v>
      </c>
      <c r="U387" s="32" t="s">
        <v>224</v>
      </c>
      <c r="V387" s="32" t="s">
        <v>56</v>
      </c>
      <c r="W387" s="32" t="s">
        <v>224</v>
      </c>
      <c r="X387" s="32" t="s">
        <v>224</v>
      </c>
      <c r="Y387" s="25" t="s">
        <v>42</v>
      </c>
      <c r="Z387" s="35"/>
      <c r="AA387" s="35"/>
      <c r="AB387" s="32"/>
      <c r="AC387" s="12" t="s">
        <v>785</v>
      </c>
      <c r="AD387" s="25">
        <v>40119</v>
      </c>
      <c r="AE387" s="25"/>
      <c r="AF387" s="25"/>
      <c r="AG387" s="25"/>
      <c r="AH387" s="11" t="s">
        <v>122</v>
      </c>
    </row>
    <row r="388" spans="1:34" s="37" customFormat="1">
      <c r="A388" s="33">
        <v>386</v>
      </c>
      <c r="B388" s="29">
        <v>40095</v>
      </c>
      <c r="C388" s="30">
        <v>40092</v>
      </c>
      <c r="D388" s="30"/>
      <c r="E388" s="38" t="s">
        <v>1323</v>
      </c>
      <c r="F388" s="31"/>
      <c r="G388" s="32" t="s">
        <v>20</v>
      </c>
      <c r="H388" s="33">
        <v>24</v>
      </c>
      <c r="I388" s="32" t="s">
        <v>1324</v>
      </c>
      <c r="J388" s="31" t="s">
        <v>1325</v>
      </c>
      <c r="K388" s="31" t="s">
        <v>291</v>
      </c>
      <c r="L388" s="32" t="s">
        <v>24</v>
      </c>
      <c r="M388" s="30">
        <v>40092</v>
      </c>
      <c r="N388" s="33">
        <v>1</v>
      </c>
      <c r="O388" s="32" t="s">
        <v>40</v>
      </c>
      <c r="P388" s="32" t="s">
        <v>109</v>
      </c>
      <c r="Q388" s="32" t="s">
        <v>27</v>
      </c>
      <c r="R388" s="32" t="s">
        <v>56</v>
      </c>
      <c r="S388" s="30">
        <f t="shared" ca="1" si="15"/>
        <v>40470.53652858796</v>
      </c>
      <c r="T388" s="31">
        <f t="shared" ca="1" si="14"/>
        <v>12</v>
      </c>
      <c r="U388" s="32" t="s">
        <v>42</v>
      </c>
      <c r="V388" s="32" t="s">
        <v>42</v>
      </c>
      <c r="W388" s="32" t="s">
        <v>42</v>
      </c>
      <c r="X388" s="32" t="s">
        <v>42</v>
      </c>
      <c r="Y388" s="25" t="s">
        <v>42</v>
      </c>
      <c r="Z388" s="35"/>
      <c r="AA388" s="35"/>
      <c r="AB388" s="32"/>
      <c r="AC388" s="12" t="s">
        <v>2510</v>
      </c>
      <c r="AD388" s="25">
        <v>40336</v>
      </c>
      <c r="AE388" s="25"/>
      <c r="AF388" s="25"/>
      <c r="AG388" s="25"/>
      <c r="AH388" s="11" t="s">
        <v>44</v>
      </c>
    </row>
    <row r="389" spans="1:34" s="37" customFormat="1" ht="12.75" customHeight="1">
      <c r="A389" s="33">
        <v>387</v>
      </c>
      <c r="B389" s="29">
        <v>40095</v>
      </c>
      <c r="C389" s="30">
        <v>40092</v>
      </c>
      <c r="D389" s="30"/>
      <c r="E389" s="38" t="s">
        <v>1326</v>
      </c>
      <c r="F389" s="31"/>
      <c r="G389" s="32" t="s">
        <v>20</v>
      </c>
      <c r="H389" s="33">
        <v>24</v>
      </c>
      <c r="I389" s="32" t="s">
        <v>1327</v>
      </c>
      <c r="J389" s="31" t="s">
        <v>1328</v>
      </c>
      <c r="K389" s="31" t="s">
        <v>291</v>
      </c>
      <c r="L389" s="32" t="s">
        <v>24</v>
      </c>
      <c r="M389" s="30">
        <v>40092</v>
      </c>
      <c r="N389" s="33">
        <v>1</v>
      </c>
      <c r="O389" s="32" t="s">
        <v>25</v>
      </c>
      <c r="P389" s="32" t="s">
        <v>26</v>
      </c>
      <c r="Q389" s="32" t="s">
        <v>27</v>
      </c>
      <c r="R389" s="32" t="s">
        <v>56</v>
      </c>
      <c r="S389" s="30">
        <f t="shared" ca="1" si="15"/>
        <v>40470.53652858796</v>
      </c>
      <c r="T389" s="31">
        <f t="shared" ca="1" si="14"/>
        <v>12</v>
      </c>
      <c r="U389" s="32" t="s">
        <v>224</v>
      </c>
      <c r="V389" s="32" t="s">
        <v>42</v>
      </c>
      <c r="W389" s="32" t="s">
        <v>224</v>
      </c>
      <c r="X389" s="32" t="s">
        <v>224</v>
      </c>
      <c r="Y389" s="25" t="s">
        <v>42</v>
      </c>
      <c r="Z389" s="35"/>
      <c r="AA389" s="35"/>
      <c r="AB389" s="32"/>
      <c r="AC389" s="12" t="s">
        <v>2510</v>
      </c>
      <c r="AD389" s="25">
        <v>40344</v>
      </c>
      <c r="AE389" s="25"/>
      <c r="AF389" s="25"/>
      <c r="AG389" s="25"/>
      <c r="AH389" s="11" t="s">
        <v>44</v>
      </c>
    </row>
    <row r="390" spans="1:34" s="37" customFormat="1" ht="12.75" customHeight="1">
      <c r="A390" s="33">
        <v>388</v>
      </c>
      <c r="B390" s="29">
        <v>40095</v>
      </c>
      <c r="C390" s="30">
        <v>40092</v>
      </c>
      <c r="D390" s="30"/>
      <c r="E390" s="38" t="s">
        <v>1329</v>
      </c>
      <c r="F390" s="31"/>
      <c r="G390" s="32" t="s">
        <v>37</v>
      </c>
      <c r="H390" s="33">
        <v>28</v>
      </c>
      <c r="I390" s="32" t="s">
        <v>1330</v>
      </c>
      <c r="J390" s="31" t="s">
        <v>1331</v>
      </c>
      <c r="K390" s="31" t="s">
        <v>206</v>
      </c>
      <c r="L390" s="32" t="s">
        <v>24</v>
      </c>
      <c r="M390" s="30">
        <v>40092</v>
      </c>
      <c r="N390" s="33">
        <v>1</v>
      </c>
      <c r="O390" s="32" t="s">
        <v>25</v>
      </c>
      <c r="P390" s="32" t="s">
        <v>26</v>
      </c>
      <c r="Q390" s="32" t="s">
        <v>27</v>
      </c>
      <c r="R390" s="32" t="s">
        <v>60</v>
      </c>
      <c r="S390" s="30">
        <f t="shared" ca="1" si="15"/>
        <v>40470.53652858796</v>
      </c>
      <c r="T390" s="31">
        <f t="shared" ca="1" si="14"/>
        <v>12</v>
      </c>
      <c r="U390" s="32" t="s">
        <v>28</v>
      </c>
      <c r="V390" s="32" t="s">
        <v>56</v>
      </c>
      <c r="W390" s="32" t="s">
        <v>224</v>
      </c>
      <c r="X390" s="32" t="s">
        <v>56</v>
      </c>
      <c r="Y390" s="25" t="s">
        <v>42</v>
      </c>
      <c r="Z390" s="35"/>
      <c r="AA390" s="35"/>
      <c r="AB390" s="32"/>
      <c r="AC390" s="12" t="s">
        <v>915</v>
      </c>
      <c r="AD390" s="25">
        <v>40329</v>
      </c>
      <c r="AE390" s="25"/>
      <c r="AF390" s="25"/>
      <c r="AG390" s="25"/>
      <c r="AH390" s="11" t="s">
        <v>61</v>
      </c>
    </row>
    <row r="391" spans="1:34" s="37" customFormat="1" ht="12.75" customHeight="1">
      <c r="A391" s="33">
        <v>389</v>
      </c>
      <c r="B391" s="29">
        <v>40095</v>
      </c>
      <c r="C391" s="30">
        <v>40092</v>
      </c>
      <c r="D391" s="30"/>
      <c r="E391" s="38" t="s">
        <v>1332</v>
      </c>
      <c r="F391" s="31"/>
      <c r="G391" s="32" t="s">
        <v>37</v>
      </c>
      <c r="H391" s="33">
        <v>80</v>
      </c>
      <c r="I391" s="32" t="s">
        <v>1333</v>
      </c>
      <c r="J391" s="31" t="s">
        <v>1334</v>
      </c>
      <c r="K391" s="31" t="s">
        <v>71</v>
      </c>
      <c r="L391" s="32" t="s">
        <v>24</v>
      </c>
      <c r="M391" s="30">
        <v>40092</v>
      </c>
      <c r="N391" s="33">
        <v>1</v>
      </c>
      <c r="O391" s="32" t="s">
        <v>25</v>
      </c>
      <c r="P391" s="32" t="s">
        <v>26</v>
      </c>
      <c r="Q391" s="32" t="s">
        <v>27</v>
      </c>
      <c r="R391" s="32" t="s">
        <v>56</v>
      </c>
      <c r="S391" s="30">
        <f t="shared" ca="1" si="15"/>
        <v>40470.53652858796</v>
      </c>
      <c r="T391" s="31">
        <f t="shared" ca="1" si="14"/>
        <v>12</v>
      </c>
      <c r="U391" s="32" t="s">
        <v>224</v>
      </c>
      <c r="V391" s="32" t="s">
        <v>42</v>
      </c>
      <c r="W391" s="32" t="s">
        <v>224</v>
      </c>
      <c r="X391" s="32" t="s">
        <v>224</v>
      </c>
      <c r="Y391" s="25" t="s">
        <v>42</v>
      </c>
      <c r="Z391" s="35"/>
      <c r="AA391" s="35"/>
      <c r="AB391" s="32"/>
      <c r="AC391" s="12" t="s">
        <v>785</v>
      </c>
      <c r="AD391" s="25">
        <v>40092</v>
      </c>
      <c r="AE391" s="25"/>
      <c r="AF391" s="25"/>
      <c r="AG391" s="25"/>
      <c r="AH391" s="11" t="s">
        <v>122</v>
      </c>
    </row>
    <row r="392" spans="1:34" s="37" customFormat="1" ht="12.75" customHeight="1">
      <c r="A392" s="33">
        <v>390</v>
      </c>
      <c r="B392" s="29">
        <v>40095</v>
      </c>
      <c r="C392" s="30">
        <v>40093</v>
      </c>
      <c r="D392" s="30"/>
      <c r="E392" s="38" t="s">
        <v>1335</v>
      </c>
      <c r="F392" s="31"/>
      <c r="G392" s="32" t="s">
        <v>37</v>
      </c>
      <c r="H392" s="33">
        <v>19</v>
      </c>
      <c r="I392" s="32" t="s">
        <v>1336</v>
      </c>
      <c r="J392" s="31" t="s">
        <v>1337</v>
      </c>
      <c r="K392" s="31" t="s">
        <v>39</v>
      </c>
      <c r="L392" s="32" t="s">
        <v>24</v>
      </c>
      <c r="M392" s="30">
        <v>40093</v>
      </c>
      <c r="N392" s="33">
        <v>1</v>
      </c>
      <c r="O392" s="32" t="s">
        <v>25</v>
      </c>
      <c r="P392" s="32" t="s">
        <v>26</v>
      </c>
      <c r="Q392" s="32" t="s">
        <v>27</v>
      </c>
      <c r="R392" s="32" t="s">
        <v>28</v>
      </c>
      <c r="S392" s="30">
        <f t="shared" ca="1" si="15"/>
        <v>40470.53652858796</v>
      </c>
      <c r="T392" s="31">
        <f t="shared" ca="1" si="14"/>
        <v>12</v>
      </c>
      <c r="U392" s="32" t="s">
        <v>56</v>
      </c>
      <c r="V392" s="32" t="s">
        <v>42</v>
      </c>
      <c r="W392" s="32" t="s">
        <v>2729</v>
      </c>
      <c r="X392" s="32" t="s">
        <v>56</v>
      </c>
      <c r="Y392" s="25" t="s">
        <v>42</v>
      </c>
      <c r="Z392" s="35"/>
      <c r="AA392" s="35"/>
      <c r="AB392" s="32"/>
      <c r="AC392" s="12" t="s">
        <v>915</v>
      </c>
      <c r="AD392" s="25">
        <v>40352</v>
      </c>
      <c r="AE392" s="25"/>
      <c r="AF392" s="25"/>
      <c r="AG392" s="25"/>
      <c r="AH392" s="11" t="s">
        <v>61</v>
      </c>
    </row>
    <row r="393" spans="1:34" s="37" customFormat="1" ht="12.75" customHeight="1">
      <c r="A393" s="33">
        <v>391</v>
      </c>
      <c r="B393" s="29">
        <v>40095</v>
      </c>
      <c r="C393" s="30">
        <v>40093</v>
      </c>
      <c r="D393" s="30"/>
      <c r="E393" s="38" t="s">
        <v>1338</v>
      </c>
      <c r="F393" s="31"/>
      <c r="G393" s="32" t="s">
        <v>20</v>
      </c>
      <c r="H393" s="33">
        <v>34</v>
      </c>
      <c r="I393" s="32" t="s">
        <v>1339</v>
      </c>
      <c r="J393" s="31" t="s">
        <v>1340</v>
      </c>
      <c r="K393" s="31" t="s">
        <v>291</v>
      </c>
      <c r="L393" s="32" t="s">
        <v>24</v>
      </c>
      <c r="M393" s="30">
        <v>40093</v>
      </c>
      <c r="N393" s="33">
        <v>1</v>
      </c>
      <c r="O393" s="32" t="s">
        <v>25</v>
      </c>
      <c r="P393" s="32" t="s">
        <v>26</v>
      </c>
      <c r="Q393" s="32" t="s">
        <v>27</v>
      </c>
      <c r="R393" s="32" t="s">
        <v>2731</v>
      </c>
      <c r="S393" s="30">
        <f t="shared" ca="1" si="15"/>
        <v>40470.53652858796</v>
      </c>
      <c r="T393" s="31">
        <f t="shared" ca="1" si="14"/>
        <v>12</v>
      </c>
      <c r="U393" s="32" t="s">
        <v>28</v>
      </c>
      <c r="V393" s="32" t="s">
        <v>42</v>
      </c>
      <c r="W393" s="32" t="s">
        <v>56</v>
      </c>
      <c r="X393" s="32" t="s">
        <v>56</v>
      </c>
      <c r="Y393" s="25" t="s">
        <v>42</v>
      </c>
      <c r="Z393" s="35"/>
      <c r="AA393" s="35"/>
      <c r="AB393" s="32"/>
      <c r="AC393" s="12" t="s">
        <v>915</v>
      </c>
      <c r="AD393" s="25">
        <v>40357</v>
      </c>
      <c r="AE393" s="25"/>
      <c r="AF393" s="25"/>
      <c r="AG393" s="25"/>
      <c r="AH393" s="11" t="s">
        <v>61</v>
      </c>
    </row>
    <row r="394" spans="1:34" s="37" customFormat="1" ht="12.75" customHeight="1">
      <c r="A394" s="33">
        <v>392</v>
      </c>
      <c r="B394" s="29">
        <v>40095</v>
      </c>
      <c r="C394" s="30">
        <v>40095</v>
      </c>
      <c r="D394" s="30"/>
      <c r="E394" s="38" t="s">
        <v>1341</v>
      </c>
      <c r="F394" s="31"/>
      <c r="G394" s="32" t="s">
        <v>37</v>
      </c>
      <c r="H394" s="33">
        <v>30</v>
      </c>
      <c r="I394" s="32" t="s">
        <v>1342</v>
      </c>
      <c r="J394" s="31" t="s">
        <v>1171</v>
      </c>
      <c r="K394" s="31" t="s">
        <v>48</v>
      </c>
      <c r="L394" s="32" t="s">
        <v>24</v>
      </c>
      <c r="M394" s="30">
        <v>40095</v>
      </c>
      <c r="N394" s="33">
        <v>2</v>
      </c>
      <c r="O394" s="32" t="s">
        <v>25</v>
      </c>
      <c r="P394" s="32" t="s">
        <v>26</v>
      </c>
      <c r="Q394" s="32" t="s">
        <v>407</v>
      </c>
      <c r="R394" s="32" t="s">
        <v>60</v>
      </c>
      <c r="S394" s="30">
        <f t="shared" ca="1" si="15"/>
        <v>40470.53652858796</v>
      </c>
      <c r="T394" s="31">
        <f t="shared" ca="1" si="14"/>
        <v>12</v>
      </c>
      <c r="U394" s="32" t="s">
        <v>28</v>
      </c>
      <c r="V394" s="32" t="s">
        <v>56</v>
      </c>
      <c r="W394" s="32" t="s">
        <v>56</v>
      </c>
      <c r="X394" s="32" t="s">
        <v>2731</v>
      </c>
      <c r="Y394" s="25" t="s">
        <v>42</v>
      </c>
      <c r="Z394" s="35"/>
      <c r="AA394" s="35"/>
      <c r="AB394" s="32"/>
      <c r="AC394" s="12" t="s">
        <v>1172</v>
      </c>
      <c r="AD394" s="25">
        <v>40371</v>
      </c>
      <c r="AE394" s="25"/>
      <c r="AF394" s="25"/>
      <c r="AG394" s="25"/>
      <c r="AH394" s="11" t="s">
        <v>871</v>
      </c>
    </row>
    <row r="395" spans="1:34" s="37" customFormat="1" ht="12.75" customHeight="1">
      <c r="A395" s="33">
        <v>393</v>
      </c>
      <c r="B395" s="29">
        <v>40095</v>
      </c>
      <c r="C395" s="30">
        <v>40099</v>
      </c>
      <c r="D395" s="30"/>
      <c r="E395" s="38" t="s">
        <v>1173</v>
      </c>
      <c r="F395" s="31"/>
      <c r="G395" s="32" t="s">
        <v>37</v>
      </c>
      <c r="H395" s="33">
        <v>21</v>
      </c>
      <c r="I395" s="32" t="s">
        <v>1174</v>
      </c>
      <c r="J395" s="31" t="s">
        <v>264</v>
      </c>
      <c r="K395" s="31" t="s">
        <v>106</v>
      </c>
      <c r="L395" s="32" t="s">
        <v>24</v>
      </c>
      <c r="M395" s="30">
        <v>40099</v>
      </c>
      <c r="N395" s="33">
        <v>1</v>
      </c>
      <c r="O395" s="32" t="s">
        <v>25</v>
      </c>
      <c r="P395" s="32" t="s">
        <v>26</v>
      </c>
      <c r="Q395" s="32" t="s">
        <v>27</v>
      </c>
      <c r="R395" s="32" t="s">
        <v>56</v>
      </c>
      <c r="S395" s="30">
        <f t="shared" ca="1" si="15"/>
        <v>40470.53652858796</v>
      </c>
      <c r="T395" s="31">
        <f t="shared" ca="1" si="14"/>
        <v>12</v>
      </c>
      <c r="U395" s="32" t="s">
        <v>224</v>
      </c>
      <c r="V395" s="32" t="s">
        <v>42</v>
      </c>
      <c r="W395" s="32" t="s">
        <v>224</v>
      </c>
      <c r="X395" s="32" t="s">
        <v>224</v>
      </c>
      <c r="Y395" s="25" t="s">
        <v>42</v>
      </c>
      <c r="Z395" s="35"/>
      <c r="AA395" s="35"/>
      <c r="AB395" s="32"/>
      <c r="AC395" s="12" t="s">
        <v>785</v>
      </c>
      <c r="AD395" s="25">
        <v>40240</v>
      </c>
      <c r="AE395" s="25"/>
      <c r="AF395" s="25"/>
      <c r="AG395" s="25"/>
      <c r="AH395" s="11" t="s">
        <v>122</v>
      </c>
    </row>
    <row r="396" spans="1:34" s="37" customFormat="1">
      <c r="A396" s="33">
        <v>394</v>
      </c>
      <c r="B396" s="29">
        <v>40095</v>
      </c>
      <c r="C396" s="30">
        <v>40087</v>
      </c>
      <c r="D396" s="30"/>
      <c r="E396" s="38" t="s">
        <v>1175</v>
      </c>
      <c r="F396" s="31"/>
      <c r="G396" s="32" t="s">
        <v>37</v>
      </c>
      <c r="H396" s="33">
        <v>23</v>
      </c>
      <c r="I396" s="32" t="s">
        <v>1176</v>
      </c>
      <c r="J396" s="31"/>
      <c r="K396" s="31" t="s">
        <v>206</v>
      </c>
      <c r="L396" s="32" t="s">
        <v>24</v>
      </c>
      <c r="M396" s="30">
        <v>40087</v>
      </c>
      <c r="N396" s="33">
        <v>1</v>
      </c>
      <c r="O396" s="32" t="s">
        <v>40</v>
      </c>
      <c r="P396" s="32" t="s">
        <v>176</v>
      </c>
      <c r="Q396" s="32" t="s">
        <v>27</v>
      </c>
      <c r="R396" s="32" t="s">
        <v>56</v>
      </c>
      <c r="S396" s="30">
        <f t="shared" ca="1" si="15"/>
        <v>40470.53652858796</v>
      </c>
      <c r="T396" s="31">
        <f t="shared" ca="1" si="14"/>
        <v>12</v>
      </c>
      <c r="U396" s="32" t="s">
        <v>42</v>
      </c>
      <c r="V396" s="32" t="s">
        <v>42</v>
      </c>
      <c r="W396" s="32" t="s">
        <v>42</v>
      </c>
      <c r="X396" s="32" t="s">
        <v>42</v>
      </c>
      <c r="Y396" s="25" t="s">
        <v>42</v>
      </c>
      <c r="Z396" s="35"/>
      <c r="AA396" s="35"/>
      <c r="AB396" s="32"/>
      <c r="AC396" s="12" t="s">
        <v>2510</v>
      </c>
      <c r="AD396" s="25">
        <v>40413</v>
      </c>
      <c r="AE396" s="25"/>
      <c r="AF396" s="25"/>
      <c r="AG396" s="25"/>
      <c r="AH396" s="11" t="s">
        <v>44</v>
      </c>
    </row>
    <row r="397" spans="1:34" s="37" customFormat="1" ht="12.75" customHeight="1">
      <c r="A397" s="33">
        <v>395</v>
      </c>
      <c r="B397" s="29">
        <v>40095</v>
      </c>
      <c r="C397" s="30">
        <v>40099</v>
      </c>
      <c r="D397" s="30"/>
      <c r="E397" s="38" t="s">
        <v>1177</v>
      </c>
      <c r="F397" s="31"/>
      <c r="G397" s="32" t="s">
        <v>37</v>
      </c>
      <c r="H397" s="33">
        <v>15</v>
      </c>
      <c r="I397" s="32" t="s">
        <v>1178</v>
      </c>
      <c r="J397" s="31"/>
      <c r="K397" s="31" t="s">
        <v>39</v>
      </c>
      <c r="L397" s="32" t="s">
        <v>24</v>
      </c>
      <c r="M397" s="30">
        <v>40099</v>
      </c>
      <c r="N397" s="33">
        <v>1</v>
      </c>
      <c r="O397" s="32" t="s">
        <v>25</v>
      </c>
      <c r="P397" s="32" t="s">
        <v>26</v>
      </c>
      <c r="Q397" s="32" t="s">
        <v>27</v>
      </c>
      <c r="R397" s="32" t="s">
        <v>60</v>
      </c>
      <c r="S397" s="30">
        <f t="shared" ca="1" si="15"/>
        <v>40470.53652858796</v>
      </c>
      <c r="T397" s="31">
        <f t="shared" ca="1" si="14"/>
        <v>12</v>
      </c>
      <c r="U397" s="32" t="s">
        <v>56</v>
      </c>
      <c r="V397" s="32" t="s">
        <v>42</v>
      </c>
      <c r="W397" s="32" t="s">
        <v>56</v>
      </c>
      <c r="X397" s="32" t="s">
        <v>224</v>
      </c>
      <c r="Y397" s="25" t="s">
        <v>42</v>
      </c>
      <c r="Z397" s="35"/>
      <c r="AA397" s="35"/>
      <c r="AB397" s="32"/>
      <c r="AC397" s="12" t="s">
        <v>915</v>
      </c>
      <c r="AD397" s="25">
        <v>40386</v>
      </c>
      <c r="AE397" s="25"/>
      <c r="AF397" s="25"/>
      <c r="AG397" s="25"/>
      <c r="AH397" s="11" t="s">
        <v>61</v>
      </c>
    </row>
    <row r="398" spans="1:34" s="37" customFormat="1">
      <c r="A398" s="33">
        <v>396</v>
      </c>
      <c r="B398" s="29">
        <v>40095</v>
      </c>
      <c r="C398" s="30">
        <v>40099</v>
      </c>
      <c r="D398" s="30"/>
      <c r="E398" s="38" t="s">
        <v>1179</v>
      </c>
      <c r="F398" s="31"/>
      <c r="G398" s="32" t="s">
        <v>37</v>
      </c>
      <c r="H398" s="33">
        <v>18</v>
      </c>
      <c r="I398" s="32" t="s">
        <v>1180</v>
      </c>
      <c r="J398" s="31" t="s">
        <v>1181</v>
      </c>
      <c r="K398" s="31" t="s">
        <v>106</v>
      </c>
      <c r="L398" s="32" t="s">
        <v>24</v>
      </c>
      <c r="M398" s="30">
        <v>40099</v>
      </c>
      <c r="N398" s="33">
        <v>1</v>
      </c>
      <c r="O398" s="32" t="s">
        <v>40</v>
      </c>
      <c r="P398" s="32" t="s">
        <v>72</v>
      </c>
      <c r="Q398" s="32" t="s">
        <v>27</v>
      </c>
      <c r="R398" s="32" t="s">
        <v>42</v>
      </c>
      <c r="S398" s="30">
        <f t="shared" ca="1" si="15"/>
        <v>40470.53652858796</v>
      </c>
      <c r="T398" s="31">
        <f t="shared" ref="T398:T461" ca="1" si="16">(YEAR(S398)-YEAR(M398))*12+MONTH(S398)-MONTH(M398)</f>
        <v>12</v>
      </c>
      <c r="U398" s="32" t="s">
        <v>42</v>
      </c>
      <c r="V398" s="32" t="s">
        <v>42</v>
      </c>
      <c r="W398" s="32" t="s">
        <v>42</v>
      </c>
      <c r="X398" s="32" t="s">
        <v>42</v>
      </c>
      <c r="Y398" s="25" t="s">
        <v>42</v>
      </c>
      <c r="Z398" s="35"/>
      <c r="AA398" s="35"/>
      <c r="AB398" s="32"/>
      <c r="AC398" s="12" t="s">
        <v>2533</v>
      </c>
      <c r="AD398" s="25">
        <v>40380</v>
      </c>
      <c r="AE398" s="25"/>
      <c r="AF398" s="25"/>
      <c r="AG398" s="25"/>
      <c r="AH398" s="11" t="s">
        <v>44</v>
      </c>
    </row>
    <row r="399" spans="1:34" s="37" customFormat="1" ht="12.75" customHeight="1">
      <c r="A399" s="33">
        <v>397</v>
      </c>
      <c r="B399" s="29">
        <v>40095</v>
      </c>
      <c r="C399" s="30">
        <v>40100</v>
      </c>
      <c r="D399" s="30"/>
      <c r="E399" s="38" t="s">
        <v>1182</v>
      </c>
      <c r="F399" s="31"/>
      <c r="G399" s="32" t="s">
        <v>37</v>
      </c>
      <c r="H399" s="33">
        <v>26</v>
      </c>
      <c r="I399" s="32" t="s">
        <v>1183</v>
      </c>
      <c r="J399" s="31" t="s">
        <v>1184</v>
      </c>
      <c r="K399" s="31" t="s">
        <v>291</v>
      </c>
      <c r="L399" s="32" t="s">
        <v>24</v>
      </c>
      <c r="M399" s="30">
        <v>40100</v>
      </c>
      <c r="N399" s="33">
        <v>1</v>
      </c>
      <c r="O399" s="32" t="s">
        <v>25</v>
      </c>
      <c r="P399" s="32" t="s">
        <v>26</v>
      </c>
      <c r="Q399" s="32" t="s">
        <v>27</v>
      </c>
      <c r="R399" s="32" t="s">
        <v>56</v>
      </c>
      <c r="S399" s="30">
        <f t="shared" ca="1" si="15"/>
        <v>40470.53652858796</v>
      </c>
      <c r="T399" s="31">
        <f t="shared" ca="1" si="16"/>
        <v>12</v>
      </c>
      <c r="U399" s="32" t="s">
        <v>56</v>
      </c>
      <c r="V399" s="32" t="s">
        <v>42</v>
      </c>
      <c r="W399" s="32" t="s">
        <v>224</v>
      </c>
      <c r="X399" s="32" t="s">
        <v>56</v>
      </c>
      <c r="Y399" s="25" t="s">
        <v>42</v>
      </c>
      <c r="Z399" s="35"/>
      <c r="AA399" s="35"/>
      <c r="AB399" s="32"/>
      <c r="AC399" s="12" t="s">
        <v>915</v>
      </c>
      <c r="AD399" s="25">
        <v>40329</v>
      </c>
      <c r="AE399" s="25"/>
      <c r="AF399" s="25"/>
      <c r="AG399" s="25"/>
      <c r="AH399" s="11" t="s">
        <v>61</v>
      </c>
    </row>
    <row r="400" spans="1:34" s="37" customFormat="1" ht="12.75" customHeight="1">
      <c r="A400" s="33">
        <v>398</v>
      </c>
      <c r="B400" s="29">
        <v>40096</v>
      </c>
      <c r="C400" s="30">
        <v>40100</v>
      </c>
      <c r="D400" s="30"/>
      <c r="E400" s="38" t="s">
        <v>1185</v>
      </c>
      <c r="F400" s="31"/>
      <c r="G400" s="32" t="s">
        <v>20</v>
      </c>
      <c r="H400" s="33">
        <v>24</v>
      </c>
      <c r="I400" s="32" t="s">
        <v>1186</v>
      </c>
      <c r="J400" s="31" t="s">
        <v>1187</v>
      </c>
      <c r="K400" s="31" t="s">
        <v>291</v>
      </c>
      <c r="L400" s="32" t="s">
        <v>24</v>
      </c>
      <c r="M400" s="30">
        <v>40100</v>
      </c>
      <c r="N400" s="33">
        <v>1</v>
      </c>
      <c r="O400" s="32" t="s">
        <v>25</v>
      </c>
      <c r="P400" s="32" t="s">
        <v>26</v>
      </c>
      <c r="Q400" s="32" t="s">
        <v>27</v>
      </c>
      <c r="R400" s="32" t="s">
        <v>60</v>
      </c>
      <c r="S400" s="30">
        <f t="shared" ca="1" si="15"/>
        <v>40470.53652858796</v>
      </c>
      <c r="T400" s="31">
        <f t="shared" ca="1" si="16"/>
        <v>12</v>
      </c>
      <c r="U400" s="32" t="s">
        <v>56</v>
      </c>
      <c r="V400" s="32" t="s">
        <v>42</v>
      </c>
      <c r="W400" s="32" t="s">
        <v>56</v>
      </c>
      <c r="X400" s="32" t="s">
        <v>224</v>
      </c>
      <c r="Y400" s="25" t="s">
        <v>42</v>
      </c>
      <c r="Z400" s="35"/>
      <c r="AA400" s="35"/>
      <c r="AB400" s="32"/>
      <c r="AC400" s="12" t="s">
        <v>785</v>
      </c>
      <c r="AD400" s="25">
        <v>40275</v>
      </c>
      <c r="AE400" s="25"/>
      <c r="AF400" s="25"/>
      <c r="AG400" s="25"/>
      <c r="AH400" s="11" t="s">
        <v>122</v>
      </c>
    </row>
    <row r="401" spans="1:34" s="37" customFormat="1" ht="12.75" customHeight="1">
      <c r="A401" s="33">
        <v>399</v>
      </c>
      <c r="B401" s="29">
        <v>40097</v>
      </c>
      <c r="C401" s="30">
        <v>40100</v>
      </c>
      <c r="D401" s="30"/>
      <c r="E401" s="38" t="s">
        <v>1188</v>
      </c>
      <c r="F401" s="31"/>
      <c r="G401" s="32" t="s">
        <v>37</v>
      </c>
      <c r="H401" s="33">
        <v>50</v>
      </c>
      <c r="I401" s="32" t="s">
        <v>1189</v>
      </c>
      <c r="J401" s="31" t="s">
        <v>1190</v>
      </c>
      <c r="K401" s="31" t="s">
        <v>71</v>
      </c>
      <c r="L401" s="32" t="s">
        <v>24</v>
      </c>
      <c r="M401" s="30">
        <v>40100</v>
      </c>
      <c r="N401" s="33">
        <v>1</v>
      </c>
      <c r="O401" s="32" t="s">
        <v>25</v>
      </c>
      <c r="P401" s="32" t="s">
        <v>26</v>
      </c>
      <c r="Q401" s="32" t="s">
        <v>27</v>
      </c>
      <c r="R401" s="32" t="s">
        <v>60</v>
      </c>
      <c r="S401" s="30">
        <f t="shared" ca="1" si="15"/>
        <v>40470.53652858796</v>
      </c>
      <c r="T401" s="31">
        <f t="shared" ca="1" si="16"/>
        <v>12</v>
      </c>
      <c r="U401" s="32" t="s">
        <v>28</v>
      </c>
      <c r="V401" s="32" t="s">
        <v>56</v>
      </c>
      <c r="W401" s="32" t="s">
        <v>224</v>
      </c>
      <c r="X401" s="32" t="s">
        <v>2731</v>
      </c>
      <c r="Y401" s="25" t="s">
        <v>42</v>
      </c>
      <c r="Z401" s="35"/>
      <c r="AA401" s="35"/>
      <c r="AB401" s="32"/>
      <c r="AC401" s="12" t="s">
        <v>915</v>
      </c>
      <c r="AD401" s="25">
        <v>40350</v>
      </c>
      <c r="AE401" s="25"/>
      <c r="AF401" s="25"/>
      <c r="AG401" s="25"/>
      <c r="AH401" s="11" t="s">
        <v>61</v>
      </c>
    </row>
    <row r="402" spans="1:34" s="37" customFormat="1">
      <c r="A402" s="33">
        <v>400</v>
      </c>
      <c r="B402" s="29">
        <v>40098</v>
      </c>
      <c r="C402" s="30">
        <v>40101</v>
      </c>
      <c r="D402" s="30"/>
      <c r="E402" s="38" t="s">
        <v>1191</v>
      </c>
      <c r="F402" s="31"/>
      <c r="G402" s="32" t="s">
        <v>20</v>
      </c>
      <c r="H402" s="33">
        <v>40</v>
      </c>
      <c r="I402" s="32" t="s">
        <v>1192</v>
      </c>
      <c r="J402" s="31" t="s">
        <v>1193</v>
      </c>
      <c r="K402" s="31" t="s">
        <v>291</v>
      </c>
      <c r="L402" s="32" t="s">
        <v>24</v>
      </c>
      <c r="M402" s="30">
        <v>40101</v>
      </c>
      <c r="N402" s="33">
        <v>1</v>
      </c>
      <c r="O402" s="32" t="s">
        <v>40</v>
      </c>
      <c r="P402" s="32" t="s">
        <v>109</v>
      </c>
      <c r="Q402" s="32" t="s">
        <v>27</v>
      </c>
      <c r="R402" s="32" t="s">
        <v>2729</v>
      </c>
      <c r="S402" s="30">
        <f t="shared" ca="1" si="15"/>
        <v>40470.53652858796</v>
      </c>
      <c r="T402" s="31">
        <f t="shared" ca="1" si="16"/>
        <v>12</v>
      </c>
      <c r="U402" s="32" t="s">
        <v>42</v>
      </c>
      <c r="V402" s="32" t="s">
        <v>42</v>
      </c>
      <c r="W402" s="32" t="s">
        <v>42</v>
      </c>
      <c r="X402" s="32" t="s">
        <v>42</v>
      </c>
      <c r="Y402" s="25" t="s">
        <v>42</v>
      </c>
      <c r="Z402" s="35"/>
      <c r="AA402" s="35"/>
      <c r="AB402" s="32"/>
      <c r="AC402" s="12" t="s">
        <v>2510</v>
      </c>
      <c r="AD402" s="13">
        <v>40343</v>
      </c>
      <c r="AE402" s="13"/>
      <c r="AF402" s="13"/>
      <c r="AG402" s="13"/>
      <c r="AH402" s="13" t="s">
        <v>44</v>
      </c>
    </row>
    <row r="403" spans="1:34" s="37" customFormat="1" ht="12.75" customHeight="1">
      <c r="A403" s="33">
        <v>401</v>
      </c>
      <c r="B403" s="29">
        <v>40099</v>
      </c>
      <c r="C403" s="30">
        <v>40105</v>
      </c>
      <c r="D403" s="30"/>
      <c r="E403" s="38" t="s">
        <v>1194</v>
      </c>
      <c r="F403" s="31"/>
      <c r="G403" s="32" t="s">
        <v>37</v>
      </c>
      <c r="H403" s="33">
        <v>15</v>
      </c>
      <c r="I403" s="32" t="s">
        <v>1195</v>
      </c>
      <c r="J403" s="31"/>
      <c r="K403" s="31" t="s">
        <v>39</v>
      </c>
      <c r="L403" s="32" t="s">
        <v>24</v>
      </c>
      <c r="M403" s="30">
        <v>40105</v>
      </c>
      <c r="N403" s="33">
        <v>1</v>
      </c>
      <c r="O403" s="32" t="s">
        <v>25</v>
      </c>
      <c r="P403" s="32" t="s">
        <v>26</v>
      </c>
      <c r="Q403" s="32" t="s">
        <v>27</v>
      </c>
      <c r="R403" s="32" t="s">
        <v>28</v>
      </c>
      <c r="S403" s="30">
        <f t="shared" ca="1" si="15"/>
        <v>40470.53652858796</v>
      </c>
      <c r="T403" s="31">
        <f t="shared" ca="1" si="16"/>
        <v>12</v>
      </c>
      <c r="U403" s="32" t="s">
        <v>56</v>
      </c>
      <c r="V403" s="32" t="s">
        <v>42</v>
      </c>
      <c r="W403" s="32" t="s">
        <v>56</v>
      </c>
      <c r="X403" s="32" t="s">
        <v>224</v>
      </c>
      <c r="Y403" s="25" t="s">
        <v>42</v>
      </c>
      <c r="Z403" s="35"/>
      <c r="AA403" s="35"/>
      <c r="AB403" s="32"/>
      <c r="AC403" s="12" t="s">
        <v>785</v>
      </c>
      <c r="AD403" s="25">
        <v>40267</v>
      </c>
      <c r="AE403" s="25"/>
      <c r="AF403" s="25"/>
      <c r="AG403" s="25"/>
      <c r="AH403" s="11" t="s">
        <v>122</v>
      </c>
    </row>
    <row r="404" spans="1:34" s="37" customFormat="1">
      <c r="A404" s="33">
        <v>402</v>
      </c>
      <c r="B404" s="29">
        <v>40100</v>
      </c>
      <c r="C404" s="30">
        <v>40105</v>
      </c>
      <c r="D404" s="30"/>
      <c r="E404" s="38" t="s">
        <v>1196</v>
      </c>
      <c r="F404" s="31"/>
      <c r="G404" s="32" t="s">
        <v>20</v>
      </c>
      <c r="H404" s="33">
        <v>9</v>
      </c>
      <c r="I404" s="32" t="s">
        <v>1197</v>
      </c>
      <c r="J404" s="31" t="s">
        <v>1198</v>
      </c>
      <c r="K404" s="31" t="s">
        <v>39</v>
      </c>
      <c r="L404" s="32" t="s">
        <v>24</v>
      </c>
      <c r="M404" s="30">
        <v>40105</v>
      </c>
      <c r="N404" s="33">
        <v>2</v>
      </c>
      <c r="O404" s="32" t="s">
        <v>40</v>
      </c>
      <c r="P404" s="32" t="s">
        <v>42</v>
      </c>
      <c r="Q404" s="32" t="s">
        <v>477</v>
      </c>
      <c r="R404" s="32" t="s">
        <v>42</v>
      </c>
      <c r="S404" s="30">
        <f t="shared" ca="1" si="15"/>
        <v>40470.53652858796</v>
      </c>
      <c r="T404" s="31">
        <f t="shared" ca="1" si="16"/>
        <v>12</v>
      </c>
      <c r="U404" s="32" t="s">
        <v>42</v>
      </c>
      <c r="V404" s="32" t="s">
        <v>42</v>
      </c>
      <c r="W404" s="32" t="s">
        <v>42</v>
      </c>
      <c r="X404" s="32" t="s">
        <v>42</v>
      </c>
      <c r="Y404" s="25" t="s">
        <v>42</v>
      </c>
      <c r="Z404" s="35"/>
      <c r="AA404" s="35"/>
      <c r="AB404" s="32"/>
      <c r="AC404" s="12" t="s">
        <v>44</v>
      </c>
      <c r="AD404" s="25">
        <v>40331</v>
      </c>
      <c r="AE404" s="25"/>
      <c r="AF404" s="25"/>
      <c r="AG404" s="25"/>
      <c r="AH404" s="11" t="s">
        <v>44</v>
      </c>
    </row>
    <row r="405" spans="1:34" s="37" customFormat="1" ht="12.75" customHeight="1">
      <c r="A405" s="33">
        <v>403</v>
      </c>
      <c r="B405" s="29">
        <v>40101</v>
      </c>
      <c r="C405" s="30">
        <v>40106</v>
      </c>
      <c r="D405" s="30"/>
      <c r="E405" s="38" t="s">
        <v>1400</v>
      </c>
      <c r="F405" s="31"/>
      <c r="G405" s="32" t="s">
        <v>20</v>
      </c>
      <c r="H405" s="33">
        <v>28</v>
      </c>
      <c r="I405" s="32" t="s">
        <v>1401</v>
      </c>
      <c r="J405" s="31" t="s">
        <v>1402</v>
      </c>
      <c r="K405" s="31" t="s">
        <v>48</v>
      </c>
      <c r="L405" s="32" t="s">
        <v>24</v>
      </c>
      <c r="M405" s="30">
        <v>40106</v>
      </c>
      <c r="N405" s="33">
        <v>1</v>
      </c>
      <c r="O405" s="32" t="s">
        <v>25</v>
      </c>
      <c r="P405" s="32" t="s">
        <v>26</v>
      </c>
      <c r="Q405" s="32" t="s">
        <v>27</v>
      </c>
      <c r="R405" s="32" t="s">
        <v>60</v>
      </c>
      <c r="S405" s="30">
        <f t="shared" ca="1" si="15"/>
        <v>40470.53652858796</v>
      </c>
      <c r="T405" s="31">
        <f t="shared" ca="1" si="16"/>
        <v>12</v>
      </c>
      <c r="U405" s="32" t="s">
        <v>56</v>
      </c>
      <c r="V405" s="32" t="s">
        <v>42</v>
      </c>
      <c r="W405" s="32" t="s">
        <v>224</v>
      </c>
      <c r="X405" s="32" t="s">
        <v>224</v>
      </c>
      <c r="Y405" s="25" t="s">
        <v>42</v>
      </c>
      <c r="Z405" s="35"/>
      <c r="AA405" s="35"/>
      <c r="AB405" s="32"/>
      <c r="AC405" s="12" t="s">
        <v>785</v>
      </c>
      <c r="AD405" s="25">
        <v>40211</v>
      </c>
      <c r="AE405" s="25"/>
      <c r="AF405" s="25"/>
      <c r="AG405" s="25"/>
      <c r="AH405" s="11" t="s">
        <v>122</v>
      </c>
    </row>
    <row r="406" spans="1:34" s="37" customFormat="1">
      <c r="A406" s="33">
        <v>404</v>
      </c>
      <c r="B406" s="29">
        <v>40102</v>
      </c>
      <c r="C406" s="30">
        <v>40107</v>
      </c>
      <c r="D406" s="30"/>
      <c r="E406" s="38" t="s">
        <v>1403</v>
      </c>
      <c r="F406" s="31"/>
      <c r="G406" s="32" t="s">
        <v>37</v>
      </c>
      <c r="H406" s="33">
        <v>19</v>
      </c>
      <c r="I406" s="32" t="s">
        <v>1404</v>
      </c>
      <c r="J406" s="31" t="s">
        <v>1405</v>
      </c>
      <c r="K406" s="31" t="s">
        <v>39</v>
      </c>
      <c r="L406" s="32" t="s">
        <v>24</v>
      </c>
      <c r="M406" s="30">
        <v>40107</v>
      </c>
      <c r="N406" s="33">
        <v>1</v>
      </c>
      <c r="O406" s="32" t="s">
        <v>40</v>
      </c>
      <c r="P406" s="32" t="s">
        <v>315</v>
      </c>
      <c r="Q406" s="32" t="s">
        <v>27</v>
      </c>
      <c r="R406" s="32" t="s">
        <v>28</v>
      </c>
      <c r="S406" s="30">
        <f t="shared" ca="1" si="15"/>
        <v>40470.53652858796</v>
      </c>
      <c r="T406" s="31">
        <f t="shared" ca="1" si="16"/>
        <v>12</v>
      </c>
      <c r="U406" s="32" t="s">
        <v>42</v>
      </c>
      <c r="V406" s="32" t="s">
        <v>42</v>
      </c>
      <c r="W406" s="32" t="s">
        <v>42</v>
      </c>
      <c r="X406" s="32" t="s">
        <v>42</v>
      </c>
      <c r="Y406" s="25" t="s">
        <v>42</v>
      </c>
      <c r="Z406" s="35"/>
      <c r="AA406" s="35"/>
      <c r="AB406" s="32"/>
      <c r="AC406" s="12" t="s">
        <v>158</v>
      </c>
      <c r="AD406" s="25"/>
      <c r="AE406" s="25"/>
      <c r="AF406" s="25"/>
      <c r="AG406" s="25"/>
      <c r="AH406" s="11" t="s">
        <v>158</v>
      </c>
    </row>
    <row r="407" spans="1:34" s="37" customFormat="1" ht="12.75" customHeight="1">
      <c r="A407" s="33">
        <v>405</v>
      </c>
      <c r="B407" s="29">
        <v>40103</v>
      </c>
      <c r="C407" s="30">
        <v>40108</v>
      </c>
      <c r="D407" s="30"/>
      <c r="E407" s="38" t="s">
        <v>1406</v>
      </c>
      <c r="F407" s="31"/>
      <c r="G407" s="32" t="s">
        <v>20</v>
      </c>
      <c r="H407" s="33">
        <v>40</v>
      </c>
      <c r="I407" s="32" t="s">
        <v>1407</v>
      </c>
      <c r="J407" s="31" t="s">
        <v>1408</v>
      </c>
      <c r="K407" s="31" t="s">
        <v>291</v>
      </c>
      <c r="L407" s="32" t="s">
        <v>24</v>
      </c>
      <c r="M407" s="30">
        <v>40108</v>
      </c>
      <c r="N407" s="33">
        <v>1</v>
      </c>
      <c r="O407" s="32" t="s">
        <v>25</v>
      </c>
      <c r="P407" s="32" t="s">
        <v>26</v>
      </c>
      <c r="Q407" s="32" t="s">
        <v>27</v>
      </c>
      <c r="R407" s="32" t="s">
        <v>60</v>
      </c>
      <c r="S407" s="30">
        <f t="shared" ca="1" si="15"/>
        <v>40470.53652858796</v>
      </c>
      <c r="T407" s="31">
        <f t="shared" ca="1" si="16"/>
        <v>12</v>
      </c>
      <c r="U407" s="32" t="s">
        <v>56</v>
      </c>
      <c r="V407" s="32" t="s">
        <v>42</v>
      </c>
      <c r="W407" s="32" t="s">
        <v>56</v>
      </c>
      <c r="X407" s="32" t="s">
        <v>56</v>
      </c>
      <c r="Y407" s="25" t="s">
        <v>42</v>
      </c>
      <c r="Z407" s="35"/>
      <c r="AA407" s="35"/>
      <c r="AB407" s="32"/>
      <c r="AC407" s="12" t="s">
        <v>915</v>
      </c>
      <c r="AD407" s="25">
        <v>40357</v>
      </c>
      <c r="AE407" s="25"/>
      <c r="AF407" s="25"/>
      <c r="AG407" s="25"/>
      <c r="AH407" s="11" t="s">
        <v>61</v>
      </c>
    </row>
    <row r="408" spans="1:34" s="37" customFormat="1" ht="12.75" customHeight="1">
      <c r="A408" s="33">
        <v>406</v>
      </c>
      <c r="B408" s="29">
        <v>40104</v>
      </c>
      <c r="C408" s="30">
        <v>40109</v>
      </c>
      <c r="D408" s="30"/>
      <c r="E408" s="38" t="s">
        <v>1409</v>
      </c>
      <c r="F408" s="31"/>
      <c r="G408" s="32" t="s">
        <v>37</v>
      </c>
      <c r="H408" s="33">
        <v>19</v>
      </c>
      <c r="I408" s="32" t="s">
        <v>1410</v>
      </c>
      <c r="J408" s="31"/>
      <c r="K408" s="31" t="s">
        <v>291</v>
      </c>
      <c r="L408" s="32" t="s">
        <v>24</v>
      </c>
      <c r="M408" s="30">
        <v>40109</v>
      </c>
      <c r="N408" s="33">
        <v>2</v>
      </c>
      <c r="O408" s="32" t="s">
        <v>25</v>
      </c>
      <c r="P408" s="32" t="s">
        <v>26</v>
      </c>
      <c r="Q408" s="32" t="s">
        <v>477</v>
      </c>
      <c r="R408" s="32" t="s">
        <v>60</v>
      </c>
      <c r="S408" s="30">
        <f t="shared" ca="1" si="15"/>
        <v>40470.53652858796</v>
      </c>
      <c r="T408" s="31">
        <f t="shared" ca="1" si="16"/>
        <v>12</v>
      </c>
      <c r="U408" s="32" t="s">
        <v>60</v>
      </c>
      <c r="V408" s="32" t="s">
        <v>224</v>
      </c>
      <c r="W408" s="32" t="s">
        <v>224</v>
      </c>
      <c r="X408" s="32" t="s">
        <v>224</v>
      </c>
      <c r="Y408" s="25" t="s">
        <v>42</v>
      </c>
      <c r="Z408" s="35"/>
      <c r="AA408" s="35"/>
      <c r="AB408" s="32"/>
      <c r="AC408" s="12" t="s">
        <v>982</v>
      </c>
      <c r="AD408" s="25">
        <v>40162</v>
      </c>
      <c r="AE408" s="25"/>
      <c r="AF408" s="25"/>
      <c r="AG408" s="25"/>
      <c r="AH408" s="11" t="s">
        <v>122</v>
      </c>
    </row>
    <row r="409" spans="1:34" s="37" customFormat="1">
      <c r="A409" s="33">
        <v>407</v>
      </c>
      <c r="B409" s="29">
        <v>40105</v>
      </c>
      <c r="C409" s="30">
        <v>40109</v>
      </c>
      <c r="D409" s="30"/>
      <c r="E409" s="38" t="s">
        <v>1411</v>
      </c>
      <c r="F409" s="31"/>
      <c r="G409" s="32" t="s">
        <v>37</v>
      </c>
      <c r="H409" s="33">
        <v>22</v>
      </c>
      <c r="I409" s="32" t="s">
        <v>1412</v>
      </c>
      <c r="J409" s="31"/>
      <c r="K409" s="31" t="s">
        <v>39</v>
      </c>
      <c r="L409" s="32" t="s">
        <v>24</v>
      </c>
      <c r="M409" s="30">
        <v>40109</v>
      </c>
      <c r="N409" s="33">
        <v>1</v>
      </c>
      <c r="O409" s="32" t="s">
        <v>40</v>
      </c>
      <c r="P409" s="32" t="s">
        <v>72</v>
      </c>
      <c r="Q409" s="32" t="s">
        <v>27</v>
      </c>
      <c r="R409" s="32" t="s">
        <v>42</v>
      </c>
      <c r="S409" s="30">
        <f t="shared" ca="1" si="15"/>
        <v>40470.53652858796</v>
      </c>
      <c r="T409" s="31">
        <f t="shared" ca="1" si="16"/>
        <v>12</v>
      </c>
      <c r="U409" s="32" t="s">
        <v>42</v>
      </c>
      <c r="V409" s="32" t="s">
        <v>42</v>
      </c>
      <c r="W409" s="32" t="s">
        <v>42</v>
      </c>
      <c r="X409" s="32" t="s">
        <v>42</v>
      </c>
      <c r="Y409" s="25" t="s">
        <v>42</v>
      </c>
      <c r="Z409" s="35"/>
      <c r="AA409" s="35"/>
      <c r="AB409" s="32"/>
      <c r="AC409" s="12" t="s">
        <v>2510</v>
      </c>
      <c r="AD409" s="25">
        <v>40381</v>
      </c>
      <c r="AE409" s="25"/>
      <c r="AF409" s="25"/>
      <c r="AG409" s="25"/>
      <c r="AH409" s="11" t="s">
        <v>44</v>
      </c>
    </row>
    <row r="410" spans="1:34" s="37" customFormat="1">
      <c r="A410" s="33">
        <v>408</v>
      </c>
      <c r="B410" s="29">
        <v>40106</v>
      </c>
      <c r="C410" s="30">
        <v>40113</v>
      </c>
      <c r="D410" s="30"/>
      <c r="E410" s="38" t="s">
        <v>1413</v>
      </c>
      <c r="F410" s="31"/>
      <c r="G410" s="32" t="s">
        <v>20</v>
      </c>
      <c r="H410" s="33">
        <v>23</v>
      </c>
      <c r="I410" s="32" t="s">
        <v>1414</v>
      </c>
      <c r="J410" s="31" t="s">
        <v>1415</v>
      </c>
      <c r="K410" s="31" t="s">
        <v>106</v>
      </c>
      <c r="L410" s="32" t="s">
        <v>24</v>
      </c>
      <c r="M410" s="30">
        <v>40113</v>
      </c>
      <c r="N410" s="33">
        <v>1</v>
      </c>
      <c r="O410" s="32" t="s">
        <v>40</v>
      </c>
      <c r="P410" s="32" t="s">
        <v>315</v>
      </c>
      <c r="Q410" s="32" t="s">
        <v>27</v>
      </c>
      <c r="R410" s="32" t="s">
        <v>56</v>
      </c>
      <c r="S410" s="30">
        <f t="shared" ca="1" si="15"/>
        <v>40470.53652858796</v>
      </c>
      <c r="T410" s="31">
        <f t="shared" ca="1" si="16"/>
        <v>12</v>
      </c>
      <c r="U410" s="32" t="s">
        <v>42</v>
      </c>
      <c r="V410" s="32" t="s">
        <v>42</v>
      </c>
      <c r="W410" s="32" t="s">
        <v>42</v>
      </c>
      <c r="X410" s="32" t="s">
        <v>42</v>
      </c>
      <c r="Y410" s="25" t="s">
        <v>42</v>
      </c>
      <c r="Z410" s="35"/>
      <c r="AA410" s="35"/>
      <c r="AB410" s="32"/>
      <c r="AC410" s="12" t="s">
        <v>44</v>
      </c>
      <c r="AD410" s="25">
        <v>40421</v>
      </c>
      <c r="AE410" s="25"/>
      <c r="AF410" s="25"/>
      <c r="AG410" s="25"/>
      <c r="AH410" s="25" t="s">
        <v>44</v>
      </c>
    </row>
    <row r="411" spans="1:34" s="37" customFormat="1">
      <c r="A411" s="33">
        <v>409</v>
      </c>
      <c r="B411" s="29">
        <v>40107</v>
      </c>
      <c r="C411" s="30">
        <v>40113</v>
      </c>
      <c r="D411" s="30"/>
      <c r="E411" s="38" t="s">
        <v>1417</v>
      </c>
      <c r="F411" s="31"/>
      <c r="G411" s="32" t="s">
        <v>37</v>
      </c>
      <c r="H411" s="33">
        <v>28</v>
      </c>
      <c r="I411" s="32" t="s">
        <v>1418</v>
      </c>
      <c r="J411" s="31" t="s">
        <v>1419</v>
      </c>
      <c r="K411" s="31" t="s">
        <v>291</v>
      </c>
      <c r="L411" s="32" t="s">
        <v>24</v>
      </c>
      <c r="M411" s="30">
        <v>40113</v>
      </c>
      <c r="N411" s="33">
        <v>1</v>
      </c>
      <c r="O411" s="32" t="s">
        <v>40</v>
      </c>
      <c r="P411" s="32" t="s">
        <v>109</v>
      </c>
      <c r="Q411" s="32" t="s">
        <v>27</v>
      </c>
      <c r="R411" s="32" t="s">
        <v>56</v>
      </c>
      <c r="S411" s="30">
        <f t="shared" ca="1" si="15"/>
        <v>40470.53652858796</v>
      </c>
      <c r="T411" s="31">
        <f t="shared" ca="1" si="16"/>
        <v>12</v>
      </c>
      <c r="U411" s="32" t="s">
        <v>42</v>
      </c>
      <c r="V411" s="32" t="s">
        <v>42</v>
      </c>
      <c r="W411" s="32" t="s">
        <v>42</v>
      </c>
      <c r="X411" s="32" t="s">
        <v>42</v>
      </c>
      <c r="Y411" s="25" t="s">
        <v>42</v>
      </c>
      <c r="Z411" s="35"/>
      <c r="AA411" s="35"/>
      <c r="AB411" s="32"/>
      <c r="AC411" s="12" t="s">
        <v>2510</v>
      </c>
      <c r="AD411" s="25">
        <v>40378</v>
      </c>
      <c r="AE411" s="25"/>
      <c r="AF411" s="25"/>
      <c r="AG411" s="25"/>
      <c r="AH411" s="11" t="s">
        <v>44</v>
      </c>
    </row>
    <row r="412" spans="1:34" s="37" customFormat="1" ht="12.75" customHeight="1">
      <c r="A412" s="33">
        <v>410</v>
      </c>
      <c r="B412" s="29">
        <v>40108</v>
      </c>
      <c r="C412" s="30">
        <v>40113</v>
      </c>
      <c r="D412" s="30"/>
      <c r="E412" s="38" t="s">
        <v>1420</v>
      </c>
      <c r="F412" s="31"/>
      <c r="G412" s="32" t="s">
        <v>37</v>
      </c>
      <c r="H412" s="33">
        <v>50</v>
      </c>
      <c r="I412" s="32" t="s">
        <v>1257</v>
      </c>
      <c r="J412" s="31" t="s">
        <v>1258</v>
      </c>
      <c r="K412" s="31" t="s">
        <v>291</v>
      </c>
      <c r="L412" s="32" t="s">
        <v>24</v>
      </c>
      <c r="M412" s="30">
        <v>40113</v>
      </c>
      <c r="N412" s="33">
        <v>1</v>
      </c>
      <c r="O412" s="32" t="s">
        <v>25</v>
      </c>
      <c r="P412" s="32" t="s">
        <v>26</v>
      </c>
      <c r="Q412" s="32" t="s">
        <v>27</v>
      </c>
      <c r="R412" s="32" t="s">
        <v>56</v>
      </c>
      <c r="S412" s="30">
        <f t="shared" ca="1" si="15"/>
        <v>40470.53652858796</v>
      </c>
      <c r="T412" s="31">
        <f t="shared" ca="1" si="16"/>
        <v>12</v>
      </c>
      <c r="U412" s="32" t="s">
        <v>308</v>
      </c>
      <c r="V412" s="32" t="s">
        <v>42</v>
      </c>
      <c r="W412" s="32" t="s">
        <v>308</v>
      </c>
      <c r="X412" s="32" t="s">
        <v>308</v>
      </c>
      <c r="Y412" s="25" t="s">
        <v>42</v>
      </c>
      <c r="Z412" s="35"/>
      <c r="AA412" s="35"/>
      <c r="AB412" s="32"/>
      <c r="AC412" s="12" t="s">
        <v>785</v>
      </c>
      <c r="AD412" s="25">
        <v>40295</v>
      </c>
      <c r="AE412" s="25"/>
      <c r="AF412" s="25"/>
      <c r="AG412" s="25"/>
      <c r="AH412" s="11" t="s">
        <v>122</v>
      </c>
    </row>
    <row r="413" spans="1:34" s="37" customFormat="1" ht="12.75" customHeight="1">
      <c r="A413" s="33">
        <v>411</v>
      </c>
      <c r="B413" s="29">
        <v>40109</v>
      </c>
      <c r="C413" s="30">
        <v>40113</v>
      </c>
      <c r="D413" s="30"/>
      <c r="E413" s="38" t="s">
        <v>1259</v>
      </c>
      <c r="F413" s="31"/>
      <c r="G413" s="32" t="s">
        <v>37</v>
      </c>
      <c r="H413" s="33">
        <v>35</v>
      </c>
      <c r="I413" s="32" t="s">
        <v>1260</v>
      </c>
      <c r="J413" s="31" t="s">
        <v>1261</v>
      </c>
      <c r="K413" s="31" t="s">
        <v>1262</v>
      </c>
      <c r="L413" s="32" t="s">
        <v>24</v>
      </c>
      <c r="M413" s="30">
        <v>40113</v>
      </c>
      <c r="N413" s="33">
        <v>1</v>
      </c>
      <c r="O413" s="32" t="s">
        <v>25</v>
      </c>
      <c r="P413" s="32" t="s">
        <v>26</v>
      </c>
      <c r="Q413" s="32" t="s">
        <v>27</v>
      </c>
      <c r="R413" s="32" t="s">
        <v>28</v>
      </c>
      <c r="S413" s="30">
        <f t="shared" ca="1" si="15"/>
        <v>40470.53652858796</v>
      </c>
      <c r="T413" s="31">
        <f t="shared" ca="1" si="16"/>
        <v>12</v>
      </c>
      <c r="U413" s="32" t="s">
        <v>56</v>
      </c>
      <c r="V413" s="32" t="s">
        <v>42</v>
      </c>
      <c r="W413" s="32" t="s">
        <v>56</v>
      </c>
      <c r="X413" s="32" t="s">
        <v>56</v>
      </c>
      <c r="Y413" s="25" t="s">
        <v>42</v>
      </c>
      <c r="Z413" s="35"/>
      <c r="AA413" s="35"/>
      <c r="AB413" s="32"/>
      <c r="AC413" s="12" t="s">
        <v>915</v>
      </c>
      <c r="AD413" s="25">
        <v>40351</v>
      </c>
      <c r="AE413" s="25"/>
      <c r="AF413" s="25"/>
      <c r="AG413" s="25"/>
      <c r="AH413" s="11" t="s">
        <v>61</v>
      </c>
    </row>
    <row r="414" spans="1:34" s="37" customFormat="1" ht="12.75" customHeight="1">
      <c r="A414" s="33">
        <v>412</v>
      </c>
      <c r="B414" s="29">
        <v>40110</v>
      </c>
      <c r="C414" s="30">
        <v>40113</v>
      </c>
      <c r="D414" s="30"/>
      <c r="E414" s="38" t="s">
        <v>1263</v>
      </c>
      <c r="F414" s="31"/>
      <c r="G414" s="32" t="s">
        <v>37</v>
      </c>
      <c r="H414" s="33">
        <v>70</v>
      </c>
      <c r="I414" s="32" t="s">
        <v>1264</v>
      </c>
      <c r="J414" s="31"/>
      <c r="K414" s="31" t="s">
        <v>59</v>
      </c>
      <c r="L414" s="32" t="s">
        <v>24</v>
      </c>
      <c r="M414" s="30">
        <v>40113</v>
      </c>
      <c r="N414" s="33">
        <v>1</v>
      </c>
      <c r="O414" s="32" t="s">
        <v>25</v>
      </c>
      <c r="P414" s="32" t="s">
        <v>26</v>
      </c>
      <c r="Q414" s="32" t="s">
        <v>27</v>
      </c>
      <c r="R414" s="32" t="s">
        <v>28</v>
      </c>
      <c r="S414" s="30">
        <f t="shared" ca="1" si="15"/>
        <v>40470.53652858796</v>
      </c>
      <c r="T414" s="31">
        <f t="shared" ca="1" si="16"/>
        <v>12</v>
      </c>
      <c r="U414" s="32" t="s">
        <v>56</v>
      </c>
      <c r="V414" s="32" t="s">
        <v>42</v>
      </c>
      <c r="W414" s="32" t="s">
        <v>56</v>
      </c>
      <c r="X414" s="32" t="s">
        <v>56</v>
      </c>
      <c r="Y414" s="25" t="s">
        <v>42</v>
      </c>
      <c r="Z414" s="35"/>
      <c r="AA414" s="35"/>
      <c r="AB414" s="32"/>
      <c r="AC414" s="12" t="s">
        <v>915</v>
      </c>
      <c r="AD414" s="25">
        <v>40371</v>
      </c>
      <c r="AE414" s="25"/>
      <c r="AF414" s="25"/>
      <c r="AG414" s="25"/>
      <c r="AH414" s="11" t="s">
        <v>61</v>
      </c>
    </row>
    <row r="415" spans="1:34" s="37" customFormat="1">
      <c r="A415" s="33">
        <v>413</v>
      </c>
      <c r="B415" s="29">
        <v>40095</v>
      </c>
      <c r="C415" s="30">
        <v>40115</v>
      </c>
      <c r="D415" s="30"/>
      <c r="E415" s="38" t="s">
        <v>1265</v>
      </c>
      <c r="F415" s="31"/>
      <c r="G415" s="32" t="s">
        <v>37</v>
      </c>
      <c r="H415" s="33">
        <v>41</v>
      </c>
      <c r="I415" s="32" t="s">
        <v>1266</v>
      </c>
      <c r="J415" s="31"/>
      <c r="K415" s="31" t="s">
        <v>291</v>
      </c>
      <c r="L415" s="32" t="s">
        <v>24</v>
      </c>
      <c r="M415" s="30">
        <v>40115</v>
      </c>
      <c r="N415" s="33">
        <v>1</v>
      </c>
      <c r="O415" s="32" t="s">
        <v>40</v>
      </c>
      <c r="P415" s="32" t="s">
        <v>109</v>
      </c>
      <c r="Q415" s="32" t="s">
        <v>27</v>
      </c>
      <c r="R415" s="32" t="s">
        <v>56</v>
      </c>
      <c r="S415" s="30">
        <f t="shared" ca="1" si="15"/>
        <v>40470.53652858796</v>
      </c>
      <c r="T415" s="31">
        <f t="shared" ca="1" si="16"/>
        <v>12</v>
      </c>
      <c r="U415" s="32" t="s">
        <v>42</v>
      </c>
      <c r="V415" s="32" t="s">
        <v>42</v>
      </c>
      <c r="W415" s="32" t="s">
        <v>42</v>
      </c>
      <c r="X415" s="32" t="s">
        <v>42</v>
      </c>
      <c r="Y415" s="25" t="s">
        <v>42</v>
      </c>
      <c r="Z415" s="35"/>
      <c r="AA415" s="35"/>
      <c r="AB415" s="32"/>
      <c r="AC415" s="12" t="s">
        <v>44</v>
      </c>
      <c r="AD415" s="25">
        <v>40373</v>
      </c>
      <c r="AE415" s="25"/>
      <c r="AF415" s="25"/>
      <c r="AG415" s="25"/>
      <c r="AH415" s="11" t="s">
        <v>44</v>
      </c>
    </row>
    <row r="416" spans="1:34" s="37" customFormat="1">
      <c r="A416" s="33">
        <v>414</v>
      </c>
      <c r="B416" s="29">
        <v>40126</v>
      </c>
      <c r="C416" s="30">
        <v>40119</v>
      </c>
      <c r="D416" s="30"/>
      <c r="E416" s="38" t="s">
        <v>1267</v>
      </c>
      <c r="F416" s="31"/>
      <c r="G416" s="32" t="s">
        <v>20</v>
      </c>
      <c r="H416" s="33">
        <v>13</v>
      </c>
      <c r="I416" s="32" t="s">
        <v>1268</v>
      </c>
      <c r="J416" s="31" t="s">
        <v>1269</v>
      </c>
      <c r="K416" s="31" t="s">
        <v>106</v>
      </c>
      <c r="L416" s="32" t="s">
        <v>24</v>
      </c>
      <c r="M416" s="30">
        <v>40119</v>
      </c>
      <c r="N416" s="33">
        <v>1</v>
      </c>
      <c r="O416" s="32" t="s">
        <v>40</v>
      </c>
      <c r="P416" s="32" t="s">
        <v>72</v>
      </c>
      <c r="Q416" s="32" t="s">
        <v>27</v>
      </c>
      <c r="R416" s="32" t="s">
        <v>42</v>
      </c>
      <c r="S416" s="30">
        <f t="shared" ca="1" si="15"/>
        <v>40470.53652858796</v>
      </c>
      <c r="T416" s="31">
        <f t="shared" ca="1" si="16"/>
        <v>11</v>
      </c>
      <c r="U416" s="32" t="s">
        <v>42</v>
      </c>
      <c r="V416" s="32" t="s">
        <v>42</v>
      </c>
      <c r="W416" s="32" t="s">
        <v>42</v>
      </c>
      <c r="X416" s="32" t="s">
        <v>42</v>
      </c>
      <c r="Y416" s="25" t="s">
        <v>42</v>
      </c>
      <c r="Z416" s="35"/>
      <c r="AA416" s="35"/>
      <c r="AB416" s="32"/>
      <c r="AC416" s="12" t="s">
        <v>2510</v>
      </c>
      <c r="AD416" s="25">
        <v>40359</v>
      </c>
      <c r="AE416" s="25"/>
      <c r="AF416" s="25"/>
      <c r="AG416" s="25"/>
      <c r="AH416" s="11" t="s">
        <v>44</v>
      </c>
    </row>
    <row r="417" spans="1:34" s="37" customFormat="1" ht="12.75" customHeight="1">
      <c r="A417" s="33">
        <v>415</v>
      </c>
      <c r="B417" s="29">
        <v>40126</v>
      </c>
      <c r="C417" s="30">
        <v>40120</v>
      </c>
      <c r="D417" s="30"/>
      <c r="E417" s="38" t="s">
        <v>1270</v>
      </c>
      <c r="F417" s="31"/>
      <c r="G417" s="32" t="s">
        <v>37</v>
      </c>
      <c r="H417" s="33">
        <v>16</v>
      </c>
      <c r="I417" s="34" t="s">
        <v>1271</v>
      </c>
      <c r="J417" s="31" t="s">
        <v>1272</v>
      </c>
      <c r="K417" s="31" t="s">
        <v>39</v>
      </c>
      <c r="L417" s="32" t="s">
        <v>24</v>
      </c>
      <c r="M417" s="30">
        <v>40120</v>
      </c>
      <c r="N417" s="33">
        <v>2</v>
      </c>
      <c r="O417" s="32" t="s">
        <v>25</v>
      </c>
      <c r="P417" s="32" t="s">
        <v>26</v>
      </c>
      <c r="Q417" s="32" t="s">
        <v>49</v>
      </c>
      <c r="R417" s="32" t="s">
        <v>28</v>
      </c>
      <c r="S417" s="30">
        <f t="shared" ca="1" si="15"/>
        <v>40470.53652858796</v>
      </c>
      <c r="T417" s="31">
        <f t="shared" ca="1" si="16"/>
        <v>11</v>
      </c>
      <c r="U417" s="32" t="s">
        <v>42</v>
      </c>
      <c r="V417" s="32" t="s">
        <v>56</v>
      </c>
      <c r="W417" s="32" t="s">
        <v>56</v>
      </c>
      <c r="X417" s="32" t="s">
        <v>56</v>
      </c>
      <c r="Y417" s="25" t="s">
        <v>42</v>
      </c>
      <c r="Z417" s="35"/>
      <c r="AA417" s="35"/>
      <c r="AB417" s="32"/>
      <c r="AC417" s="12" t="s">
        <v>915</v>
      </c>
      <c r="AD417" s="25">
        <v>40352</v>
      </c>
      <c r="AE417" s="25"/>
      <c r="AF417" s="25"/>
      <c r="AG417" s="25"/>
      <c r="AH417" s="11" t="s">
        <v>61</v>
      </c>
    </row>
    <row r="418" spans="1:34" s="37" customFormat="1">
      <c r="A418" s="33">
        <v>416</v>
      </c>
      <c r="B418" s="29">
        <v>40126</v>
      </c>
      <c r="C418" s="30">
        <v>40120</v>
      </c>
      <c r="D418" s="30"/>
      <c r="E418" s="38" t="s">
        <v>1273</v>
      </c>
      <c r="F418" s="31"/>
      <c r="G418" s="32" t="s">
        <v>20</v>
      </c>
      <c r="H418" s="33">
        <v>25</v>
      </c>
      <c r="I418" s="32" t="s">
        <v>1274</v>
      </c>
      <c r="J418" s="31" t="s">
        <v>1275</v>
      </c>
      <c r="K418" s="31" t="s">
        <v>291</v>
      </c>
      <c r="L418" s="32" t="s">
        <v>24</v>
      </c>
      <c r="M418" s="30">
        <v>40120</v>
      </c>
      <c r="N418" s="33">
        <v>1</v>
      </c>
      <c r="O418" s="32" t="s">
        <v>40</v>
      </c>
      <c r="P418" s="32" t="s">
        <v>72</v>
      </c>
      <c r="Q418" s="32" t="s">
        <v>27</v>
      </c>
      <c r="R418" s="32" t="s">
        <v>56</v>
      </c>
      <c r="S418" s="30">
        <f t="shared" ca="1" si="15"/>
        <v>40470.53652858796</v>
      </c>
      <c r="T418" s="31">
        <f t="shared" ca="1" si="16"/>
        <v>11</v>
      </c>
      <c r="U418" s="32" t="s">
        <v>42</v>
      </c>
      <c r="V418" s="32" t="s">
        <v>42</v>
      </c>
      <c r="W418" s="32" t="s">
        <v>42</v>
      </c>
      <c r="X418" s="32" t="s">
        <v>42</v>
      </c>
      <c r="Y418" s="25" t="s">
        <v>42</v>
      </c>
      <c r="Z418" s="35"/>
      <c r="AA418" s="35"/>
      <c r="AB418" s="32"/>
      <c r="AC418" s="12" t="s">
        <v>785</v>
      </c>
      <c r="AD418" s="25">
        <v>40192</v>
      </c>
      <c r="AE418" s="25"/>
      <c r="AF418" s="25"/>
      <c r="AG418" s="25"/>
      <c r="AH418" s="11" t="s">
        <v>122</v>
      </c>
    </row>
    <row r="419" spans="1:34" s="37" customFormat="1">
      <c r="A419" s="33">
        <v>417</v>
      </c>
      <c r="B419" s="29">
        <v>40126</v>
      </c>
      <c r="C419" s="30">
        <v>40122</v>
      </c>
      <c r="D419" s="30"/>
      <c r="E419" s="38" t="s">
        <v>1276</v>
      </c>
      <c r="F419" s="31"/>
      <c r="G419" s="32" t="s">
        <v>37</v>
      </c>
      <c r="H419" s="33">
        <v>16</v>
      </c>
      <c r="I419" s="32" t="s">
        <v>1277</v>
      </c>
      <c r="J419" s="31" t="s">
        <v>1278</v>
      </c>
      <c r="K419" s="31" t="s">
        <v>39</v>
      </c>
      <c r="L419" s="32" t="s">
        <v>24</v>
      </c>
      <c r="M419" s="30">
        <v>40122</v>
      </c>
      <c r="N419" s="33">
        <v>1</v>
      </c>
      <c r="O419" s="32" t="s">
        <v>40</v>
      </c>
      <c r="P419" s="32" t="s">
        <v>2749</v>
      </c>
      <c r="Q419" s="32" t="s">
        <v>27</v>
      </c>
      <c r="R419" s="32" t="s">
        <v>56</v>
      </c>
      <c r="S419" s="30">
        <f t="shared" ca="1" si="15"/>
        <v>40470.53652858796</v>
      </c>
      <c r="T419" s="31">
        <f t="shared" ca="1" si="16"/>
        <v>11</v>
      </c>
      <c r="U419" s="32" t="s">
        <v>42</v>
      </c>
      <c r="V419" s="32" t="s">
        <v>42</v>
      </c>
      <c r="W419" s="32" t="s">
        <v>42</v>
      </c>
      <c r="X419" s="32" t="s">
        <v>42</v>
      </c>
      <c r="Y419" s="25" t="s">
        <v>42</v>
      </c>
      <c r="Z419" s="35"/>
      <c r="AA419" s="35"/>
      <c r="AB419" s="32"/>
      <c r="AC419" s="12" t="s">
        <v>2510</v>
      </c>
      <c r="AD419" s="25">
        <v>40385</v>
      </c>
      <c r="AE419" s="25"/>
      <c r="AF419" s="25"/>
      <c r="AG419" s="25"/>
      <c r="AH419" s="11" t="s">
        <v>44</v>
      </c>
    </row>
    <row r="420" spans="1:34" s="37" customFormat="1">
      <c r="A420" s="33">
        <v>418</v>
      </c>
      <c r="B420" s="29">
        <v>40126</v>
      </c>
      <c r="C420" s="30">
        <v>40123</v>
      </c>
      <c r="D420" s="30"/>
      <c r="E420" s="38" t="s">
        <v>1279</v>
      </c>
      <c r="F420" s="31"/>
      <c r="G420" s="32" t="s">
        <v>37</v>
      </c>
      <c r="H420" s="33">
        <v>18</v>
      </c>
      <c r="I420" s="32" t="s">
        <v>1280</v>
      </c>
      <c r="J420" s="31" t="s">
        <v>1281</v>
      </c>
      <c r="K420" s="31" t="s">
        <v>39</v>
      </c>
      <c r="L420" s="32" t="s">
        <v>24</v>
      </c>
      <c r="M420" s="30">
        <v>40123</v>
      </c>
      <c r="N420" s="33">
        <v>1</v>
      </c>
      <c r="O420" s="32" t="s">
        <v>40</v>
      </c>
      <c r="P420" s="32" t="s">
        <v>2749</v>
      </c>
      <c r="Q420" s="32" t="s">
        <v>27</v>
      </c>
      <c r="R420" s="32" t="s">
        <v>56</v>
      </c>
      <c r="S420" s="30">
        <f t="shared" ca="1" si="15"/>
        <v>40470.53652858796</v>
      </c>
      <c r="T420" s="31">
        <f t="shared" ca="1" si="16"/>
        <v>11</v>
      </c>
      <c r="U420" s="32" t="s">
        <v>42</v>
      </c>
      <c r="V420" s="32" t="s">
        <v>42</v>
      </c>
      <c r="W420" s="32" t="s">
        <v>42</v>
      </c>
      <c r="X420" s="32" t="s">
        <v>42</v>
      </c>
      <c r="Y420" s="25" t="s">
        <v>42</v>
      </c>
      <c r="Z420" s="35"/>
      <c r="AA420" s="35"/>
      <c r="AB420" s="32"/>
      <c r="AC420" s="12" t="s">
        <v>158</v>
      </c>
      <c r="AD420" s="25"/>
      <c r="AE420" s="25"/>
      <c r="AF420" s="25"/>
      <c r="AG420" s="25"/>
      <c r="AH420" s="11" t="s">
        <v>158</v>
      </c>
    </row>
    <row r="421" spans="1:34" s="37" customFormat="1" ht="12.75" customHeight="1">
      <c r="A421" s="33">
        <v>419</v>
      </c>
      <c r="B421" s="29">
        <v>40126</v>
      </c>
      <c r="C421" s="30">
        <v>40128</v>
      </c>
      <c r="D421" s="30"/>
      <c r="E421" s="38" t="s">
        <v>1282</v>
      </c>
      <c r="F421" s="31"/>
      <c r="G421" s="32" t="s">
        <v>37</v>
      </c>
      <c r="H421" s="33">
        <v>12</v>
      </c>
      <c r="I421" s="32" t="s">
        <v>1283</v>
      </c>
      <c r="J421" s="31" t="s">
        <v>1284</v>
      </c>
      <c r="K421" s="31" t="s">
        <v>39</v>
      </c>
      <c r="L421" s="32" t="s">
        <v>24</v>
      </c>
      <c r="M421" s="30">
        <v>40128</v>
      </c>
      <c r="N421" s="33">
        <v>1</v>
      </c>
      <c r="O421" s="32" t="s">
        <v>25</v>
      </c>
      <c r="P421" s="32" t="s">
        <v>26</v>
      </c>
      <c r="Q421" s="32" t="s">
        <v>27</v>
      </c>
      <c r="R421" s="32" t="s">
        <v>28</v>
      </c>
      <c r="S421" s="30">
        <f t="shared" ca="1" si="15"/>
        <v>40470.53652858796</v>
      </c>
      <c r="T421" s="31">
        <f t="shared" ca="1" si="16"/>
        <v>11</v>
      </c>
      <c r="U421" s="32" t="s">
        <v>56</v>
      </c>
      <c r="V421" s="32" t="s">
        <v>42</v>
      </c>
      <c r="W421" s="32" t="s">
        <v>224</v>
      </c>
      <c r="X421" s="32" t="s">
        <v>42</v>
      </c>
      <c r="Y421" s="25" t="s">
        <v>42</v>
      </c>
      <c r="Z421" s="35"/>
      <c r="AA421" s="35"/>
      <c r="AB421" s="32"/>
      <c r="AC421" s="12" t="s">
        <v>915</v>
      </c>
      <c r="AD421" s="25">
        <v>40409</v>
      </c>
      <c r="AE421" s="25"/>
      <c r="AF421" s="25"/>
      <c r="AG421" s="25"/>
      <c r="AH421" s="11" t="s">
        <v>61</v>
      </c>
    </row>
    <row r="422" spans="1:34" s="37" customFormat="1" ht="12.75" customHeight="1">
      <c r="A422" s="33">
        <v>420</v>
      </c>
      <c r="B422" s="29">
        <v>40126</v>
      </c>
      <c r="C422" s="30">
        <v>113178</v>
      </c>
      <c r="D422" s="30"/>
      <c r="E422" s="38" t="s">
        <v>1285</v>
      </c>
      <c r="F422" s="31"/>
      <c r="G422" s="32" t="s">
        <v>37</v>
      </c>
      <c r="H422" s="33">
        <v>76</v>
      </c>
      <c r="I422" s="32" t="s">
        <v>1286</v>
      </c>
      <c r="J422" s="31"/>
      <c r="K422" s="31" t="s">
        <v>71</v>
      </c>
      <c r="L422" s="32" t="s">
        <v>24</v>
      </c>
      <c r="M422" s="30">
        <v>40130</v>
      </c>
      <c r="N422" s="33">
        <v>1</v>
      </c>
      <c r="O422" s="32" t="s">
        <v>25</v>
      </c>
      <c r="P422" s="32" t="s">
        <v>26</v>
      </c>
      <c r="Q422" s="32" t="s">
        <v>27</v>
      </c>
      <c r="R422" s="32" t="s">
        <v>60</v>
      </c>
      <c r="S422" s="30">
        <f t="shared" ca="1" si="15"/>
        <v>40470.53652858796</v>
      </c>
      <c r="T422" s="31">
        <f t="shared" ca="1" si="16"/>
        <v>11</v>
      </c>
      <c r="U422" s="32" t="s">
        <v>224</v>
      </c>
      <c r="V422" s="32" t="s">
        <v>42</v>
      </c>
      <c r="W422" s="32" t="s">
        <v>224</v>
      </c>
      <c r="X422" s="32" t="s">
        <v>224</v>
      </c>
      <c r="Y422" s="25" t="s">
        <v>42</v>
      </c>
      <c r="Z422" s="35"/>
      <c r="AA422" s="35"/>
      <c r="AB422" s="32"/>
      <c r="AC422" s="12" t="s">
        <v>785</v>
      </c>
      <c r="AD422" s="25">
        <v>40130</v>
      </c>
      <c r="AE422" s="25"/>
      <c r="AF422" s="25"/>
      <c r="AG422" s="25"/>
      <c r="AH422" s="11" t="s">
        <v>122</v>
      </c>
    </row>
    <row r="423" spans="1:34" s="37" customFormat="1">
      <c r="A423" s="33">
        <v>421</v>
      </c>
      <c r="B423" s="29">
        <v>40126</v>
      </c>
      <c r="C423" s="30">
        <v>40130</v>
      </c>
      <c r="D423" s="30"/>
      <c r="E423" s="38" t="s">
        <v>1287</v>
      </c>
      <c r="F423" s="31"/>
      <c r="G423" s="32" t="s">
        <v>20</v>
      </c>
      <c r="H423" s="33">
        <v>37</v>
      </c>
      <c r="I423" s="32" t="s">
        <v>1288</v>
      </c>
      <c r="J423" s="31" t="s">
        <v>1289</v>
      </c>
      <c r="K423" s="31" t="s">
        <v>291</v>
      </c>
      <c r="L423" s="32" t="s">
        <v>24</v>
      </c>
      <c r="M423" s="30">
        <v>40130</v>
      </c>
      <c r="N423" s="33">
        <v>1</v>
      </c>
      <c r="O423" s="32" t="s">
        <v>40</v>
      </c>
      <c r="P423" s="32" t="s">
        <v>109</v>
      </c>
      <c r="Q423" s="32" t="s">
        <v>110</v>
      </c>
      <c r="R423" s="32" t="s">
        <v>56</v>
      </c>
      <c r="S423" s="30">
        <f t="shared" ca="1" si="15"/>
        <v>40470.53652858796</v>
      </c>
      <c r="T423" s="31">
        <f t="shared" ca="1" si="16"/>
        <v>11</v>
      </c>
      <c r="U423" s="32" t="s">
        <v>42</v>
      </c>
      <c r="V423" s="32" t="s">
        <v>42</v>
      </c>
      <c r="W423" s="32" t="s">
        <v>42</v>
      </c>
      <c r="X423" s="32" t="s">
        <v>42</v>
      </c>
      <c r="Y423" s="25" t="s">
        <v>42</v>
      </c>
      <c r="Z423" s="35"/>
      <c r="AA423" s="35"/>
      <c r="AB423" s="32"/>
      <c r="AC423" s="12" t="s">
        <v>2510</v>
      </c>
      <c r="AD423" s="25">
        <v>40366</v>
      </c>
      <c r="AE423" s="25"/>
      <c r="AF423" s="25"/>
      <c r="AG423" s="25"/>
      <c r="AH423" s="11" t="s">
        <v>44</v>
      </c>
    </row>
    <row r="424" spans="1:34" s="37" customFormat="1">
      <c r="A424" s="33">
        <v>422</v>
      </c>
      <c r="B424" s="29">
        <v>40126</v>
      </c>
      <c r="C424" s="30">
        <v>40133</v>
      </c>
      <c r="D424" s="30"/>
      <c r="E424" s="38" t="s">
        <v>1290</v>
      </c>
      <c r="F424" s="31"/>
      <c r="G424" s="32" t="s">
        <v>37</v>
      </c>
      <c r="H424" s="33">
        <v>50</v>
      </c>
      <c r="I424" s="32" t="s">
        <v>1291</v>
      </c>
      <c r="J424" s="31"/>
      <c r="K424" s="31" t="s">
        <v>291</v>
      </c>
      <c r="L424" s="32" t="s">
        <v>24</v>
      </c>
      <c r="M424" s="30">
        <v>40133</v>
      </c>
      <c r="N424" s="33">
        <v>1</v>
      </c>
      <c r="O424" s="32" t="s">
        <v>40</v>
      </c>
      <c r="P424" s="32" t="s">
        <v>72</v>
      </c>
      <c r="Q424" s="32" t="s">
        <v>27</v>
      </c>
      <c r="R424" s="32" t="s">
        <v>42</v>
      </c>
      <c r="S424" s="30">
        <f t="shared" ca="1" si="15"/>
        <v>40470.53652858796</v>
      </c>
      <c r="T424" s="31">
        <f t="shared" ca="1" si="16"/>
        <v>11</v>
      </c>
      <c r="U424" s="32" t="s">
        <v>42</v>
      </c>
      <c r="V424" s="32" t="s">
        <v>42</v>
      </c>
      <c r="W424" s="32" t="s">
        <v>42</v>
      </c>
      <c r="X424" s="32" t="s">
        <v>42</v>
      </c>
      <c r="Y424" s="25" t="s">
        <v>42</v>
      </c>
      <c r="Z424" s="35"/>
      <c r="AA424" s="35"/>
      <c r="AB424" s="32"/>
      <c r="AC424" s="12" t="s">
        <v>785</v>
      </c>
      <c r="AD424" s="25">
        <v>40133</v>
      </c>
      <c r="AE424" s="25"/>
      <c r="AF424" s="25"/>
      <c r="AG424" s="25"/>
      <c r="AH424" s="11" t="s">
        <v>122</v>
      </c>
    </row>
    <row r="425" spans="1:34" s="37" customFormat="1" ht="12.75" customHeight="1">
      <c r="A425" s="33">
        <v>423</v>
      </c>
      <c r="B425" s="29">
        <v>40126</v>
      </c>
      <c r="C425" s="30">
        <v>40134</v>
      </c>
      <c r="D425" s="30"/>
      <c r="E425" s="38" t="s">
        <v>1292</v>
      </c>
      <c r="F425" s="31"/>
      <c r="G425" s="32" t="s">
        <v>20</v>
      </c>
      <c r="H425" s="33">
        <v>22</v>
      </c>
      <c r="I425" s="32" t="s">
        <v>1293</v>
      </c>
      <c r="J425" s="31"/>
      <c r="K425" s="31" t="s">
        <v>291</v>
      </c>
      <c r="L425" s="32" t="s">
        <v>24</v>
      </c>
      <c r="M425" s="30">
        <v>40134</v>
      </c>
      <c r="N425" s="33">
        <v>1</v>
      </c>
      <c r="O425" s="32" t="s">
        <v>25</v>
      </c>
      <c r="P425" s="32" t="s">
        <v>26</v>
      </c>
      <c r="Q425" s="32" t="s">
        <v>27</v>
      </c>
      <c r="R425" s="32" t="s">
        <v>60</v>
      </c>
      <c r="S425" s="30">
        <f t="shared" ca="1" si="15"/>
        <v>40470.53652858796</v>
      </c>
      <c r="T425" s="31">
        <f t="shared" ca="1" si="16"/>
        <v>11</v>
      </c>
      <c r="U425" s="32" t="s">
        <v>26</v>
      </c>
      <c r="V425" s="32" t="s">
        <v>2752</v>
      </c>
      <c r="W425" s="32" t="s">
        <v>224</v>
      </c>
      <c r="X425" s="32" t="s">
        <v>56</v>
      </c>
      <c r="Y425" s="25" t="s">
        <v>30</v>
      </c>
      <c r="Z425" s="35"/>
      <c r="AA425" s="35"/>
      <c r="AB425" s="32"/>
      <c r="AC425" s="12" t="s">
        <v>1416</v>
      </c>
      <c r="AD425" s="25"/>
      <c r="AE425" s="25"/>
      <c r="AF425" s="25"/>
      <c r="AG425" s="25"/>
      <c r="AH425" s="11" t="s">
        <v>1416</v>
      </c>
    </row>
    <row r="426" spans="1:34" s="37" customFormat="1" ht="12.75" customHeight="1">
      <c r="A426" s="33">
        <v>424</v>
      </c>
      <c r="B426" s="29">
        <v>40126</v>
      </c>
      <c r="C426" s="30">
        <v>40141</v>
      </c>
      <c r="D426" s="30"/>
      <c r="E426" s="38" t="s">
        <v>1294</v>
      </c>
      <c r="F426" s="31"/>
      <c r="G426" s="32" t="s">
        <v>37</v>
      </c>
      <c r="H426" s="33">
        <v>22</v>
      </c>
      <c r="I426" s="32" t="s">
        <v>1295</v>
      </c>
      <c r="J426" s="31"/>
      <c r="K426" s="31" t="s">
        <v>223</v>
      </c>
      <c r="L426" s="32" t="s">
        <v>24</v>
      </c>
      <c r="M426" s="30">
        <v>40141</v>
      </c>
      <c r="N426" s="33">
        <v>1</v>
      </c>
      <c r="O426" s="32" t="s">
        <v>25</v>
      </c>
      <c r="P426" s="32" t="s">
        <v>26</v>
      </c>
      <c r="Q426" s="32" t="s">
        <v>27</v>
      </c>
      <c r="R426" s="32" t="s">
        <v>65</v>
      </c>
      <c r="S426" s="30">
        <f t="shared" ca="1" si="15"/>
        <v>40470.53652858796</v>
      </c>
      <c r="T426" s="31">
        <f t="shared" ca="1" si="16"/>
        <v>11</v>
      </c>
      <c r="U426" s="32" t="s">
        <v>56</v>
      </c>
      <c r="V426" s="32" t="s">
        <v>26</v>
      </c>
      <c r="W426" s="32" t="s">
        <v>2752</v>
      </c>
      <c r="X426" s="32" t="s">
        <v>224</v>
      </c>
      <c r="Y426" s="25" t="s">
        <v>42</v>
      </c>
      <c r="Z426" s="35"/>
      <c r="AA426" s="35"/>
      <c r="AB426" s="32"/>
      <c r="AC426" s="12" t="s">
        <v>785</v>
      </c>
      <c r="AD426" s="25">
        <v>40295</v>
      </c>
      <c r="AE426" s="25"/>
      <c r="AF426" s="25"/>
      <c r="AG426" s="25"/>
      <c r="AH426" s="11" t="s">
        <v>122</v>
      </c>
    </row>
    <row r="427" spans="1:34" s="37" customFormat="1" ht="12.75" customHeight="1">
      <c r="A427" s="33">
        <v>425</v>
      </c>
      <c r="B427" s="29">
        <v>40126</v>
      </c>
      <c r="C427" s="30">
        <v>40141</v>
      </c>
      <c r="D427" s="30"/>
      <c r="E427" s="38" t="s">
        <v>1296</v>
      </c>
      <c r="F427" s="31"/>
      <c r="G427" s="32" t="s">
        <v>20</v>
      </c>
      <c r="H427" s="33">
        <v>63</v>
      </c>
      <c r="I427" s="32" t="s">
        <v>1297</v>
      </c>
      <c r="J427" s="31" t="s">
        <v>1298</v>
      </c>
      <c r="K427" s="31" t="s">
        <v>71</v>
      </c>
      <c r="L427" s="32" t="s">
        <v>24</v>
      </c>
      <c r="M427" s="30">
        <v>40141</v>
      </c>
      <c r="N427" s="33">
        <v>1</v>
      </c>
      <c r="O427" s="32" t="s">
        <v>25</v>
      </c>
      <c r="P427" s="32" t="s">
        <v>26</v>
      </c>
      <c r="Q427" s="32" t="s">
        <v>27</v>
      </c>
      <c r="R427" s="32" t="s">
        <v>56</v>
      </c>
      <c r="S427" s="30">
        <f t="shared" ca="1" si="15"/>
        <v>40470.53652858796</v>
      </c>
      <c r="T427" s="31">
        <f t="shared" ca="1" si="16"/>
        <v>11</v>
      </c>
      <c r="U427" s="32" t="s">
        <v>26</v>
      </c>
      <c r="V427" s="32" t="s">
        <v>56</v>
      </c>
      <c r="W427" s="32" t="s">
        <v>56</v>
      </c>
      <c r="X427" s="32" t="s">
        <v>56</v>
      </c>
      <c r="Y427" s="25" t="s">
        <v>42</v>
      </c>
      <c r="Z427" s="35"/>
      <c r="AA427" s="35"/>
      <c r="AB427" s="32"/>
      <c r="AC427" s="12" t="s">
        <v>2510</v>
      </c>
      <c r="AD427" s="25">
        <v>40360</v>
      </c>
      <c r="AE427" s="25"/>
      <c r="AF427" s="25"/>
      <c r="AG427" s="25"/>
      <c r="AH427" s="11" t="s">
        <v>44</v>
      </c>
    </row>
    <row r="428" spans="1:34" s="37" customFormat="1" ht="12.75" customHeight="1">
      <c r="A428" s="33">
        <v>426</v>
      </c>
      <c r="B428" s="29">
        <v>40126</v>
      </c>
      <c r="C428" s="30">
        <v>40141</v>
      </c>
      <c r="D428" s="30"/>
      <c r="E428" s="38" t="s">
        <v>1299</v>
      </c>
      <c r="F428" s="31"/>
      <c r="G428" s="32" t="s">
        <v>37</v>
      </c>
      <c r="H428" s="33">
        <v>24</v>
      </c>
      <c r="I428" s="32" t="s">
        <v>1300</v>
      </c>
      <c r="J428" s="31" t="s">
        <v>1301</v>
      </c>
      <c r="K428" s="31" t="s">
        <v>291</v>
      </c>
      <c r="L428" s="32" t="s">
        <v>24</v>
      </c>
      <c r="M428" s="30">
        <v>40141</v>
      </c>
      <c r="N428" s="33">
        <v>2</v>
      </c>
      <c r="O428" s="32" t="s">
        <v>25</v>
      </c>
      <c r="P428" s="32" t="s">
        <v>26</v>
      </c>
      <c r="Q428" s="32" t="s">
        <v>49</v>
      </c>
      <c r="R428" s="32" t="s">
        <v>56</v>
      </c>
      <c r="S428" s="30">
        <f t="shared" ca="1" si="15"/>
        <v>40470.53652858796</v>
      </c>
      <c r="T428" s="31">
        <f t="shared" ca="1" si="16"/>
        <v>11</v>
      </c>
      <c r="U428" s="32" t="s">
        <v>42</v>
      </c>
      <c r="V428" s="32" t="s">
        <v>224</v>
      </c>
      <c r="W428" s="32" t="s">
        <v>224</v>
      </c>
      <c r="X428" s="32" t="s">
        <v>224</v>
      </c>
      <c r="Y428" s="25" t="s">
        <v>42</v>
      </c>
      <c r="Z428" s="35"/>
      <c r="AA428" s="35"/>
      <c r="AB428" s="32"/>
      <c r="AC428" s="12" t="s">
        <v>785</v>
      </c>
      <c r="AD428" s="25">
        <v>40295</v>
      </c>
      <c r="AE428" s="25"/>
      <c r="AF428" s="25"/>
      <c r="AG428" s="25"/>
      <c r="AH428" s="11" t="s">
        <v>122</v>
      </c>
    </row>
    <row r="429" spans="1:34" s="37" customFormat="1" ht="12.75" customHeight="1">
      <c r="A429" s="33">
        <v>427</v>
      </c>
      <c r="B429" s="29">
        <v>40126</v>
      </c>
      <c r="C429" s="30">
        <v>40141</v>
      </c>
      <c r="D429" s="30"/>
      <c r="E429" s="38" t="s">
        <v>1302</v>
      </c>
      <c r="F429" s="31"/>
      <c r="G429" s="32" t="s">
        <v>20</v>
      </c>
      <c r="H429" s="33">
        <v>15</v>
      </c>
      <c r="I429" s="32" t="s">
        <v>1501</v>
      </c>
      <c r="J429" s="31" t="s">
        <v>1502</v>
      </c>
      <c r="K429" s="31" t="s">
        <v>39</v>
      </c>
      <c r="L429" s="32" t="s">
        <v>24</v>
      </c>
      <c r="M429" s="30">
        <v>40141</v>
      </c>
      <c r="N429" s="33">
        <v>1</v>
      </c>
      <c r="O429" s="32" t="s">
        <v>25</v>
      </c>
      <c r="P429" s="32" t="s">
        <v>26</v>
      </c>
      <c r="Q429" s="32" t="s">
        <v>27</v>
      </c>
      <c r="R429" s="32" t="s">
        <v>60</v>
      </c>
      <c r="S429" s="30">
        <f t="shared" ca="1" si="15"/>
        <v>40470.53652858796</v>
      </c>
      <c r="T429" s="31">
        <f t="shared" ca="1" si="16"/>
        <v>11</v>
      </c>
      <c r="U429" s="32" t="s">
        <v>56</v>
      </c>
      <c r="V429" s="32" t="s">
        <v>56</v>
      </c>
      <c r="W429" s="32" t="s">
        <v>26</v>
      </c>
      <c r="X429" s="32" t="s">
        <v>56</v>
      </c>
      <c r="Y429" s="25" t="s">
        <v>42</v>
      </c>
      <c r="Z429" s="35"/>
      <c r="AA429" s="19"/>
      <c r="AB429" s="11"/>
      <c r="AC429" s="12" t="s">
        <v>61</v>
      </c>
      <c r="AD429" s="25">
        <v>40422</v>
      </c>
      <c r="AE429" s="25"/>
      <c r="AF429" s="25"/>
      <c r="AG429" s="25"/>
      <c r="AH429" s="25" t="s">
        <v>61</v>
      </c>
    </row>
    <row r="430" spans="1:34">
      <c r="A430" s="1">
        <v>428</v>
      </c>
      <c r="B430" s="14">
        <v>40126</v>
      </c>
      <c r="C430" s="15">
        <v>40142</v>
      </c>
      <c r="E430" s="8" t="s">
        <v>1296</v>
      </c>
      <c r="G430" s="11" t="s">
        <v>37</v>
      </c>
      <c r="H430" s="1">
        <v>23</v>
      </c>
      <c r="I430" s="11" t="s">
        <v>1503</v>
      </c>
      <c r="K430" s="8" t="s">
        <v>39</v>
      </c>
      <c r="L430" s="11" t="s">
        <v>24</v>
      </c>
      <c r="M430" s="15">
        <v>40142</v>
      </c>
      <c r="N430" s="1">
        <v>1</v>
      </c>
      <c r="O430" s="11" t="s">
        <v>40</v>
      </c>
      <c r="P430" s="11" t="s">
        <v>26</v>
      </c>
      <c r="Q430" s="11" t="s">
        <v>27</v>
      </c>
      <c r="R430" s="11" t="s">
        <v>56</v>
      </c>
      <c r="S430" s="15">
        <f t="shared" ca="1" si="15"/>
        <v>40470.53652858796</v>
      </c>
      <c r="T430" s="8">
        <f t="shared" ca="1" si="16"/>
        <v>11</v>
      </c>
      <c r="U430" s="11" t="s">
        <v>42</v>
      </c>
      <c r="V430" s="11" t="s">
        <v>42</v>
      </c>
      <c r="W430" s="11" t="s">
        <v>42</v>
      </c>
      <c r="X430" s="11" t="s">
        <v>42</v>
      </c>
      <c r="Y430" s="25" t="s">
        <v>42</v>
      </c>
      <c r="AC430" s="12" t="s">
        <v>2510</v>
      </c>
      <c r="AD430" s="25">
        <v>40372</v>
      </c>
      <c r="AH430" s="11" t="s">
        <v>44</v>
      </c>
    </row>
    <row r="431" spans="1:34" ht="12.75" customHeight="1">
      <c r="A431" s="1">
        <v>429</v>
      </c>
      <c r="B431" s="14">
        <v>40126</v>
      </c>
      <c r="C431" s="15">
        <v>40142</v>
      </c>
      <c r="E431" s="8" t="s">
        <v>1299</v>
      </c>
      <c r="G431" s="11" t="s">
        <v>20</v>
      </c>
      <c r="H431" s="1">
        <v>18</v>
      </c>
      <c r="I431" s="11" t="s">
        <v>1343</v>
      </c>
      <c r="J431" s="8" t="s">
        <v>1344</v>
      </c>
      <c r="K431" s="8" t="s">
        <v>39</v>
      </c>
      <c r="L431" s="11" t="s">
        <v>24</v>
      </c>
      <c r="M431" s="15">
        <v>40142</v>
      </c>
      <c r="N431" s="1">
        <v>1</v>
      </c>
      <c r="O431" s="11" t="s">
        <v>25</v>
      </c>
      <c r="P431" s="11" t="s">
        <v>26</v>
      </c>
      <c r="Q431" s="11" t="s">
        <v>27</v>
      </c>
      <c r="R431" s="11" t="s">
        <v>28</v>
      </c>
      <c r="S431" s="15">
        <f t="shared" ca="1" si="15"/>
        <v>40470.53652858796</v>
      </c>
      <c r="T431" s="8">
        <f t="shared" ca="1" si="16"/>
        <v>11</v>
      </c>
      <c r="U431" s="11" t="s">
        <v>56</v>
      </c>
      <c r="V431" s="11" t="s">
        <v>42</v>
      </c>
      <c r="W431" s="11" t="s">
        <v>56</v>
      </c>
      <c r="X431" s="25" t="s">
        <v>56</v>
      </c>
      <c r="Y431" s="25" t="s">
        <v>42</v>
      </c>
      <c r="AC431" s="12" t="s">
        <v>915</v>
      </c>
      <c r="AD431" s="25">
        <v>40400</v>
      </c>
      <c r="AH431" s="11" t="s">
        <v>61</v>
      </c>
    </row>
    <row r="432" spans="1:34">
      <c r="A432" s="1">
        <v>430</v>
      </c>
      <c r="B432" s="14">
        <v>40126</v>
      </c>
      <c r="C432" s="15">
        <v>40143</v>
      </c>
      <c r="E432" s="8" t="s">
        <v>1302</v>
      </c>
      <c r="G432" s="11" t="s">
        <v>20</v>
      </c>
      <c r="H432" s="1">
        <v>33</v>
      </c>
      <c r="I432" s="11" t="s">
        <v>1345</v>
      </c>
      <c r="J432" s="8" t="s">
        <v>1346</v>
      </c>
      <c r="K432" s="8" t="s">
        <v>291</v>
      </c>
      <c r="L432" s="11" t="s">
        <v>24</v>
      </c>
      <c r="M432" s="15">
        <v>40143</v>
      </c>
      <c r="N432" s="1">
        <v>1</v>
      </c>
      <c r="O432" s="11" t="s">
        <v>40</v>
      </c>
      <c r="P432" s="11" t="s">
        <v>26</v>
      </c>
      <c r="Q432" s="11" t="s">
        <v>27</v>
      </c>
      <c r="R432" s="25" t="s">
        <v>56</v>
      </c>
      <c r="S432" s="15">
        <f t="shared" ca="1" si="15"/>
        <v>40470.53652858796</v>
      </c>
      <c r="T432" s="8">
        <f t="shared" ca="1" si="16"/>
        <v>11</v>
      </c>
      <c r="U432" s="11" t="s">
        <v>42</v>
      </c>
      <c r="V432" s="11" t="s">
        <v>42</v>
      </c>
      <c r="W432" s="11" t="s">
        <v>42</v>
      </c>
      <c r="X432" s="11" t="s">
        <v>42</v>
      </c>
      <c r="Y432" s="25" t="s">
        <v>42</v>
      </c>
      <c r="AC432" s="12" t="s">
        <v>2510</v>
      </c>
      <c r="AD432" s="25">
        <v>40369</v>
      </c>
      <c r="AH432" s="11" t="s">
        <v>44</v>
      </c>
    </row>
    <row r="433" spans="1:34">
      <c r="A433" s="1">
        <v>431</v>
      </c>
      <c r="B433" s="14">
        <v>40126</v>
      </c>
      <c r="C433" s="15">
        <v>40143</v>
      </c>
      <c r="E433" s="8" t="s">
        <v>1347</v>
      </c>
      <c r="G433" s="11" t="s">
        <v>37</v>
      </c>
      <c r="H433" s="1">
        <v>30</v>
      </c>
      <c r="I433" s="11" t="s">
        <v>1348</v>
      </c>
      <c r="K433" s="8" t="s">
        <v>291</v>
      </c>
      <c r="L433" s="11" t="s">
        <v>24</v>
      </c>
      <c r="M433" s="15">
        <v>40143</v>
      </c>
      <c r="N433" s="1">
        <v>1</v>
      </c>
      <c r="O433" s="11" t="s">
        <v>40</v>
      </c>
      <c r="P433" s="11" t="s">
        <v>213</v>
      </c>
      <c r="Q433" s="11" t="s">
        <v>27</v>
      </c>
      <c r="R433" s="25" t="s">
        <v>56</v>
      </c>
      <c r="S433" s="15">
        <f t="shared" ca="1" si="15"/>
        <v>40470.53652858796</v>
      </c>
      <c r="T433" s="8">
        <f t="shared" ca="1" si="16"/>
        <v>11</v>
      </c>
      <c r="U433" s="11" t="s">
        <v>42</v>
      </c>
      <c r="V433" s="11" t="s">
        <v>42</v>
      </c>
      <c r="W433" s="11" t="s">
        <v>42</v>
      </c>
      <c r="X433" s="11" t="s">
        <v>42</v>
      </c>
      <c r="AC433" s="12" t="s">
        <v>1416</v>
      </c>
      <c r="AH433" s="11" t="s">
        <v>1416</v>
      </c>
    </row>
    <row r="434" spans="1:34">
      <c r="A434" s="1">
        <v>432</v>
      </c>
      <c r="B434" s="14">
        <v>40126</v>
      </c>
      <c r="C434" s="15">
        <v>40143</v>
      </c>
      <c r="E434" s="8" t="s">
        <v>1349</v>
      </c>
      <c r="G434" s="11" t="s">
        <v>20</v>
      </c>
      <c r="H434" s="1">
        <v>24</v>
      </c>
      <c r="I434" s="11" t="s">
        <v>1350</v>
      </c>
      <c r="J434" s="8" t="s">
        <v>1351</v>
      </c>
      <c r="K434" s="8" t="s">
        <v>106</v>
      </c>
      <c r="L434" s="11" t="s">
        <v>24</v>
      </c>
      <c r="M434" s="15">
        <v>40143</v>
      </c>
      <c r="N434" s="1">
        <v>1</v>
      </c>
      <c r="O434" s="11" t="s">
        <v>40</v>
      </c>
      <c r="P434" s="11" t="s">
        <v>1352</v>
      </c>
      <c r="Q434" s="11" t="s">
        <v>27</v>
      </c>
      <c r="R434" s="25" t="s">
        <v>56</v>
      </c>
      <c r="S434" s="15">
        <f t="shared" ca="1" si="15"/>
        <v>40470.53652858796</v>
      </c>
      <c r="T434" s="8">
        <f t="shared" ca="1" si="16"/>
        <v>11</v>
      </c>
      <c r="U434" s="11" t="s">
        <v>42</v>
      </c>
      <c r="V434" s="11" t="s">
        <v>42</v>
      </c>
      <c r="W434" s="11" t="s">
        <v>42</v>
      </c>
      <c r="X434" s="11" t="s">
        <v>42</v>
      </c>
      <c r="Y434" s="25" t="s">
        <v>42</v>
      </c>
      <c r="AC434" s="12" t="s">
        <v>785</v>
      </c>
      <c r="AH434" s="11" t="s">
        <v>122</v>
      </c>
    </row>
    <row r="435" spans="1:34" ht="12.75" customHeight="1">
      <c r="A435" s="1">
        <v>433</v>
      </c>
      <c r="B435" s="14">
        <v>40156</v>
      </c>
      <c r="C435" s="15">
        <v>40148</v>
      </c>
      <c r="E435" s="8" t="s">
        <v>1353</v>
      </c>
      <c r="G435" s="11" t="s">
        <v>20</v>
      </c>
      <c r="H435" s="1">
        <v>57</v>
      </c>
      <c r="I435" s="11" t="s">
        <v>1354</v>
      </c>
      <c r="J435" s="8" t="s">
        <v>1355</v>
      </c>
      <c r="K435" s="8" t="s">
        <v>291</v>
      </c>
      <c r="L435" s="11" t="s">
        <v>24</v>
      </c>
      <c r="M435" s="15">
        <v>40148</v>
      </c>
      <c r="N435" s="1">
        <v>2</v>
      </c>
      <c r="O435" s="11" t="s">
        <v>25</v>
      </c>
      <c r="P435" s="11" t="s">
        <v>26</v>
      </c>
      <c r="Q435" s="11" t="s">
        <v>27</v>
      </c>
      <c r="R435" s="11" t="s">
        <v>65</v>
      </c>
      <c r="S435" s="15">
        <f t="shared" ca="1" si="15"/>
        <v>40470.53652858796</v>
      </c>
      <c r="T435" s="8">
        <f t="shared" ca="1" si="16"/>
        <v>10</v>
      </c>
      <c r="U435" s="11" t="s">
        <v>42</v>
      </c>
      <c r="V435" s="11" t="s">
        <v>56</v>
      </c>
      <c r="W435" s="11" t="s">
        <v>42</v>
      </c>
      <c r="X435" s="11" t="s">
        <v>42</v>
      </c>
      <c r="Y435" s="25" t="s">
        <v>42</v>
      </c>
      <c r="AC435" s="12" t="s">
        <v>785</v>
      </c>
      <c r="AH435" s="11" t="s">
        <v>122</v>
      </c>
    </row>
    <row r="436" spans="1:34" ht="12.75" customHeight="1">
      <c r="A436" s="1">
        <v>434</v>
      </c>
      <c r="B436" s="14">
        <v>40156</v>
      </c>
      <c r="C436" s="15">
        <v>40148</v>
      </c>
      <c r="E436" s="8" t="s">
        <v>1356</v>
      </c>
      <c r="G436" s="11" t="s">
        <v>37</v>
      </c>
      <c r="H436" s="1">
        <v>53</v>
      </c>
      <c r="I436" s="11" t="s">
        <v>1357</v>
      </c>
      <c r="J436" s="8" t="s">
        <v>1358</v>
      </c>
      <c r="K436" s="8" t="s">
        <v>291</v>
      </c>
      <c r="L436" s="11" t="s">
        <v>24</v>
      </c>
      <c r="M436" s="15">
        <v>40148</v>
      </c>
      <c r="N436" s="1">
        <v>1</v>
      </c>
      <c r="O436" s="11" t="s">
        <v>25</v>
      </c>
      <c r="P436" s="11" t="s">
        <v>26</v>
      </c>
      <c r="Q436" s="11" t="s">
        <v>27</v>
      </c>
      <c r="R436" s="11" t="s">
        <v>60</v>
      </c>
      <c r="S436" s="15">
        <f t="shared" ca="1" si="15"/>
        <v>40470.53652858796</v>
      </c>
      <c r="T436" s="8">
        <f t="shared" ca="1" si="16"/>
        <v>10</v>
      </c>
      <c r="U436" s="11" t="s">
        <v>42</v>
      </c>
      <c r="V436" s="11" t="s">
        <v>42</v>
      </c>
      <c r="W436" s="11" t="s">
        <v>42</v>
      </c>
      <c r="X436" s="11" t="s">
        <v>42</v>
      </c>
      <c r="Y436" s="25" t="s">
        <v>42</v>
      </c>
      <c r="AC436" s="12" t="s">
        <v>785</v>
      </c>
      <c r="AH436" s="11" t="s">
        <v>122</v>
      </c>
    </row>
    <row r="437" spans="1:34" ht="12.75" customHeight="1">
      <c r="A437" s="1">
        <v>435</v>
      </c>
      <c r="B437" s="14">
        <v>40156</v>
      </c>
      <c r="C437" s="15">
        <v>40148</v>
      </c>
      <c r="E437" s="8" t="s">
        <v>1359</v>
      </c>
      <c r="G437" s="11" t="s">
        <v>37</v>
      </c>
      <c r="H437" s="1">
        <v>28</v>
      </c>
      <c r="I437" s="11" t="s">
        <v>1360</v>
      </c>
      <c r="J437" s="8" t="s">
        <v>1361</v>
      </c>
      <c r="K437" s="8" t="s">
        <v>291</v>
      </c>
      <c r="L437" s="11" t="s">
        <v>24</v>
      </c>
      <c r="M437" s="15">
        <v>40148</v>
      </c>
      <c r="N437" s="1">
        <v>1</v>
      </c>
      <c r="O437" s="11" t="s">
        <v>25</v>
      </c>
      <c r="P437" s="11" t="s">
        <v>26</v>
      </c>
      <c r="Q437" s="11" t="s">
        <v>27</v>
      </c>
      <c r="R437" s="11" t="s">
        <v>28</v>
      </c>
      <c r="S437" s="15">
        <f t="shared" ca="1" si="15"/>
        <v>40470.53652858796</v>
      </c>
      <c r="T437" s="8">
        <f t="shared" ca="1" si="16"/>
        <v>10</v>
      </c>
      <c r="U437" s="11" t="s">
        <v>42</v>
      </c>
      <c r="V437" s="11" t="s">
        <v>42</v>
      </c>
      <c r="W437" s="11" t="s">
        <v>42</v>
      </c>
      <c r="X437" s="11" t="s">
        <v>42</v>
      </c>
      <c r="Y437" s="25" t="s">
        <v>42</v>
      </c>
      <c r="AC437" s="12" t="s">
        <v>785</v>
      </c>
      <c r="AH437" s="11" t="s">
        <v>122</v>
      </c>
    </row>
    <row r="438" spans="1:34" ht="12.75" customHeight="1">
      <c r="A438" s="1">
        <v>436</v>
      </c>
      <c r="B438" s="14">
        <v>40156</v>
      </c>
      <c r="C438" s="15">
        <v>40148</v>
      </c>
      <c r="E438" s="8" t="s">
        <v>1362</v>
      </c>
      <c r="G438" s="11" t="s">
        <v>20</v>
      </c>
      <c r="H438" s="1">
        <v>26</v>
      </c>
      <c r="I438" s="11" t="s">
        <v>1363</v>
      </c>
      <c r="J438" s="8" t="s">
        <v>1364</v>
      </c>
      <c r="K438" s="8" t="s">
        <v>291</v>
      </c>
      <c r="L438" s="11" t="s">
        <v>24</v>
      </c>
      <c r="M438" s="15">
        <v>40148</v>
      </c>
      <c r="N438" s="1">
        <v>1</v>
      </c>
      <c r="O438" s="11" t="s">
        <v>25</v>
      </c>
      <c r="P438" s="11" t="s">
        <v>26</v>
      </c>
      <c r="Q438" s="11" t="s">
        <v>27</v>
      </c>
      <c r="R438" s="11" t="s">
        <v>65</v>
      </c>
      <c r="S438" s="15">
        <f t="shared" ca="1" si="15"/>
        <v>40470.53652858796</v>
      </c>
      <c r="T438" s="8">
        <f t="shared" ca="1" si="16"/>
        <v>10</v>
      </c>
      <c r="U438" s="11" t="s">
        <v>42</v>
      </c>
      <c r="V438" s="11" t="s">
        <v>42</v>
      </c>
      <c r="W438" s="11" t="s">
        <v>42</v>
      </c>
      <c r="X438" s="11" t="s">
        <v>42</v>
      </c>
      <c r="Y438" s="25" t="s">
        <v>42</v>
      </c>
      <c r="AC438" s="12" t="s">
        <v>785</v>
      </c>
      <c r="AH438" s="11" t="s">
        <v>122</v>
      </c>
    </row>
    <row r="439" spans="1:34">
      <c r="A439" s="1">
        <v>437</v>
      </c>
      <c r="B439" s="14">
        <v>40156</v>
      </c>
      <c r="C439" s="15">
        <v>40149</v>
      </c>
      <c r="E439" s="8" t="s">
        <v>1365</v>
      </c>
      <c r="G439" s="11" t="s">
        <v>37</v>
      </c>
      <c r="H439" s="1">
        <v>38</v>
      </c>
      <c r="I439" s="11" t="s">
        <v>1366</v>
      </c>
      <c r="J439" s="8" t="s">
        <v>1367</v>
      </c>
      <c r="K439" s="8" t="s">
        <v>291</v>
      </c>
      <c r="L439" s="11" t="s">
        <v>24</v>
      </c>
      <c r="M439" s="15">
        <v>40149</v>
      </c>
      <c r="N439" s="1">
        <v>1</v>
      </c>
      <c r="O439" s="11" t="s">
        <v>40</v>
      </c>
      <c r="P439" s="11" t="s">
        <v>431</v>
      </c>
      <c r="Q439" s="11" t="s">
        <v>27</v>
      </c>
      <c r="R439" s="25" t="s">
        <v>56</v>
      </c>
      <c r="S439" s="15">
        <f t="shared" ca="1" si="15"/>
        <v>40470.53652858796</v>
      </c>
      <c r="T439" s="8">
        <f t="shared" ca="1" si="16"/>
        <v>10</v>
      </c>
      <c r="U439" s="11" t="s">
        <v>42</v>
      </c>
      <c r="V439" s="11" t="s">
        <v>42</v>
      </c>
      <c r="W439" s="11" t="s">
        <v>42</v>
      </c>
      <c r="X439" s="11" t="s">
        <v>42</v>
      </c>
      <c r="Y439" s="25" t="s">
        <v>42</v>
      </c>
      <c r="AC439" s="12" t="s">
        <v>2510</v>
      </c>
      <c r="AD439" s="39">
        <v>40369</v>
      </c>
      <c r="AE439" s="39"/>
      <c r="AF439" s="39"/>
      <c r="AG439" s="39"/>
      <c r="AH439" s="39" t="s">
        <v>43</v>
      </c>
    </row>
    <row r="440" spans="1:34" ht="12.75" customHeight="1">
      <c r="A440" s="1">
        <v>438</v>
      </c>
      <c r="B440" s="14">
        <v>40156</v>
      </c>
      <c r="C440" s="15">
        <v>40149</v>
      </c>
      <c r="E440" s="8" t="s">
        <v>1368</v>
      </c>
      <c r="G440" s="11" t="s">
        <v>20</v>
      </c>
      <c r="H440" s="1">
        <v>18</v>
      </c>
      <c r="I440" s="11" t="s">
        <v>1369</v>
      </c>
      <c r="J440" s="8" t="s">
        <v>1370</v>
      </c>
      <c r="K440" s="8" t="s">
        <v>39</v>
      </c>
      <c r="L440" s="11" t="s">
        <v>24</v>
      </c>
      <c r="M440" s="15">
        <v>40149</v>
      </c>
      <c r="N440" s="1">
        <v>1</v>
      </c>
      <c r="O440" s="11" t="s">
        <v>25</v>
      </c>
      <c r="P440" s="11" t="s">
        <v>26</v>
      </c>
      <c r="Q440" s="11" t="s">
        <v>27</v>
      </c>
      <c r="R440" s="11" t="s">
        <v>60</v>
      </c>
      <c r="S440" s="15">
        <f t="shared" ca="1" si="15"/>
        <v>40470.53652858796</v>
      </c>
      <c r="T440" s="8">
        <f t="shared" ca="1" si="16"/>
        <v>10</v>
      </c>
      <c r="U440" s="11" t="s">
        <v>42</v>
      </c>
      <c r="V440" s="11" t="s">
        <v>42</v>
      </c>
      <c r="W440" s="11" t="s">
        <v>42</v>
      </c>
      <c r="X440" s="11" t="s">
        <v>42</v>
      </c>
      <c r="Y440" s="25" t="s">
        <v>42</v>
      </c>
      <c r="AC440" s="12" t="s">
        <v>982</v>
      </c>
      <c r="AD440" s="39"/>
      <c r="AE440" s="39"/>
      <c r="AF440" s="39"/>
      <c r="AG440" s="39"/>
      <c r="AH440" s="39" t="s">
        <v>122</v>
      </c>
    </row>
    <row r="441" spans="1:34">
      <c r="A441" s="1">
        <v>439</v>
      </c>
      <c r="B441" s="14">
        <v>40156</v>
      </c>
      <c r="C441" s="15">
        <v>40149</v>
      </c>
      <c r="E441" s="8" t="s">
        <v>1371</v>
      </c>
      <c r="G441" s="11" t="s">
        <v>37</v>
      </c>
      <c r="H441" s="1">
        <v>30</v>
      </c>
      <c r="I441" s="11" t="s">
        <v>1372</v>
      </c>
      <c r="J441" s="8" t="s">
        <v>1373</v>
      </c>
      <c r="K441" s="8" t="s">
        <v>291</v>
      </c>
      <c r="L441" s="11" t="s">
        <v>24</v>
      </c>
      <c r="M441" s="15">
        <v>40149</v>
      </c>
      <c r="N441" s="1">
        <v>1</v>
      </c>
      <c r="O441" s="11" t="s">
        <v>40</v>
      </c>
      <c r="P441" s="11" t="s">
        <v>431</v>
      </c>
      <c r="Q441" s="11" t="s">
        <v>27</v>
      </c>
      <c r="R441" s="25" t="s">
        <v>42</v>
      </c>
      <c r="S441" s="15">
        <f t="shared" ca="1" si="15"/>
        <v>40470.53652858796</v>
      </c>
      <c r="T441" s="8">
        <f t="shared" ca="1" si="16"/>
        <v>10</v>
      </c>
      <c r="U441" s="11" t="s">
        <v>42</v>
      </c>
      <c r="V441" s="11" t="s">
        <v>42</v>
      </c>
      <c r="W441" s="11" t="s">
        <v>42</v>
      </c>
      <c r="X441" s="11" t="s">
        <v>42</v>
      </c>
      <c r="Y441" s="25" t="s">
        <v>42</v>
      </c>
      <c r="AC441" s="12" t="s">
        <v>2534</v>
      </c>
      <c r="AD441" s="25">
        <v>40162</v>
      </c>
      <c r="AH441" s="11" t="s">
        <v>35</v>
      </c>
    </row>
    <row r="442" spans="1:34" ht="12.75" customHeight="1">
      <c r="A442" s="1">
        <v>440</v>
      </c>
      <c r="B442" s="14">
        <v>40156</v>
      </c>
      <c r="C442" s="15">
        <v>40150</v>
      </c>
      <c r="E442" s="8" t="s">
        <v>1374</v>
      </c>
      <c r="G442" s="11" t="s">
        <v>37</v>
      </c>
      <c r="H442" s="1">
        <v>21</v>
      </c>
      <c r="I442" s="11" t="s">
        <v>1375</v>
      </c>
      <c r="J442" s="8" t="s">
        <v>1376</v>
      </c>
      <c r="K442" s="8" t="s">
        <v>39</v>
      </c>
      <c r="L442" s="11" t="s">
        <v>24</v>
      </c>
      <c r="M442" s="15">
        <v>40150</v>
      </c>
      <c r="N442" s="1">
        <v>1</v>
      </c>
      <c r="O442" s="11" t="s">
        <v>25</v>
      </c>
      <c r="P442" s="11" t="s">
        <v>26</v>
      </c>
      <c r="Q442" s="11" t="s">
        <v>27</v>
      </c>
      <c r="R442" s="11" t="s">
        <v>28</v>
      </c>
      <c r="S442" s="15">
        <f t="shared" ca="1" si="15"/>
        <v>40470.53652858796</v>
      </c>
      <c r="T442" s="8">
        <f t="shared" ca="1" si="16"/>
        <v>10</v>
      </c>
      <c r="U442" s="11" t="s">
        <v>56</v>
      </c>
      <c r="V442" s="11" t="s">
        <v>42</v>
      </c>
      <c r="W442" s="11" t="s">
        <v>56</v>
      </c>
      <c r="X442" s="25" t="s">
        <v>56</v>
      </c>
      <c r="Y442" s="25" t="s">
        <v>42</v>
      </c>
      <c r="AC442" s="12" t="s">
        <v>915</v>
      </c>
      <c r="AD442" s="25">
        <v>40393</v>
      </c>
      <c r="AH442" s="11" t="s">
        <v>61</v>
      </c>
    </row>
    <row r="443" spans="1:34">
      <c r="A443" s="1">
        <v>441</v>
      </c>
      <c r="B443" s="14">
        <v>40156</v>
      </c>
      <c r="C443" s="15">
        <v>40150</v>
      </c>
      <c r="E443" s="8" t="s">
        <v>1377</v>
      </c>
      <c r="G443" s="11" t="s">
        <v>37</v>
      </c>
      <c r="H443" s="1">
        <v>15</v>
      </c>
      <c r="I443" s="11" t="s">
        <v>1378</v>
      </c>
      <c r="J443" s="8" t="s">
        <v>1379</v>
      </c>
      <c r="K443" s="8" t="s">
        <v>106</v>
      </c>
      <c r="L443" s="11" t="s">
        <v>24</v>
      </c>
      <c r="M443" s="15">
        <v>40150</v>
      </c>
      <c r="N443" s="1">
        <v>1</v>
      </c>
      <c r="O443" s="11" t="s">
        <v>40</v>
      </c>
      <c r="P443" s="11" t="s">
        <v>26</v>
      </c>
      <c r="Q443" s="11" t="s">
        <v>27</v>
      </c>
      <c r="R443" s="11" t="s">
        <v>42</v>
      </c>
      <c r="S443" s="15">
        <f t="shared" ca="1" si="15"/>
        <v>40470.53652858796</v>
      </c>
      <c r="T443" s="8">
        <f t="shared" ca="1" si="16"/>
        <v>10</v>
      </c>
      <c r="U443" s="11" t="s">
        <v>42</v>
      </c>
      <c r="V443" s="11" t="s">
        <v>42</v>
      </c>
      <c r="W443" s="11" t="s">
        <v>42</v>
      </c>
      <c r="X443" s="11" t="s">
        <v>42</v>
      </c>
      <c r="AC443" s="12" t="s">
        <v>1380</v>
      </c>
      <c r="AH443" s="11" t="s">
        <v>1380</v>
      </c>
    </row>
    <row r="444" spans="1:34">
      <c r="A444" s="1">
        <v>442</v>
      </c>
      <c r="B444" s="14">
        <v>40156</v>
      </c>
      <c r="C444" s="15">
        <v>40154</v>
      </c>
      <c r="E444" s="8" t="s">
        <v>1381</v>
      </c>
      <c r="G444" s="11" t="s">
        <v>20</v>
      </c>
      <c r="H444" s="1">
        <v>60</v>
      </c>
      <c r="I444" s="11" t="s">
        <v>1382</v>
      </c>
      <c r="J444" s="8" t="s">
        <v>1383</v>
      </c>
      <c r="K444" s="8" t="s">
        <v>71</v>
      </c>
      <c r="L444" s="11" t="s">
        <v>24</v>
      </c>
      <c r="M444" s="15">
        <v>40154</v>
      </c>
      <c r="N444" s="1">
        <v>1</v>
      </c>
      <c r="O444" s="11" t="s">
        <v>40</v>
      </c>
      <c r="P444" s="11" t="s">
        <v>1384</v>
      </c>
      <c r="Q444" s="11" t="s">
        <v>27</v>
      </c>
      <c r="R444" s="25" t="s">
        <v>56</v>
      </c>
      <c r="S444" s="15">
        <f t="shared" ca="1" si="15"/>
        <v>40470.53652858796</v>
      </c>
      <c r="T444" s="8">
        <f t="shared" ca="1" si="16"/>
        <v>10</v>
      </c>
      <c r="U444" s="11" t="s">
        <v>42</v>
      </c>
      <c r="V444" s="11" t="s">
        <v>42</v>
      </c>
      <c r="W444" s="11" t="s">
        <v>42</v>
      </c>
      <c r="X444" s="11" t="s">
        <v>42</v>
      </c>
      <c r="Y444" s="25" t="s">
        <v>42</v>
      </c>
      <c r="AC444" s="12" t="s">
        <v>982</v>
      </c>
      <c r="AH444" s="11" t="s">
        <v>122</v>
      </c>
    </row>
    <row r="445" spans="1:34">
      <c r="A445" s="1">
        <v>443</v>
      </c>
      <c r="B445" s="14">
        <v>40156</v>
      </c>
      <c r="C445" s="15">
        <v>40155</v>
      </c>
      <c r="E445" s="8" t="s">
        <v>1385</v>
      </c>
      <c r="G445" s="11" t="s">
        <v>37</v>
      </c>
      <c r="H445" s="1">
        <v>32</v>
      </c>
      <c r="I445" s="11" t="s">
        <v>1386</v>
      </c>
      <c r="J445" s="8" t="s">
        <v>1387</v>
      </c>
      <c r="K445" s="8" t="s">
        <v>206</v>
      </c>
      <c r="L445" s="11" t="s">
        <v>24</v>
      </c>
      <c r="M445" s="15">
        <v>40155</v>
      </c>
      <c r="N445" s="1">
        <v>1</v>
      </c>
      <c r="O445" s="11" t="s">
        <v>40</v>
      </c>
      <c r="P445" s="11" t="s">
        <v>72</v>
      </c>
      <c r="Q445" s="11" t="s">
        <v>27</v>
      </c>
      <c r="R445" s="25" t="s">
        <v>2731</v>
      </c>
      <c r="S445" s="15">
        <f t="shared" ca="1" si="15"/>
        <v>40470.53652858796</v>
      </c>
      <c r="T445" s="8">
        <f t="shared" ca="1" si="16"/>
        <v>10</v>
      </c>
      <c r="U445" s="11" t="s">
        <v>42</v>
      </c>
      <c r="V445" s="11" t="s">
        <v>42</v>
      </c>
      <c r="W445" s="11" t="s">
        <v>42</v>
      </c>
      <c r="X445" s="11" t="s">
        <v>42</v>
      </c>
      <c r="Y445" s="25" t="s">
        <v>42</v>
      </c>
      <c r="AC445" s="12" t="s">
        <v>982</v>
      </c>
      <c r="AH445" s="11" t="s">
        <v>122</v>
      </c>
    </row>
    <row r="446" spans="1:34" ht="12.75" customHeight="1">
      <c r="A446" s="1">
        <v>444</v>
      </c>
      <c r="B446" s="14">
        <v>40156</v>
      </c>
      <c r="C446" s="15">
        <v>40156</v>
      </c>
      <c r="E446" s="8" t="s">
        <v>1388</v>
      </c>
      <c r="G446" s="11" t="s">
        <v>20</v>
      </c>
      <c r="H446" s="1">
        <v>30</v>
      </c>
      <c r="I446" s="11" t="s">
        <v>1389</v>
      </c>
      <c r="J446" s="8" t="s">
        <v>1390</v>
      </c>
      <c r="K446" s="8" t="s">
        <v>253</v>
      </c>
      <c r="L446" s="11" t="s">
        <v>24</v>
      </c>
      <c r="M446" s="15">
        <v>40155</v>
      </c>
      <c r="N446" s="1">
        <v>1</v>
      </c>
      <c r="O446" s="11" t="s">
        <v>25</v>
      </c>
      <c r="P446" s="11" t="s">
        <v>26</v>
      </c>
      <c r="Q446" s="11" t="s">
        <v>27</v>
      </c>
      <c r="R446" s="11" t="s">
        <v>60</v>
      </c>
      <c r="S446" s="15">
        <f t="shared" ca="1" si="15"/>
        <v>40470.53652858796</v>
      </c>
      <c r="T446" s="8">
        <f t="shared" ca="1" si="16"/>
        <v>10</v>
      </c>
      <c r="U446" s="25" t="s">
        <v>56</v>
      </c>
      <c r="V446" s="25" t="s">
        <v>42</v>
      </c>
      <c r="W446" s="25" t="s">
        <v>56</v>
      </c>
      <c r="X446" s="25" t="s">
        <v>56</v>
      </c>
      <c r="Y446" s="25" t="s">
        <v>42</v>
      </c>
      <c r="AC446" s="12" t="s">
        <v>915</v>
      </c>
      <c r="AD446" s="25">
        <v>40414</v>
      </c>
      <c r="AH446" s="11" t="s">
        <v>61</v>
      </c>
    </row>
    <row r="447" spans="1:34">
      <c r="A447" s="1">
        <v>445</v>
      </c>
      <c r="B447" s="14">
        <v>40156</v>
      </c>
      <c r="C447" s="15">
        <v>40156</v>
      </c>
      <c r="E447" s="8" t="s">
        <v>1391</v>
      </c>
      <c r="G447" s="11" t="s">
        <v>37</v>
      </c>
      <c r="H447" s="1">
        <v>15</v>
      </c>
      <c r="I447" s="11" t="s">
        <v>1392</v>
      </c>
      <c r="J447" s="8" t="s">
        <v>1393</v>
      </c>
      <c r="K447" s="8" t="s">
        <v>39</v>
      </c>
      <c r="L447" s="11" t="s">
        <v>24</v>
      </c>
      <c r="M447" s="15">
        <v>40156</v>
      </c>
      <c r="N447" s="1">
        <v>1</v>
      </c>
      <c r="O447" s="11" t="s">
        <v>40</v>
      </c>
      <c r="P447" s="11" t="s">
        <v>72</v>
      </c>
      <c r="Q447" s="11" t="s">
        <v>27</v>
      </c>
      <c r="R447" s="11" t="s">
        <v>42</v>
      </c>
      <c r="S447" s="15">
        <f t="shared" ca="1" si="15"/>
        <v>40470.53652858796</v>
      </c>
      <c r="T447" s="8">
        <f t="shared" ca="1" si="16"/>
        <v>10</v>
      </c>
      <c r="U447" s="11" t="s">
        <v>42</v>
      </c>
      <c r="V447" s="11" t="s">
        <v>42</v>
      </c>
      <c r="W447" s="11" t="s">
        <v>42</v>
      </c>
      <c r="X447" s="11" t="s">
        <v>42</v>
      </c>
      <c r="Y447" s="25" t="s">
        <v>42</v>
      </c>
      <c r="AC447" s="12" t="s">
        <v>2510</v>
      </c>
      <c r="AD447" s="25">
        <v>40429</v>
      </c>
      <c r="AH447" s="11" t="s">
        <v>43</v>
      </c>
    </row>
    <row r="448" spans="1:34">
      <c r="A448" s="1">
        <v>446</v>
      </c>
      <c r="B448" s="14">
        <v>40156</v>
      </c>
      <c r="C448" s="15">
        <v>40156</v>
      </c>
      <c r="E448" s="8" t="s">
        <v>1394</v>
      </c>
      <c r="G448" s="11" t="s">
        <v>20</v>
      </c>
      <c r="H448" s="1">
        <v>60</v>
      </c>
      <c r="I448" s="11" t="s">
        <v>1395</v>
      </c>
      <c r="J448" s="8" t="s">
        <v>1396</v>
      </c>
      <c r="K448" s="8" t="s">
        <v>291</v>
      </c>
      <c r="L448" s="11" t="s">
        <v>24</v>
      </c>
      <c r="M448" s="15">
        <v>40156</v>
      </c>
      <c r="N448" s="1">
        <v>1</v>
      </c>
      <c r="O448" s="11" t="s">
        <v>40</v>
      </c>
      <c r="P448" s="11" t="s">
        <v>1397</v>
      </c>
      <c r="Q448" s="11" t="s">
        <v>27</v>
      </c>
      <c r="R448" s="25" t="s">
        <v>56</v>
      </c>
      <c r="S448" s="15">
        <f t="shared" ca="1" si="15"/>
        <v>40470.53652858796</v>
      </c>
      <c r="T448" s="8">
        <f t="shared" ca="1" si="16"/>
        <v>10</v>
      </c>
      <c r="U448" s="11" t="s">
        <v>42</v>
      </c>
      <c r="V448" s="11" t="s">
        <v>42</v>
      </c>
      <c r="W448" s="11" t="s">
        <v>42</v>
      </c>
      <c r="X448" s="11" t="s">
        <v>42</v>
      </c>
      <c r="Y448" s="25" t="s">
        <v>42</v>
      </c>
      <c r="AC448" s="12" t="s">
        <v>785</v>
      </c>
      <c r="AH448" s="11" t="s">
        <v>122</v>
      </c>
    </row>
    <row r="449" spans="1:34">
      <c r="A449" s="1">
        <v>447</v>
      </c>
      <c r="B449" s="14">
        <v>40156</v>
      </c>
      <c r="C449" s="15">
        <v>40157</v>
      </c>
      <c r="E449" s="8" t="s">
        <v>1398</v>
      </c>
      <c r="G449" s="11" t="s">
        <v>20</v>
      </c>
      <c r="H449" s="1">
        <v>31</v>
      </c>
      <c r="I449" s="11" t="s">
        <v>1399</v>
      </c>
      <c r="J449" s="8" t="s">
        <v>1432</v>
      </c>
      <c r="K449" s="8" t="s">
        <v>291</v>
      </c>
      <c r="L449" s="11" t="s">
        <v>24</v>
      </c>
      <c r="M449" s="15">
        <v>40157</v>
      </c>
      <c r="N449" s="1">
        <v>1</v>
      </c>
      <c r="O449" s="11" t="s">
        <v>40</v>
      </c>
      <c r="P449" s="11" t="s">
        <v>72</v>
      </c>
      <c r="Q449" s="11" t="s">
        <v>27</v>
      </c>
      <c r="R449" s="25" t="s">
        <v>56</v>
      </c>
      <c r="S449" s="15">
        <f t="shared" ca="1" si="15"/>
        <v>40470.53652858796</v>
      </c>
      <c r="T449" s="8">
        <f t="shared" ca="1" si="16"/>
        <v>10</v>
      </c>
      <c r="U449" s="11" t="s">
        <v>42</v>
      </c>
      <c r="V449" s="11" t="s">
        <v>42</v>
      </c>
      <c r="W449" s="11" t="s">
        <v>42</v>
      </c>
      <c r="X449" s="11" t="s">
        <v>42</v>
      </c>
      <c r="Y449" s="25" t="s">
        <v>42</v>
      </c>
      <c r="AC449" s="12" t="s">
        <v>2510</v>
      </c>
      <c r="AD449" s="25">
        <v>40400</v>
      </c>
      <c r="AH449" s="11" t="s">
        <v>43</v>
      </c>
    </row>
    <row r="450" spans="1:34" ht="12.75" customHeight="1">
      <c r="A450" s="1">
        <v>448</v>
      </c>
      <c r="B450" s="14">
        <v>40156</v>
      </c>
      <c r="C450" s="15">
        <v>40158</v>
      </c>
      <c r="E450" s="8" t="s">
        <v>1433</v>
      </c>
      <c r="G450" s="11" t="s">
        <v>37</v>
      </c>
      <c r="H450" s="1">
        <v>20</v>
      </c>
      <c r="I450" s="11" t="s">
        <v>1434</v>
      </c>
      <c r="J450" s="8" t="s">
        <v>1435</v>
      </c>
      <c r="K450" s="8" t="s">
        <v>39</v>
      </c>
      <c r="L450" s="11" t="s">
        <v>24</v>
      </c>
      <c r="M450" s="15">
        <v>40158</v>
      </c>
      <c r="N450" s="1">
        <v>1</v>
      </c>
      <c r="O450" s="11" t="s">
        <v>25</v>
      </c>
      <c r="P450" s="11" t="s">
        <v>26</v>
      </c>
      <c r="Q450" s="11" t="s">
        <v>27</v>
      </c>
      <c r="R450" s="11" t="s">
        <v>56</v>
      </c>
      <c r="S450" s="15">
        <f t="shared" ref="S450:S513" ca="1" si="17">NOW()</f>
        <v>40470.53652858796</v>
      </c>
      <c r="T450" s="8">
        <f t="shared" ca="1" si="16"/>
        <v>10</v>
      </c>
      <c r="U450" s="25" t="s">
        <v>56</v>
      </c>
      <c r="V450" s="11" t="s">
        <v>42</v>
      </c>
      <c r="W450" s="11" t="s">
        <v>42</v>
      </c>
      <c r="X450" s="11" t="s">
        <v>42</v>
      </c>
      <c r="Y450" s="25" t="s">
        <v>42</v>
      </c>
      <c r="AC450" s="12" t="s">
        <v>785</v>
      </c>
      <c r="AH450" s="11" t="s">
        <v>122</v>
      </c>
    </row>
    <row r="451" spans="1:34">
      <c r="A451" s="1">
        <v>449</v>
      </c>
      <c r="B451" s="14">
        <v>40156</v>
      </c>
      <c r="C451" s="15">
        <v>40154</v>
      </c>
      <c r="E451" s="8" t="s">
        <v>1436</v>
      </c>
      <c r="G451" s="11" t="s">
        <v>37</v>
      </c>
      <c r="H451" s="1">
        <v>22</v>
      </c>
      <c r="I451" s="11" t="s">
        <v>1437</v>
      </c>
      <c r="L451" s="11" t="s">
        <v>24</v>
      </c>
      <c r="M451" s="15">
        <v>40154</v>
      </c>
      <c r="N451" s="1">
        <v>1</v>
      </c>
      <c r="O451" s="11" t="s">
        <v>40</v>
      </c>
      <c r="P451" s="11" t="s">
        <v>26</v>
      </c>
      <c r="Q451" s="11" t="s">
        <v>27</v>
      </c>
      <c r="R451" s="25" t="s">
        <v>56</v>
      </c>
      <c r="S451" s="15">
        <f t="shared" ca="1" si="17"/>
        <v>40470.53652858796</v>
      </c>
      <c r="T451" s="8">
        <f t="shared" ca="1" si="16"/>
        <v>10</v>
      </c>
      <c r="U451" s="11" t="s">
        <v>42</v>
      </c>
      <c r="V451" s="11" t="s">
        <v>42</v>
      </c>
      <c r="W451" s="11" t="s">
        <v>42</v>
      </c>
      <c r="X451" s="11" t="s">
        <v>42</v>
      </c>
      <c r="Y451" s="25" t="s">
        <v>42</v>
      </c>
      <c r="AC451" s="12" t="s">
        <v>2510</v>
      </c>
      <c r="AD451" s="25">
        <v>40520</v>
      </c>
      <c r="AH451" s="11" t="s">
        <v>44</v>
      </c>
    </row>
    <row r="452" spans="1:34" ht="12.75" customHeight="1">
      <c r="A452" s="1">
        <v>450</v>
      </c>
      <c r="B452" s="14">
        <v>40156</v>
      </c>
      <c r="C452" s="15">
        <v>40162</v>
      </c>
      <c r="E452" s="8" t="s">
        <v>1438</v>
      </c>
      <c r="G452" s="11" t="s">
        <v>37</v>
      </c>
      <c r="H452" s="1">
        <v>17</v>
      </c>
      <c r="I452" s="11" t="s">
        <v>1439</v>
      </c>
      <c r="J452" s="8" t="s">
        <v>1440</v>
      </c>
      <c r="K452" s="8" t="s">
        <v>39</v>
      </c>
      <c r="L452" s="11" t="s">
        <v>24</v>
      </c>
      <c r="M452" s="15">
        <v>40162</v>
      </c>
      <c r="N452" s="1">
        <v>1</v>
      </c>
      <c r="O452" s="11" t="s">
        <v>25</v>
      </c>
      <c r="P452" s="11" t="s">
        <v>26</v>
      </c>
      <c r="Q452" s="11" t="s">
        <v>27</v>
      </c>
      <c r="R452" s="11" t="s">
        <v>56</v>
      </c>
      <c r="S452" s="15">
        <f t="shared" ca="1" si="17"/>
        <v>40470.53652858796</v>
      </c>
      <c r="T452" s="8">
        <f t="shared" ca="1" si="16"/>
        <v>10</v>
      </c>
      <c r="U452" s="11" t="s">
        <v>42</v>
      </c>
      <c r="V452" s="11" t="s">
        <v>42</v>
      </c>
      <c r="W452" s="25" t="s">
        <v>56</v>
      </c>
      <c r="X452" s="11" t="s">
        <v>42</v>
      </c>
      <c r="AC452" s="12" t="s">
        <v>1416</v>
      </c>
      <c r="AH452" s="11" t="s">
        <v>1416</v>
      </c>
    </row>
    <row r="453" spans="1:34" ht="12.75" customHeight="1">
      <c r="A453" s="1">
        <v>451</v>
      </c>
      <c r="B453" s="14">
        <v>40156</v>
      </c>
      <c r="C453" s="15">
        <v>40162</v>
      </c>
      <c r="E453" s="8" t="s">
        <v>1441</v>
      </c>
      <c r="G453" s="11" t="s">
        <v>20</v>
      </c>
      <c r="H453" s="1">
        <v>50</v>
      </c>
      <c r="I453" s="11" t="s">
        <v>1442</v>
      </c>
      <c r="J453" s="8" t="s">
        <v>1443</v>
      </c>
      <c r="K453" s="8" t="s">
        <v>39</v>
      </c>
      <c r="L453" s="11" t="s">
        <v>24</v>
      </c>
      <c r="M453" s="15">
        <v>40162</v>
      </c>
      <c r="N453" s="1">
        <v>1</v>
      </c>
      <c r="O453" s="11" t="s">
        <v>25</v>
      </c>
      <c r="P453" s="11" t="s">
        <v>26</v>
      </c>
      <c r="Q453" s="11" t="s">
        <v>27</v>
      </c>
      <c r="R453" s="11" t="s">
        <v>60</v>
      </c>
      <c r="S453" s="15">
        <f t="shared" ca="1" si="17"/>
        <v>40470.53652858796</v>
      </c>
      <c r="T453" s="8">
        <f t="shared" ca="1" si="16"/>
        <v>10</v>
      </c>
      <c r="U453" s="25" t="s">
        <v>2752</v>
      </c>
      <c r="V453" s="25" t="s">
        <v>2752</v>
      </c>
      <c r="W453" s="25" t="s">
        <v>56</v>
      </c>
      <c r="X453" s="11" t="s">
        <v>42</v>
      </c>
      <c r="Y453" s="25" t="s">
        <v>42</v>
      </c>
      <c r="AC453" s="12" t="s">
        <v>2519</v>
      </c>
      <c r="AD453" s="25">
        <v>40327</v>
      </c>
      <c r="AH453" s="11" t="s">
        <v>158</v>
      </c>
    </row>
    <row r="454" spans="1:34" ht="12.75" customHeight="1">
      <c r="A454" s="1">
        <v>452</v>
      </c>
      <c r="B454" s="14">
        <v>40156</v>
      </c>
      <c r="C454" s="15">
        <v>40162</v>
      </c>
      <c r="E454" s="8" t="s">
        <v>1444</v>
      </c>
      <c r="G454" s="11" t="s">
        <v>20</v>
      </c>
      <c r="H454" s="1">
        <v>28</v>
      </c>
      <c r="I454" s="11" t="s">
        <v>1445</v>
      </c>
      <c r="J454" s="8" t="s">
        <v>1446</v>
      </c>
      <c r="K454" s="8" t="s">
        <v>291</v>
      </c>
      <c r="L454" s="11" t="s">
        <v>24</v>
      </c>
      <c r="M454" s="15">
        <v>40162</v>
      </c>
      <c r="N454" s="1">
        <v>1</v>
      </c>
      <c r="O454" s="11" t="s">
        <v>25</v>
      </c>
      <c r="P454" s="11" t="s">
        <v>26</v>
      </c>
      <c r="Q454" s="11" t="s">
        <v>27</v>
      </c>
      <c r="R454" s="25" t="s">
        <v>28</v>
      </c>
      <c r="S454" s="15">
        <f t="shared" ca="1" si="17"/>
        <v>40470.53652858796</v>
      </c>
      <c r="T454" s="8">
        <f t="shared" ca="1" si="16"/>
        <v>10</v>
      </c>
      <c r="U454" s="11" t="s">
        <v>42</v>
      </c>
      <c r="V454" s="11" t="s">
        <v>42</v>
      </c>
      <c r="W454" s="11" t="s">
        <v>42</v>
      </c>
      <c r="X454" s="11" t="s">
        <v>42</v>
      </c>
      <c r="Y454" s="25" t="s">
        <v>42</v>
      </c>
      <c r="AC454" s="12" t="s">
        <v>785</v>
      </c>
      <c r="AH454" s="11" t="s">
        <v>122</v>
      </c>
    </row>
    <row r="455" spans="1:34">
      <c r="A455" s="1">
        <v>453</v>
      </c>
      <c r="B455" s="14">
        <v>40156</v>
      </c>
      <c r="C455" s="15">
        <v>40162</v>
      </c>
      <c r="E455" s="8" t="s">
        <v>1447</v>
      </c>
      <c r="G455" s="11" t="s">
        <v>37</v>
      </c>
      <c r="H455" s="1">
        <v>30</v>
      </c>
      <c r="I455" s="11" t="s">
        <v>1448</v>
      </c>
      <c r="J455" s="8" t="s">
        <v>1449</v>
      </c>
      <c r="K455" s="8" t="s">
        <v>106</v>
      </c>
      <c r="L455" s="11" t="s">
        <v>24</v>
      </c>
      <c r="M455" s="15">
        <v>40162</v>
      </c>
      <c r="N455" s="1">
        <v>1</v>
      </c>
      <c r="O455" s="11" t="s">
        <v>40</v>
      </c>
      <c r="P455" s="11" t="s">
        <v>213</v>
      </c>
      <c r="Q455" s="11" t="s">
        <v>27</v>
      </c>
      <c r="R455" s="25" t="s">
        <v>56</v>
      </c>
      <c r="S455" s="15">
        <f t="shared" ca="1" si="17"/>
        <v>40470.53652858796</v>
      </c>
      <c r="T455" s="8">
        <f t="shared" ca="1" si="16"/>
        <v>10</v>
      </c>
      <c r="U455" s="11" t="s">
        <v>42</v>
      </c>
      <c r="V455" s="11" t="s">
        <v>42</v>
      </c>
      <c r="W455" s="11" t="s">
        <v>42</v>
      </c>
      <c r="X455" s="11" t="s">
        <v>42</v>
      </c>
      <c r="Y455" s="25" t="s">
        <v>42</v>
      </c>
      <c r="AC455" s="12" t="s">
        <v>158</v>
      </c>
      <c r="AH455" s="11" t="s">
        <v>158</v>
      </c>
    </row>
    <row r="456" spans="1:34" ht="12.75" customHeight="1">
      <c r="A456" s="1">
        <v>454</v>
      </c>
      <c r="B456" s="14">
        <v>40156</v>
      </c>
      <c r="C456" s="15">
        <v>40163</v>
      </c>
      <c r="E456" s="8" t="s">
        <v>1450</v>
      </c>
      <c r="G456" s="11" t="s">
        <v>20</v>
      </c>
      <c r="H456" s="1">
        <v>24</v>
      </c>
      <c r="I456" s="11" t="s">
        <v>1451</v>
      </c>
      <c r="J456" s="8" t="s">
        <v>1452</v>
      </c>
      <c r="K456" s="8" t="s">
        <v>106</v>
      </c>
      <c r="L456" s="11" t="s">
        <v>24</v>
      </c>
      <c r="M456" s="15">
        <v>40163</v>
      </c>
      <c r="N456" s="1">
        <v>1</v>
      </c>
      <c r="O456" s="11" t="s">
        <v>25</v>
      </c>
      <c r="P456" s="11" t="s">
        <v>26</v>
      </c>
      <c r="Q456" s="11" t="s">
        <v>27</v>
      </c>
      <c r="R456" s="11" t="s">
        <v>60</v>
      </c>
      <c r="S456" s="15">
        <f t="shared" ca="1" si="17"/>
        <v>40470.53652858796</v>
      </c>
      <c r="T456" s="8">
        <f t="shared" ca="1" si="16"/>
        <v>10</v>
      </c>
      <c r="U456" s="11" t="s">
        <v>56</v>
      </c>
      <c r="V456" s="11" t="s">
        <v>42</v>
      </c>
      <c r="W456" s="25" t="s">
        <v>56</v>
      </c>
      <c r="X456" s="11" t="s">
        <v>56</v>
      </c>
      <c r="Y456" s="25" t="s">
        <v>42</v>
      </c>
      <c r="AC456" s="12" t="s">
        <v>915</v>
      </c>
      <c r="AD456" s="25">
        <v>40413</v>
      </c>
      <c r="AH456" s="11" t="s">
        <v>61</v>
      </c>
    </row>
    <row r="457" spans="1:34" ht="12.75" customHeight="1">
      <c r="A457" s="1">
        <v>455</v>
      </c>
      <c r="B457" s="14">
        <v>40156</v>
      </c>
      <c r="C457" s="15">
        <v>40163</v>
      </c>
      <c r="E457" s="8" t="s">
        <v>1453</v>
      </c>
      <c r="G457" s="11" t="s">
        <v>37</v>
      </c>
      <c r="H457" s="1">
        <v>55</v>
      </c>
      <c r="I457" s="11" t="s">
        <v>1454</v>
      </c>
      <c r="J457" s="8" t="s">
        <v>1455</v>
      </c>
      <c r="K457" s="8" t="s">
        <v>1456</v>
      </c>
      <c r="L457" s="11" t="s">
        <v>24</v>
      </c>
      <c r="M457" s="15">
        <v>40163</v>
      </c>
      <c r="N457" s="1">
        <v>1</v>
      </c>
      <c r="O457" s="11" t="s">
        <v>25</v>
      </c>
      <c r="P457" s="11" t="s">
        <v>26</v>
      </c>
      <c r="Q457" s="11" t="s">
        <v>27</v>
      </c>
      <c r="R457" s="11" t="s">
        <v>28</v>
      </c>
      <c r="S457" s="15">
        <f t="shared" ca="1" si="17"/>
        <v>40470.53652858796</v>
      </c>
      <c r="T457" s="8">
        <f t="shared" ca="1" si="16"/>
        <v>10</v>
      </c>
      <c r="U457" s="11" t="s">
        <v>56</v>
      </c>
      <c r="V457" s="11" t="s">
        <v>42</v>
      </c>
      <c r="W457" s="25" t="s">
        <v>56</v>
      </c>
      <c r="X457" s="25" t="s">
        <v>56</v>
      </c>
      <c r="Y457" s="25" t="s">
        <v>42</v>
      </c>
      <c r="AC457" s="12" t="s">
        <v>915</v>
      </c>
      <c r="AD457" s="25">
        <v>40406</v>
      </c>
      <c r="AH457" s="11" t="s">
        <v>61</v>
      </c>
    </row>
    <row r="458" spans="1:34">
      <c r="A458" s="1">
        <v>456</v>
      </c>
      <c r="B458" s="14">
        <v>40156</v>
      </c>
      <c r="C458" s="15">
        <v>40163</v>
      </c>
      <c r="E458" s="8" t="s">
        <v>1457</v>
      </c>
      <c r="G458" s="11" t="s">
        <v>20</v>
      </c>
      <c r="H458" s="1">
        <v>50</v>
      </c>
      <c r="I458" s="11" t="s">
        <v>1458</v>
      </c>
      <c r="J458" s="8" t="s">
        <v>1459</v>
      </c>
      <c r="K458" s="8" t="s">
        <v>291</v>
      </c>
      <c r="L458" s="11" t="s">
        <v>24</v>
      </c>
      <c r="M458" s="15">
        <v>40163</v>
      </c>
      <c r="N458" s="1">
        <v>1</v>
      </c>
      <c r="O458" s="11" t="s">
        <v>40</v>
      </c>
      <c r="P458" s="11" t="s">
        <v>213</v>
      </c>
      <c r="Q458" s="11" t="s">
        <v>27</v>
      </c>
      <c r="R458" s="25" t="s">
        <v>56</v>
      </c>
      <c r="S458" s="15">
        <f t="shared" ca="1" si="17"/>
        <v>40470.53652858796</v>
      </c>
      <c r="T458" s="8">
        <f t="shared" ca="1" si="16"/>
        <v>10</v>
      </c>
      <c r="U458" s="11" t="s">
        <v>42</v>
      </c>
      <c r="V458" s="11" t="s">
        <v>42</v>
      </c>
      <c r="W458" s="11" t="s">
        <v>42</v>
      </c>
      <c r="X458" s="11" t="s">
        <v>42</v>
      </c>
      <c r="Y458" s="25" t="s">
        <v>42</v>
      </c>
      <c r="AC458" s="12" t="s">
        <v>785</v>
      </c>
      <c r="AH458" s="11" t="s">
        <v>122</v>
      </c>
    </row>
    <row r="459" spans="1:34" ht="12.75" customHeight="1">
      <c r="A459" s="1">
        <v>457</v>
      </c>
      <c r="B459" s="14">
        <v>40156</v>
      </c>
      <c r="C459" s="15">
        <v>40164</v>
      </c>
      <c r="E459" s="8" t="s">
        <v>1460</v>
      </c>
      <c r="G459" s="11" t="s">
        <v>20</v>
      </c>
      <c r="H459" s="1">
        <v>20</v>
      </c>
      <c r="I459" s="11" t="s">
        <v>1461</v>
      </c>
      <c r="J459" s="8" t="s">
        <v>1462</v>
      </c>
      <c r="K459" s="8" t="s">
        <v>1463</v>
      </c>
      <c r="L459" s="11" t="s">
        <v>24</v>
      </c>
      <c r="M459" s="15">
        <v>40164</v>
      </c>
      <c r="N459" s="1">
        <v>1</v>
      </c>
      <c r="O459" s="11" t="s">
        <v>25</v>
      </c>
      <c r="P459" s="11" t="s">
        <v>26</v>
      </c>
      <c r="Q459" s="11" t="s">
        <v>27</v>
      </c>
      <c r="R459" s="11" t="s">
        <v>28</v>
      </c>
      <c r="S459" s="15">
        <f t="shared" ca="1" si="17"/>
        <v>40470.53652858796</v>
      </c>
      <c r="T459" s="8">
        <f t="shared" ca="1" si="16"/>
        <v>10</v>
      </c>
      <c r="U459" s="11" t="s">
        <v>56</v>
      </c>
      <c r="V459" s="11" t="s">
        <v>56</v>
      </c>
      <c r="W459" s="25" t="s">
        <v>56</v>
      </c>
      <c r="X459" s="25" t="s">
        <v>56</v>
      </c>
      <c r="AC459" s="12" t="s">
        <v>1416</v>
      </c>
      <c r="AH459" s="11" t="s">
        <v>1416</v>
      </c>
    </row>
    <row r="460" spans="1:34">
      <c r="A460" s="1">
        <v>458</v>
      </c>
      <c r="B460" s="14">
        <v>40156</v>
      </c>
      <c r="C460" s="15">
        <v>40169</v>
      </c>
      <c r="E460" s="8" t="s">
        <v>1464</v>
      </c>
      <c r="G460" s="11" t="s">
        <v>37</v>
      </c>
      <c r="H460" s="1">
        <v>20</v>
      </c>
      <c r="I460" s="11" t="s">
        <v>1465</v>
      </c>
      <c r="J460" s="8" t="s">
        <v>1466</v>
      </c>
      <c r="K460" s="8" t="s">
        <v>106</v>
      </c>
      <c r="L460" s="11" t="s">
        <v>24</v>
      </c>
      <c r="M460" s="15">
        <v>40169</v>
      </c>
      <c r="N460" s="1">
        <v>1</v>
      </c>
      <c r="O460" s="11" t="s">
        <v>40</v>
      </c>
      <c r="P460" s="11" t="s">
        <v>1467</v>
      </c>
      <c r="Q460" s="11" t="s">
        <v>27</v>
      </c>
      <c r="R460" s="25" t="s">
        <v>56</v>
      </c>
      <c r="S460" s="15">
        <f t="shared" ca="1" si="17"/>
        <v>40470.53652858796</v>
      </c>
      <c r="T460" s="8">
        <f t="shared" ca="1" si="16"/>
        <v>10</v>
      </c>
      <c r="U460" s="11" t="s">
        <v>42</v>
      </c>
      <c r="V460" s="11" t="s">
        <v>42</v>
      </c>
      <c r="W460" s="11" t="s">
        <v>42</v>
      </c>
      <c r="X460" s="11" t="s">
        <v>42</v>
      </c>
      <c r="AC460" s="12" t="s">
        <v>1416</v>
      </c>
      <c r="AH460" s="11" t="s">
        <v>1416</v>
      </c>
    </row>
    <row r="461" spans="1:34">
      <c r="A461" s="1">
        <v>459</v>
      </c>
      <c r="B461" s="14">
        <v>40156</v>
      </c>
      <c r="C461" s="15">
        <v>40169</v>
      </c>
      <c r="E461" s="8" t="s">
        <v>1468</v>
      </c>
      <c r="G461" s="11" t="s">
        <v>37</v>
      </c>
      <c r="H461" s="1">
        <v>25</v>
      </c>
      <c r="I461" s="11" t="s">
        <v>1469</v>
      </c>
      <c r="J461" s="8" t="s">
        <v>1470</v>
      </c>
      <c r="K461" s="8" t="s">
        <v>106</v>
      </c>
      <c r="L461" s="11" t="s">
        <v>24</v>
      </c>
      <c r="M461" s="15">
        <v>40169</v>
      </c>
      <c r="N461" s="1">
        <v>2</v>
      </c>
      <c r="O461" s="11" t="s">
        <v>40</v>
      </c>
      <c r="P461" s="11" t="s">
        <v>72</v>
      </c>
      <c r="Q461" s="11" t="s">
        <v>49</v>
      </c>
      <c r="R461" s="25" t="s">
        <v>2729</v>
      </c>
      <c r="S461" s="15">
        <f t="shared" ca="1" si="17"/>
        <v>40470.53652858796</v>
      </c>
      <c r="T461" s="8">
        <f t="shared" ca="1" si="16"/>
        <v>10</v>
      </c>
      <c r="U461" s="11" t="s">
        <v>42</v>
      </c>
      <c r="V461" s="11" t="s">
        <v>42</v>
      </c>
      <c r="W461" s="11" t="s">
        <v>42</v>
      </c>
      <c r="X461" s="11" t="s">
        <v>42</v>
      </c>
      <c r="AC461" s="12" t="s">
        <v>1416</v>
      </c>
      <c r="AH461" s="11" t="s">
        <v>1416</v>
      </c>
    </row>
    <row r="462" spans="1:34">
      <c r="A462" s="1">
        <v>460</v>
      </c>
      <c r="B462" s="14">
        <v>40156</v>
      </c>
      <c r="C462" s="15">
        <v>40169</v>
      </c>
      <c r="E462" s="8" t="s">
        <v>1471</v>
      </c>
      <c r="G462" s="11" t="s">
        <v>37</v>
      </c>
      <c r="H462" s="1">
        <v>20</v>
      </c>
      <c r="I462" s="11" t="s">
        <v>1472</v>
      </c>
      <c r="J462" s="8" t="s">
        <v>1473</v>
      </c>
      <c r="K462" s="8" t="s">
        <v>39</v>
      </c>
      <c r="L462" s="11" t="s">
        <v>24</v>
      </c>
      <c r="M462" s="15">
        <v>40169</v>
      </c>
      <c r="N462" s="1">
        <v>1</v>
      </c>
      <c r="O462" s="11" t="s">
        <v>40</v>
      </c>
      <c r="P462" s="11" t="s">
        <v>213</v>
      </c>
      <c r="Q462" s="11" t="s">
        <v>27</v>
      </c>
      <c r="R462" s="11" t="s">
        <v>42</v>
      </c>
      <c r="S462" s="15">
        <f t="shared" ca="1" si="17"/>
        <v>40470.53652858796</v>
      </c>
      <c r="T462" s="8">
        <f t="shared" ref="T462:T525" ca="1" si="18">(YEAR(S462)-YEAR(M462))*12+MONTH(S462)-MONTH(M462)</f>
        <v>10</v>
      </c>
      <c r="U462" s="11" t="s">
        <v>42</v>
      </c>
      <c r="V462" s="11" t="s">
        <v>42</v>
      </c>
      <c r="W462" s="11" t="s">
        <v>42</v>
      </c>
      <c r="X462" s="11" t="s">
        <v>42</v>
      </c>
      <c r="Y462" s="25" t="s">
        <v>42</v>
      </c>
      <c r="AC462" s="12" t="s">
        <v>2510</v>
      </c>
      <c r="AD462" s="25">
        <v>40412</v>
      </c>
      <c r="AH462" s="11" t="s">
        <v>44</v>
      </c>
    </row>
    <row r="463" spans="1:34" ht="12.75" customHeight="1">
      <c r="A463" s="1">
        <v>461</v>
      </c>
      <c r="B463" s="14">
        <v>40156</v>
      </c>
      <c r="C463" s="15">
        <v>40169</v>
      </c>
      <c r="E463" s="8" t="s">
        <v>1474</v>
      </c>
      <c r="G463" s="11" t="s">
        <v>20</v>
      </c>
      <c r="H463" s="1">
        <v>25</v>
      </c>
      <c r="I463" s="11" t="s">
        <v>1475</v>
      </c>
      <c r="J463" s="8" t="s">
        <v>1476</v>
      </c>
      <c r="K463" s="8" t="s">
        <v>291</v>
      </c>
      <c r="L463" s="11" t="s">
        <v>24</v>
      </c>
      <c r="M463" s="15">
        <v>40169</v>
      </c>
      <c r="N463" s="1">
        <v>1</v>
      </c>
      <c r="O463" s="11" t="s">
        <v>25</v>
      </c>
      <c r="P463" s="11" t="s">
        <v>26</v>
      </c>
      <c r="Q463" s="11" t="s">
        <v>27</v>
      </c>
      <c r="R463" s="11" t="s">
        <v>60</v>
      </c>
      <c r="S463" s="15">
        <f t="shared" ca="1" si="17"/>
        <v>40470.53652858796</v>
      </c>
      <c r="T463" s="8">
        <f t="shared" ca="1" si="18"/>
        <v>10</v>
      </c>
      <c r="U463" s="11" t="s">
        <v>42</v>
      </c>
      <c r="V463" s="11" t="s">
        <v>42</v>
      </c>
      <c r="W463" s="11" t="s">
        <v>42</v>
      </c>
      <c r="X463" s="11" t="s">
        <v>42</v>
      </c>
      <c r="Y463" s="25" t="s">
        <v>42</v>
      </c>
      <c r="AC463" s="12" t="s">
        <v>35</v>
      </c>
      <c r="AH463" s="11" t="s">
        <v>35</v>
      </c>
    </row>
    <row r="464" spans="1:34">
      <c r="A464" s="1">
        <v>462</v>
      </c>
      <c r="B464" s="14">
        <v>40156</v>
      </c>
      <c r="C464" s="15">
        <v>40170</v>
      </c>
      <c r="E464" s="8" t="s">
        <v>1477</v>
      </c>
      <c r="G464" s="11" t="s">
        <v>37</v>
      </c>
      <c r="H464" s="1">
        <v>22</v>
      </c>
      <c r="I464" s="11" t="s">
        <v>1478</v>
      </c>
      <c r="K464" s="8" t="s">
        <v>1463</v>
      </c>
      <c r="L464" s="11" t="s">
        <v>24</v>
      </c>
      <c r="M464" s="15">
        <v>40170</v>
      </c>
      <c r="N464" s="1">
        <v>2</v>
      </c>
      <c r="O464" s="11" t="s">
        <v>40</v>
      </c>
      <c r="P464" s="11" t="s">
        <v>26</v>
      </c>
      <c r="Q464" s="11" t="s">
        <v>381</v>
      </c>
      <c r="R464" s="25" t="s">
        <v>28</v>
      </c>
      <c r="S464" s="15">
        <f t="shared" ca="1" si="17"/>
        <v>40470.53652858796</v>
      </c>
      <c r="T464" s="8">
        <f t="shared" ca="1" si="18"/>
        <v>10</v>
      </c>
      <c r="U464" s="11" t="s">
        <v>42</v>
      </c>
      <c r="V464" s="11" t="s">
        <v>42</v>
      </c>
      <c r="W464" s="11" t="s">
        <v>42</v>
      </c>
      <c r="X464" s="11" t="s">
        <v>42</v>
      </c>
      <c r="AC464" s="12" t="s">
        <v>1416</v>
      </c>
      <c r="AH464" s="11" t="s">
        <v>1416</v>
      </c>
    </row>
    <row r="465" spans="1:34" ht="12.75" customHeight="1">
      <c r="A465" s="1">
        <v>463</v>
      </c>
      <c r="B465" s="14">
        <v>40156</v>
      </c>
      <c r="C465" s="15">
        <v>40170</v>
      </c>
      <c r="E465" s="8" t="s">
        <v>1479</v>
      </c>
      <c r="G465" s="11" t="s">
        <v>37</v>
      </c>
      <c r="H465" s="1">
        <v>50</v>
      </c>
      <c r="I465" s="11" t="s">
        <v>1480</v>
      </c>
      <c r="J465" s="8" t="s">
        <v>1481</v>
      </c>
      <c r="K465" s="8" t="s">
        <v>1456</v>
      </c>
      <c r="L465" s="11" t="s">
        <v>24</v>
      </c>
      <c r="M465" s="15">
        <v>40170</v>
      </c>
      <c r="N465" s="1">
        <v>1</v>
      </c>
      <c r="O465" s="11" t="s">
        <v>25</v>
      </c>
      <c r="P465" s="11" t="s">
        <v>26</v>
      </c>
      <c r="Q465" s="11" t="s">
        <v>27</v>
      </c>
      <c r="R465" s="11" t="s">
        <v>28</v>
      </c>
      <c r="S465" s="15">
        <f t="shared" ca="1" si="17"/>
        <v>40470.53652858796</v>
      </c>
      <c r="T465" s="8">
        <f t="shared" ca="1" si="18"/>
        <v>10</v>
      </c>
      <c r="U465" s="25" t="s">
        <v>56</v>
      </c>
      <c r="V465" s="11" t="s">
        <v>42</v>
      </c>
      <c r="W465" s="25" t="s">
        <v>56</v>
      </c>
      <c r="X465" s="25" t="s">
        <v>56</v>
      </c>
      <c r="AC465" s="12" t="s">
        <v>1416</v>
      </c>
      <c r="AH465" s="11" t="s">
        <v>1416</v>
      </c>
    </row>
    <row r="466" spans="1:34">
      <c r="A466" s="1">
        <v>464</v>
      </c>
      <c r="B466" s="14">
        <v>40156</v>
      </c>
      <c r="C466" s="15">
        <v>40171</v>
      </c>
      <c r="E466" s="8" t="s">
        <v>1482</v>
      </c>
      <c r="G466" s="11" t="s">
        <v>20</v>
      </c>
      <c r="H466" s="1">
        <v>26</v>
      </c>
      <c r="I466" s="11" t="s">
        <v>1483</v>
      </c>
      <c r="J466" s="8" t="s">
        <v>1484</v>
      </c>
      <c r="K466" s="8" t="s">
        <v>1463</v>
      </c>
      <c r="L466" s="11" t="s">
        <v>24</v>
      </c>
      <c r="M466" s="15">
        <v>40171</v>
      </c>
      <c r="N466" s="1">
        <v>1</v>
      </c>
      <c r="O466" s="11" t="s">
        <v>40</v>
      </c>
      <c r="P466" s="11" t="s">
        <v>26</v>
      </c>
      <c r="Q466" s="11" t="s">
        <v>27</v>
      </c>
      <c r="R466" s="25" t="s">
        <v>56</v>
      </c>
      <c r="S466" s="15">
        <f t="shared" ca="1" si="17"/>
        <v>40470.53652858796</v>
      </c>
      <c r="T466" s="8">
        <f t="shared" ca="1" si="18"/>
        <v>10</v>
      </c>
      <c r="U466" s="11" t="s">
        <v>42</v>
      </c>
      <c r="V466" s="11" t="s">
        <v>42</v>
      </c>
      <c r="W466" s="11" t="s">
        <v>42</v>
      </c>
      <c r="X466" s="11" t="s">
        <v>42</v>
      </c>
      <c r="Y466" s="25" t="s">
        <v>42</v>
      </c>
      <c r="AC466" s="12" t="s">
        <v>785</v>
      </c>
      <c r="AH466" s="11" t="s">
        <v>122</v>
      </c>
    </row>
    <row r="467" spans="1:34" ht="12.75" customHeight="1">
      <c r="A467" s="1">
        <v>465</v>
      </c>
      <c r="B467" s="14">
        <v>40156</v>
      </c>
      <c r="C467" s="15">
        <v>40171</v>
      </c>
      <c r="E467" s="8" t="s">
        <v>1485</v>
      </c>
      <c r="G467" s="11" t="s">
        <v>20</v>
      </c>
      <c r="H467" s="1">
        <v>42</v>
      </c>
      <c r="I467" s="11" t="s">
        <v>1486</v>
      </c>
      <c r="L467" s="11" t="s">
        <v>24</v>
      </c>
      <c r="M467" s="15">
        <v>40171</v>
      </c>
      <c r="N467" s="1">
        <v>1</v>
      </c>
      <c r="O467" s="11" t="s">
        <v>25</v>
      </c>
      <c r="P467" s="11" t="s">
        <v>26</v>
      </c>
      <c r="Q467" s="11" t="s">
        <v>27</v>
      </c>
      <c r="R467" s="11" t="s">
        <v>60</v>
      </c>
      <c r="S467" s="15">
        <f t="shared" ca="1" si="17"/>
        <v>40470.53652858796</v>
      </c>
      <c r="T467" s="8">
        <f t="shared" ca="1" si="18"/>
        <v>10</v>
      </c>
      <c r="U467" s="11" t="s">
        <v>42</v>
      </c>
      <c r="V467" s="11" t="s">
        <v>42</v>
      </c>
      <c r="W467" s="11" t="s">
        <v>28</v>
      </c>
      <c r="X467" s="11" t="s">
        <v>42</v>
      </c>
      <c r="Y467" s="25" t="s">
        <v>42</v>
      </c>
      <c r="AC467" s="12" t="s">
        <v>1487</v>
      </c>
      <c r="AH467" s="11" t="s">
        <v>122</v>
      </c>
    </row>
    <row r="468" spans="1:34" ht="12.75" customHeight="1">
      <c r="A468" s="1">
        <v>466</v>
      </c>
      <c r="B468" s="14">
        <v>40156</v>
      </c>
      <c r="C468" s="15">
        <v>40177</v>
      </c>
      <c r="E468" s="8" t="s">
        <v>1488</v>
      </c>
      <c r="G468" s="11" t="s">
        <v>20</v>
      </c>
      <c r="H468" s="1">
        <v>80</v>
      </c>
      <c r="I468" s="11" t="s">
        <v>1489</v>
      </c>
      <c r="J468" s="8" t="s">
        <v>1490</v>
      </c>
      <c r="K468" s="8" t="s">
        <v>1456</v>
      </c>
      <c r="L468" s="11" t="s">
        <v>24</v>
      </c>
      <c r="M468" s="15">
        <v>40177</v>
      </c>
      <c r="N468" s="1">
        <v>1</v>
      </c>
      <c r="O468" s="11" t="s">
        <v>25</v>
      </c>
      <c r="P468" s="11" t="s">
        <v>26</v>
      </c>
      <c r="Q468" s="11" t="s">
        <v>27</v>
      </c>
      <c r="R468" s="11" t="s">
        <v>60</v>
      </c>
      <c r="S468" s="15">
        <f t="shared" ca="1" si="17"/>
        <v>40470.53652858796</v>
      </c>
      <c r="T468" s="8">
        <f t="shared" ca="1" si="18"/>
        <v>10</v>
      </c>
      <c r="U468" s="11" t="s">
        <v>56</v>
      </c>
      <c r="V468" s="11" t="s">
        <v>42</v>
      </c>
      <c r="W468" s="11" t="s">
        <v>42</v>
      </c>
      <c r="X468" s="11" t="s">
        <v>42</v>
      </c>
      <c r="AC468" s="12" t="s">
        <v>1416</v>
      </c>
      <c r="AH468" s="11" t="s">
        <v>1416</v>
      </c>
    </row>
    <row r="469" spans="1:34" ht="12.75" customHeight="1">
      <c r="A469" s="1">
        <v>467</v>
      </c>
      <c r="B469" s="14">
        <v>40156</v>
      </c>
      <c r="C469" s="15">
        <v>40177</v>
      </c>
      <c r="E469" s="8" t="s">
        <v>1491</v>
      </c>
      <c r="G469" s="11" t="s">
        <v>20</v>
      </c>
      <c r="H469" s="1">
        <v>43</v>
      </c>
      <c r="I469" s="11" t="s">
        <v>1492</v>
      </c>
      <c r="J469" s="8" t="s">
        <v>1493</v>
      </c>
      <c r="K469" s="8" t="s">
        <v>291</v>
      </c>
      <c r="L469" s="11" t="s">
        <v>24</v>
      </c>
      <c r="M469" s="15">
        <v>40177</v>
      </c>
      <c r="N469" s="1">
        <v>1</v>
      </c>
      <c r="O469" s="11" t="s">
        <v>25</v>
      </c>
      <c r="P469" s="11" t="s">
        <v>26</v>
      </c>
      <c r="Q469" s="11" t="s">
        <v>27</v>
      </c>
      <c r="R469" s="11" t="s">
        <v>65</v>
      </c>
      <c r="S469" s="15">
        <f t="shared" ca="1" si="17"/>
        <v>40470.53652858796</v>
      </c>
      <c r="T469" s="8">
        <f t="shared" ca="1" si="18"/>
        <v>10</v>
      </c>
      <c r="U469" s="25" t="s">
        <v>56</v>
      </c>
      <c r="V469" s="11" t="s">
        <v>42</v>
      </c>
      <c r="W469" s="11" t="s">
        <v>56</v>
      </c>
      <c r="X469" s="11" t="s">
        <v>42</v>
      </c>
      <c r="AC469" s="12" t="s">
        <v>1416</v>
      </c>
      <c r="AH469" s="11" t="s">
        <v>1416</v>
      </c>
    </row>
    <row r="470" spans="1:34">
      <c r="A470" s="1">
        <v>468</v>
      </c>
      <c r="B470" s="14">
        <v>40156</v>
      </c>
      <c r="C470" s="15">
        <v>40178</v>
      </c>
      <c r="E470" s="8" t="s">
        <v>1494</v>
      </c>
      <c r="G470" s="11" t="s">
        <v>37</v>
      </c>
      <c r="H470" s="1">
        <v>10</v>
      </c>
      <c r="I470" s="11" t="s">
        <v>1495</v>
      </c>
      <c r="J470" s="8" t="s">
        <v>1496</v>
      </c>
      <c r="L470" s="11" t="s">
        <v>24</v>
      </c>
      <c r="M470" s="15">
        <v>40178</v>
      </c>
      <c r="N470" s="1">
        <v>1</v>
      </c>
      <c r="O470" s="11" t="s">
        <v>40</v>
      </c>
      <c r="P470" s="11" t="s">
        <v>26</v>
      </c>
      <c r="Q470" s="11" t="s">
        <v>27</v>
      </c>
      <c r="R470" s="25" t="s">
        <v>56</v>
      </c>
      <c r="S470" s="15">
        <f t="shared" ca="1" si="17"/>
        <v>40470.53652858796</v>
      </c>
      <c r="T470" s="8">
        <f t="shared" ca="1" si="18"/>
        <v>10</v>
      </c>
      <c r="U470" s="11" t="s">
        <v>42</v>
      </c>
      <c r="V470" s="11" t="s">
        <v>42</v>
      </c>
      <c r="W470" s="11" t="s">
        <v>42</v>
      </c>
      <c r="X470" s="11" t="s">
        <v>42</v>
      </c>
      <c r="AC470" s="12" t="s">
        <v>1416</v>
      </c>
      <c r="AH470" s="11" t="s">
        <v>1416</v>
      </c>
    </row>
    <row r="471" spans="1:34" ht="12.75" customHeight="1">
      <c r="A471" s="1">
        <v>469</v>
      </c>
      <c r="B471" s="14">
        <v>40188</v>
      </c>
      <c r="C471" s="15">
        <v>40179</v>
      </c>
      <c r="E471" s="8" t="s">
        <v>1497</v>
      </c>
      <c r="G471" s="11" t="s">
        <v>37</v>
      </c>
      <c r="H471" s="1">
        <v>20</v>
      </c>
      <c r="I471" s="11" t="s">
        <v>1498</v>
      </c>
      <c r="J471" s="8" t="s">
        <v>1499</v>
      </c>
      <c r="K471" s="8" t="s">
        <v>106</v>
      </c>
      <c r="L471" s="11" t="s">
        <v>24</v>
      </c>
      <c r="M471" s="15">
        <v>40179</v>
      </c>
      <c r="N471" s="1">
        <v>1</v>
      </c>
      <c r="O471" s="11" t="s">
        <v>25</v>
      </c>
      <c r="P471" s="11" t="s">
        <v>26</v>
      </c>
      <c r="Q471" s="11" t="s">
        <v>27</v>
      </c>
      <c r="R471" s="11" t="s">
        <v>60</v>
      </c>
      <c r="S471" s="15">
        <f t="shared" ca="1" si="17"/>
        <v>40470.53652858796</v>
      </c>
      <c r="T471" s="8">
        <f t="shared" ca="1" si="18"/>
        <v>9</v>
      </c>
      <c r="U471" s="11" t="s">
        <v>42</v>
      </c>
      <c r="V471" s="11" t="s">
        <v>42</v>
      </c>
      <c r="W471" s="11" t="s">
        <v>42</v>
      </c>
      <c r="X471" s="11" t="s">
        <v>42</v>
      </c>
      <c r="Y471" s="25" t="s">
        <v>42</v>
      </c>
      <c r="AC471" s="12" t="s">
        <v>35</v>
      </c>
      <c r="AH471" s="11" t="s">
        <v>35</v>
      </c>
    </row>
    <row r="472" spans="1:34" ht="12.75" customHeight="1">
      <c r="A472" s="1">
        <v>470</v>
      </c>
      <c r="B472" s="14">
        <v>40188</v>
      </c>
      <c r="C472" s="15">
        <v>40183</v>
      </c>
      <c r="E472" s="8" t="s">
        <v>1500</v>
      </c>
      <c r="G472" s="11" t="s">
        <v>37</v>
      </c>
      <c r="H472" s="1">
        <v>40</v>
      </c>
      <c r="I472" s="11" t="s">
        <v>1529</v>
      </c>
      <c r="J472" s="8" t="s">
        <v>1530</v>
      </c>
      <c r="K472" s="8" t="s">
        <v>48</v>
      </c>
      <c r="L472" s="11" t="s">
        <v>24</v>
      </c>
      <c r="M472" s="15">
        <v>40183</v>
      </c>
      <c r="N472" s="1">
        <v>2</v>
      </c>
      <c r="O472" s="11" t="s">
        <v>25</v>
      </c>
      <c r="P472" s="11" t="s">
        <v>26</v>
      </c>
      <c r="Q472" s="11" t="s">
        <v>49</v>
      </c>
      <c r="R472" s="11" t="s">
        <v>28</v>
      </c>
      <c r="S472" s="15">
        <f t="shared" ca="1" si="17"/>
        <v>40470.53652858796</v>
      </c>
      <c r="T472" s="8">
        <f t="shared" ca="1" si="18"/>
        <v>9</v>
      </c>
      <c r="U472" s="11" t="s">
        <v>42</v>
      </c>
      <c r="V472" s="11" t="s">
        <v>56</v>
      </c>
      <c r="W472" s="11" t="s">
        <v>42</v>
      </c>
      <c r="X472" s="11" t="s">
        <v>42</v>
      </c>
      <c r="Y472" s="25" t="s">
        <v>42</v>
      </c>
      <c r="AC472" s="12" t="s">
        <v>132</v>
      </c>
      <c r="AD472" s="25">
        <v>40351</v>
      </c>
      <c r="AH472" s="11" t="s">
        <v>132</v>
      </c>
    </row>
    <row r="473" spans="1:34" ht="12.75" customHeight="1">
      <c r="A473" s="1">
        <v>471</v>
      </c>
      <c r="B473" s="14">
        <v>40188</v>
      </c>
      <c r="C473" s="15">
        <v>40183</v>
      </c>
      <c r="E473" s="8" t="s">
        <v>1531</v>
      </c>
      <c r="G473" s="11" t="s">
        <v>37</v>
      </c>
      <c r="H473" s="1">
        <v>66</v>
      </c>
      <c r="I473" s="11" t="s">
        <v>1532</v>
      </c>
      <c r="J473" s="8" t="s">
        <v>1533</v>
      </c>
      <c r="K473" s="8" t="s">
        <v>1262</v>
      </c>
      <c r="L473" s="11" t="s">
        <v>24</v>
      </c>
      <c r="M473" s="15">
        <v>40183</v>
      </c>
      <c r="N473" s="1">
        <v>1</v>
      </c>
      <c r="O473" s="11" t="s">
        <v>25</v>
      </c>
      <c r="P473" s="11" t="s">
        <v>26</v>
      </c>
      <c r="Q473" s="11" t="s">
        <v>27</v>
      </c>
      <c r="R473" s="11" t="s">
        <v>28</v>
      </c>
      <c r="S473" s="15">
        <f t="shared" ca="1" si="17"/>
        <v>40470.53652858796</v>
      </c>
      <c r="T473" s="8">
        <f t="shared" ca="1" si="18"/>
        <v>9</v>
      </c>
      <c r="U473" s="11" t="s">
        <v>42</v>
      </c>
      <c r="V473" s="11" t="s">
        <v>42</v>
      </c>
      <c r="W473" s="11" t="s">
        <v>42</v>
      </c>
      <c r="X473" s="11" t="s">
        <v>42</v>
      </c>
      <c r="Y473" s="25" t="s">
        <v>42</v>
      </c>
      <c r="AC473" s="12" t="s">
        <v>35</v>
      </c>
      <c r="AH473" s="11" t="s">
        <v>35</v>
      </c>
    </row>
    <row r="474" spans="1:34" ht="12.75" customHeight="1">
      <c r="A474" s="1">
        <v>472</v>
      </c>
      <c r="B474" s="14">
        <v>40188</v>
      </c>
      <c r="C474" s="15">
        <v>40184</v>
      </c>
      <c r="E474" s="8" t="s">
        <v>1534</v>
      </c>
      <c r="G474" s="11" t="s">
        <v>37</v>
      </c>
      <c r="H474" s="1">
        <v>10</v>
      </c>
      <c r="I474" s="11" t="s">
        <v>1535</v>
      </c>
      <c r="J474" s="8" t="s">
        <v>1536</v>
      </c>
      <c r="K474" s="8" t="s">
        <v>39</v>
      </c>
      <c r="L474" s="11" t="s">
        <v>24</v>
      </c>
      <c r="M474" s="15">
        <v>40184</v>
      </c>
      <c r="N474" s="1">
        <v>1</v>
      </c>
      <c r="O474" s="11" t="s">
        <v>25</v>
      </c>
      <c r="P474" s="11" t="s">
        <v>26</v>
      </c>
      <c r="Q474" s="11" t="s">
        <v>27</v>
      </c>
      <c r="R474" s="11" t="s">
        <v>56</v>
      </c>
      <c r="S474" s="15">
        <f t="shared" ca="1" si="17"/>
        <v>40470.53652858796</v>
      </c>
      <c r="T474" s="8">
        <f t="shared" ca="1" si="18"/>
        <v>9</v>
      </c>
      <c r="U474" s="11" t="s">
        <v>42</v>
      </c>
      <c r="V474" s="11" t="s">
        <v>42</v>
      </c>
      <c r="W474" s="11" t="s">
        <v>42</v>
      </c>
      <c r="X474" s="11" t="s">
        <v>42</v>
      </c>
      <c r="Y474" s="25" t="s">
        <v>42</v>
      </c>
      <c r="AC474" s="12" t="s">
        <v>122</v>
      </c>
      <c r="AD474" s="25">
        <v>40191</v>
      </c>
      <c r="AH474" s="11" t="s">
        <v>122</v>
      </c>
    </row>
    <row r="475" spans="1:34" s="37" customFormat="1" ht="12.75" customHeight="1">
      <c r="A475" s="33">
        <v>473</v>
      </c>
      <c r="B475" s="29">
        <v>40188</v>
      </c>
      <c r="C475" s="30">
        <v>40186</v>
      </c>
      <c r="D475" s="30"/>
      <c r="E475" s="31" t="s">
        <v>1537</v>
      </c>
      <c r="F475" s="31"/>
      <c r="G475" s="32" t="s">
        <v>37</v>
      </c>
      <c r="H475" s="33">
        <v>20</v>
      </c>
      <c r="I475" s="34" t="s">
        <v>1538</v>
      </c>
      <c r="J475" s="31" t="s">
        <v>1539</v>
      </c>
      <c r="K475" s="31" t="s">
        <v>39</v>
      </c>
      <c r="L475" s="32" t="s">
        <v>24</v>
      </c>
      <c r="M475" s="30">
        <v>40186</v>
      </c>
      <c r="N475" s="33">
        <v>2</v>
      </c>
      <c r="O475" s="32" t="s">
        <v>25</v>
      </c>
      <c r="P475" s="32" t="s">
        <v>26</v>
      </c>
      <c r="Q475" s="32" t="s">
        <v>49</v>
      </c>
      <c r="R475" s="11" t="s">
        <v>1540</v>
      </c>
      <c r="S475" s="30">
        <f t="shared" ca="1" si="17"/>
        <v>40470.53652858796</v>
      </c>
      <c r="T475" s="31">
        <f t="shared" ca="1" si="18"/>
        <v>9</v>
      </c>
      <c r="U475" s="32" t="s">
        <v>42</v>
      </c>
      <c r="V475" s="32" t="s">
        <v>42</v>
      </c>
      <c r="W475" s="32" t="s">
        <v>42</v>
      </c>
      <c r="X475" s="32" t="s">
        <v>42</v>
      </c>
      <c r="Y475" s="25" t="s">
        <v>42</v>
      </c>
      <c r="Z475" s="35"/>
      <c r="AA475" s="35"/>
      <c r="AB475" s="32"/>
      <c r="AC475" s="12" t="s">
        <v>122</v>
      </c>
      <c r="AD475" s="25">
        <v>40197</v>
      </c>
      <c r="AE475" s="25"/>
      <c r="AF475" s="25"/>
      <c r="AG475" s="25"/>
      <c r="AH475" s="11" t="s">
        <v>122</v>
      </c>
    </row>
    <row r="476" spans="1:34">
      <c r="A476" s="1">
        <v>474</v>
      </c>
      <c r="B476" s="14">
        <v>40188</v>
      </c>
      <c r="C476" s="15">
        <v>40189</v>
      </c>
      <c r="E476" s="8" t="s">
        <v>1541</v>
      </c>
      <c r="G476" s="11" t="s">
        <v>37</v>
      </c>
      <c r="H476" s="1">
        <v>22</v>
      </c>
      <c r="I476" s="11" t="s">
        <v>1542</v>
      </c>
      <c r="J476" s="8" t="s">
        <v>1543</v>
      </c>
      <c r="K476" s="8" t="s">
        <v>39</v>
      </c>
      <c r="L476" s="11" t="s">
        <v>24</v>
      </c>
      <c r="M476" s="15">
        <v>40189</v>
      </c>
      <c r="N476" s="1">
        <v>1</v>
      </c>
      <c r="O476" s="11" t="s">
        <v>40</v>
      </c>
      <c r="P476" s="11" t="s">
        <v>26</v>
      </c>
      <c r="Q476" s="11" t="s">
        <v>27</v>
      </c>
      <c r="R476" s="25" t="s">
        <v>56</v>
      </c>
      <c r="S476" s="15">
        <f t="shared" ca="1" si="17"/>
        <v>40470.53652858796</v>
      </c>
      <c r="T476" s="8">
        <f t="shared" ca="1" si="18"/>
        <v>9</v>
      </c>
      <c r="U476" s="11" t="s">
        <v>42</v>
      </c>
      <c r="V476" s="11" t="s">
        <v>42</v>
      </c>
      <c r="W476" s="11" t="s">
        <v>42</v>
      </c>
      <c r="X476" s="11" t="s">
        <v>42</v>
      </c>
      <c r="Y476" s="25" t="s">
        <v>2650</v>
      </c>
      <c r="AC476" s="12" t="s">
        <v>1416</v>
      </c>
      <c r="AH476" s="11" t="s">
        <v>1416</v>
      </c>
    </row>
    <row r="477" spans="1:34">
      <c r="A477" s="1">
        <v>475</v>
      </c>
      <c r="B477" s="14">
        <v>40188</v>
      </c>
      <c r="C477" s="15">
        <v>40190</v>
      </c>
      <c r="E477" s="8" t="s">
        <v>1544</v>
      </c>
      <c r="G477" s="11" t="s">
        <v>20</v>
      </c>
      <c r="H477" s="1">
        <v>52</v>
      </c>
      <c r="I477" s="11" t="s">
        <v>1545</v>
      </c>
      <c r="K477" s="8" t="s">
        <v>291</v>
      </c>
      <c r="L477" s="11" t="s">
        <v>24</v>
      </c>
      <c r="M477" s="15">
        <v>40190</v>
      </c>
      <c r="N477" s="1">
        <v>1</v>
      </c>
      <c r="O477" s="11" t="s">
        <v>40</v>
      </c>
      <c r="P477" s="11" t="s">
        <v>26</v>
      </c>
      <c r="Q477" s="11" t="s">
        <v>27</v>
      </c>
      <c r="R477" s="25" t="s">
        <v>56</v>
      </c>
      <c r="S477" s="15">
        <f t="shared" ca="1" si="17"/>
        <v>40470.53652858796</v>
      </c>
      <c r="T477" s="8">
        <f t="shared" ca="1" si="18"/>
        <v>9</v>
      </c>
      <c r="U477" s="11" t="s">
        <v>42</v>
      </c>
      <c r="V477" s="11" t="s">
        <v>42</v>
      </c>
      <c r="W477" s="11" t="s">
        <v>42</v>
      </c>
      <c r="X477" s="11" t="s">
        <v>42</v>
      </c>
      <c r="Y477" s="25" t="s">
        <v>42</v>
      </c>
      <c r="AC477" s="12" t="s">
        <v>2510</v>
      </c>
      <c r="AD477" s="25">
        <v>40433</v>
      </c>
      <c r="AH477" s="11" t="s">
        <v>44</v>
      </c>
    </row>
    <row r="478" spans="1:34" s="37" customFormat="1" ht="12.75" customHeight="1">
      <c r="A478" s="33">
        <v>476</v>
      </c>
      <c r="B478" s="29">
        <v>40188</v>
      </c>
      <c r="C478" s="30">
        <v>40190</v>
      </c>
      <c r="D478" s="30"/>
      <c r="E478" s="31" t="s">
        <v>1546</v>
      </c>
      <c r="F478" s="31"/>
      <c r="G478" s="32" t="s">
        <v>37</v>
      </c>
      <c r="H478" s="33">
        <v>29</v>
      </c>
      <c r="I478" s="34" t="s">
        <v>1547</v>
      </c>
      <c r="J478" s="31"/>
      <c r="K478" s="31" t="s">
        <v>206</v>
      </c>
      <c r="L478" s="32" t="s">
        <v>24</v>
      </c>
      <c r="M478" s="30">
        <v>40190</v>
      </c>
      <c r="N478" s="33">
        <v>1</v>
      </c>
      <c r="O478" s="32" t="s">
        <v>25</v>
      </c>
      <c r="P478" s="32" t="s">
        <v>26</v>
      </c>
      <c r="Q478" s="32" t="s">
        <v>27</v>
      </c>
      <c r="R478" s="32" t="s">
        <v>60</v>
      </c>
      <c r="S478" s="30">
        <f t="shared" ca="1" si="17"/>
        <v>40470.53652858796</v>
      </c>
      <c r="T478" s="31">
        <f t="shared" ca="1" si="18"/>
        <v>9</v>
      </c>
      <c r="U478" s="32" t="s">
        <v>2752</v>
      </c>
      <c r="V478" s="32" t="s">
        <v>56</v>
      </c>
      <c r="W478" s="32" t="s">
        <v>42</v>
      </c>
      <c r="X478" s="32" t="s">
        <v>56</v>
      </c>
      <c r="Y478" s="25" t="s">
        <v>2650</v>
      </c>
      <c r="Z478" s="35"/>
      <c r="AA478" s="35"/>
      <c r="AB478" s="32"/>
      <c r="AC478" s="12" t="s">
        <v>1416</v>
      </c>
      <c r="AD478" s="25"/>
      <c r="AE478" s="25"/>
      <c r="AF478" s="25"/>
      <c r="AG478" s="25"/>
      <c r="AH478" s="11" t="s">
        <v>1416</v>
      </c>
    </row>
    <row r="479" spans="1:34" ht="12.75" customHeight="1">
      <c r="A479" s="1">
        <v>477</v>
      </c>
      <c r="B479" s="14">
        <v>40188</v>
      </c>
      <c r="C479" s="15">
        <v>40190</v>
      </c>
      <c r="E479" s="8" t="s">
        <v>1548</v>
      </c>
      <c r="G479" s="11" t="s">
        <v>37</v>
      </c>
      <c r="H479" s="1">
        <v>50</v>
      </c>
      <c r="I479" s="11" t="s">
        <v>1549</v>
      </c>
      <c r="J479" s="8" t="s">
        <v>1550</v>
      </c>
      <c r="K479" s="8" t="s">
        <v>291</v>
      </c>
      <c r="L479" s="11" t="s">
        <v>24</v>
      </c>
      <c r="M479" s="15">
        <v>40190</v>
      </c>
      <c r="N479" s="1">
        <v>1</v>
      </c>
      <c r="O479" s="11" t="s">
        <v>25</v>
      </c>
      <c r="P479" s="11" t="s">
        <v>26</v>
      </c>
      <c r="Q479" s="11" t="s">
        <v>27</v>
      </c>
      <c r="R479" s="11" t="s">
        <v>28</v>
      </c>
      <c r="S479" s="15">
        <f t="shared" ca="1" si="17"/>
        <v>40470.53652858796</v>
      </c>
      <c r="T479" s="8">
        <f t="shared" ca="1" si="18"/>
        <v>9</v>
      </c>
      <c r="U479" s="11" t="s">
        <v>42</v>
      </c>
      <c r="V479" s="25" t="s">
        <v>56</v>
      </c>
      <c r="W479" s="25" t="s">
        <v>56</v>
      </c>
      <c r="X479" s="25" t="s">
        <v>56</v>
      </c>
      <c r="Y479" s="25" t="s">
        <v>42</v>
      </c>
      <c r="AC479" s="12" t="s">
        <v>2525</v>
      </c>
      <c r="AD479" s="25">
        <v>40242</v>
      </c>
      <c r="AH479" s="11" t="s">
        <v>67</v>
      </c>
    </row>
    <row r="480" spans="1:34" ht="12.75" customHeight="1">
      <c r="A480" s="1">
        <v>478</v>
      </c>
      <c r="B480" s="14">
        <v>40188</v>
      </c>
      <c r="C480" s="15">
        <v>40190</v>
      </c>
      <c r="E480" s="8" t="s">
        <v>1551</v>
      </c>
      <c r="G480" s="11" t="s">
        <v>37</v>
      </c>
      <c r="H480" s="1">
        <v>20</v>
      </c>
      <c r="I480" s="11" t="s">
        <v>1552</v>
      </c>
      <c r="J480" s="8" t="s">
        <v>1553</v>
      </c>
      <c r="K480" s="8" t="s">
        <v>106</v>
      </c>
      <c r="L480" s="11" t="s">
        <v>24</v>
      </c>
      <c r="M480" s="15">
        <v>40190</v>
      </c>
      <c r="N480" s="1">
        <v>1</v>
      </c>
      <c r="O480" s="11" t="s">
        <v>25</v>
      </c>
      <c r="P480" s="11" t="s">
        <v>26</v>
      </c>
      <c r="Q480" s="11" t="s">
        <v>27</v>
      </c>
      <c r="R480" s="11" t="s">
        <v>28</v>
      </c>
      <c r="S480" s="15">
        <f t="shared" ca="1" si="17"/>
        <v>40470.53652858796</v>
      </c>
      <c r="T480" s="8">
        <f t="shared" ca="1" si="18"/>
        <v>9</v>
      </c>
      <c r="U480" s="11" t="s">
        <v>28</v>
      </c>
      <c r="V480" s="11" t="s">
        <v>28</v>
      </c>
      <c r="W480" s="11" t="s">
        <v>56</v>
      </c>
      <c r="X480" s="25" t="s">
        <v>56</v>
      </c>
      <c r="Y480" s="25" t="s">
        <v>2650</v>
      </c>
      <c r="AC480" s="12" t="s">
        <v>61</v>
      </c>
      <c r="AD480" s="25">
        <v>40427</v>
      </c>
      <c r="AH480" s="25" t="s">
        <v>61</v>
      </c>
    </row>
    <row r="481" spans="1:34">
      <c r="A481" s="1">
        <v>479</v>
      </c>
      <c r="B481" s="14">
        <v>40188</v>
      </c>
      <c r="C481" s="15">
        <v>40191</v>
      </c>
      <c r="E481" s="8" t="s">
        <v>1554</v>
      </c>
      <c r="G481" s="11" t="s">
        <v>20</v>
      </c>
      <c r="H481" s="1">
        <v>22</v>
      </c>
      <c r="I481" s="11" t="s">
        <v>1555</v>
      </c>
      <c r="J481" s="8" t="s">
        <v>1556</v>
      </c>
      <c r="K481" s="8" t="s">
        <v>39</v>
      </c>
      <c r="L481" s="11" t="s">
        <v>24</v>
      </c>
      <c r="M481" s="15">
        <v>40191</v>
      </c>
      <c r="N481" s="1">
        <v>1</v>
      </c>
      <c r="O481" s="11" t="s">
        <v>40</v>
      </c>
      <c r="P481" s="11" t="s">
        <v>26</v>
      </c>
      <c r="Q481" s="11" t="s">
        <v>27</v>
      </c>
      <c r="R481" s="25" t="s">
        <v>56</v>
      </c>
      <c r="S481" s="15">
        <f t="shared" ca="1" si="17"/>
        <v>40470.53652858796</v>
      </c>
      <c r="T481" s="8">
        <f t="shared" ca="1" si="18"/>
        <v>9</v>
      </c>
      <c r="U481" s="11" t="s">
        <v>42</v>
      </c>
      <c r="V481" s="11" t="s">
        <v>42</v>
      </c>
      <c r="W481" s="11" t="s">
        <v>42</v>
      </c>
      <c r="X481" s="11" t="s">
        <v>42</v>
      </c>
      <c r="Y481" s="25" t="s">
        <v>2650</v>
      </c>
      <c r="AC481" s="12" t="s">
        <v>1416</v>
      </c>
      <c r="AH481" s="11" t="s">
        <v>1416</v>
      </c>
    </row>
    <row r="482" spans="1:34">
      <c r="A482" s="1">
        <v>480</v>
      </c>
      <c r="B482" s="14">
        <v>40188</v>
      </c>
      <c r="C482" s="15">
        <v>40183</v>
      </c>
      <c r="E482" s="8" t="s">
        <v>1557</v>
      </c>
      <c r="G482" s="11" t="s">
        <v>37</v>
      </c>
      <c r="H482" s="1">
        <v>33</v>
      </c>
      <c r="I482" s="11" t="s">
        <v>1558</v>
      </c>
      <c r="J482" s="8" t="s">
        <v>1559</v>
      </c>
      <c r="K482" s="8" t="s">
        <v>206</v>
      </c>
      <c r="L482" s="11" t="s">
        <v>24</v>
      </c>
      <c r="M482" s="15">
        <v>40183</v>
      </c>
      <c r="N482" s="1">
        <v>1</v>
      </c>
      <c r="O482" s="11" t="s">
        <v>40</v>
      </c>
      <c r="P482" s="11" t="s">
        <v>26</v>
      </c>
      <c r="Q482" s="11" t="s">
        <v>27</v>
      </c>
      <c r="R482" s="11" t="s">
        <v>42</v>
      </c>
      <c r="S482" s="15">
        <f t="shared" ca="1" si="17"/>
        <v>40470.53652858796</v>
      </c>
      <c r="T482" s="8">
        <f t="shared" ca="1" si="18"/>
        <v>9</v>
      </c>
      <c r="U482" s="11" t="s">
        <v>42</v>
      </c>
      <c r="V482" s="11" t="s">
        <v>42</v>
      </c>
      <c r="W482" s="11" t="s">
        <v>42</v>
      </c>
      <c r="X482" s="11" t="s">
        <v>42</v>
      </c>
      <c r="Y482" s="25" t="s">
        <v>2650</v>
      </c>
      <c r="AC482" s="12" t="s">
        <v>61</v>
      </c>
      <c r="AD482" s="25">
        <v>40448</v>
      </c>
      <c r="AH482" s="25" t="s">
        <v>61</v>
      </c>
    </row>
    <row r="483" spans="1:34">
      <c r="A483" s="1">
        <v>481</v>
      </c>
      <c r="B483" s="14">
        <v>40188</v>
      </c>
      <c r="C483" s="15">
        <v>40192</v>
      </c>
      <c r="E483" s="8" t="s">
        <v>1560</v>
      </c>
      <c r="G483" s="11" t="s">
        <v>37</v>
      </c>
      <c r="H483" s="1">
        <v>31</v>
      </c>
      <c r="I483" s="11" t="s">
        <v>1561</v>
      </c>
      <c r="J483" s="8" t="s">
        <v>1562</v>
      </c>
      <c r="K483" s="8" t="s">
        <v>206</v>
      </c>
      <c r="L483" s="11" t="s">
        <v>24</v>
      </c>
      <c r="M483" s="15">
        <v>40192</v>
      </c>
      <c r="N483" s="1">
        <v>1</v>
      </c>
      <c r="O483" s="11" t="s">
        <v>40</v>
      </c>
      <c r="P483" s="11" t="s">
        <v>26</v>
      </c>
      <c r="Q483" s="11" t="s">
        <v>27</v>
      </c>
      <c r="R483" s="25" t="s">
        <v>56</v>
      </c>
      <c r="S483" s="15">
        <f t="shared" ca="1" si="17"/>
        <v>40470.53652858796</v>
      </c>
      <c r="T483" s="8">
        <f t="shared" ca="1" si="18"/>
        <v>9</v>
      </c>
      <c r="U483" s="11" t="s">
        <v>42</v>
      </c>
      <c r="V483" s="11" t="s">
        <v>42</v>
      </c>
      <c r="W483" s="11" t="s">
        <v>42</v>
      </c>
      <c r="X483" s="11" t="s">
        <v>42</v>
      </c>
      <c r="Y483" s="25" t="s">
        <v>2650</v>
      </c>
      <c r="AC483" s="12" t="s">
        <v>1416</v>
      </c>
      <c r="AH483" s="11" t="s">
        <v>1416</v>
      </c>
    </row>
    <row r="484" spans="1:34">
      <c r="A484" s="1">
        <v>482</v>
      </c>
      <c r="B484" s="14">
        <v>40188</v>
      </c>
      <c r="C484" s="15">
        <v>40192</v>
      </c>
      <c r="E484" s="8" t="s">
        <v>1563</v>
      </c>
      <c r="G484" s="11" t="s">
        <v>20</v>
      </c>
      <c r="H484" s="1">
        <v>14</v>
      </c>
      <c r="I484" s="11" t="s">
        <v>1564</v>
      </c>
      <c r="J484" s="8" t="s">
        <v>1565</v>
      </c>
      <c r="K484" s="8" t="s">
        <v>39</v>
      </c>
      <c r="L484" s="11" t="s">
        <v>24</v>
      </c>
      <c r="M484" s="15">
        <v>40192</v>
      </c>
      <c r="N484" s="1">
        <v>1</v>
      </c>
      <c r="O484" s="11" t="s">
        <v>40</v>
      </c>
      <c r="P484" s="11" t="s">
        <v>1384</v>
      </c>
      <c r="Q484" s="11" t="s">
        <v>27</v>
      </c>
      <c r="R484" s="25" t="s">
        <v>56</v>
      </c>
      <c r="S484" s="15">
        <f t="shared" ca="1" si="17"/>
        <v>40470.53652858796</v>
      </c>
      <c r="T484" s="8">
        <f t="shared" ca="1" si="18"/>
        <v>9</v>
      </c>
      <c r="U484" s="11" t="s">
        <v>42</v>
      </c>
      <c r="V484" s="11" t="s">
        <v>42</v>
      </c>
      <c r="W484" s="11" t="s">
        <v>42</v>
      </c>
      <c r="X484" s="11" t="s">
        <v>42</v>
      </c>
      <c r="Y484" s="25" t="s">
        <v>2650</v>
      </c>
      <c r="AC484" s="12" t="s">
        <v>44</v>
      </c>
      <c r="AD484" s="25">
        <v>40445</v>
      </c>
      <c r="AH484" s="25" t="s">
        <v>44</v>
      </c>
    </row>
    <row r="485" spans="1:34">
      <c r="A485" s="1">
        <v>483</v>
      </c>
      <c r="B485" s="14">
        <v>40188</v>
      </c>
      <c r="C485" s="15">
        <v>40192</v>
      </c>
      <c r="E485" s="8" t="s">
        <v>1566</v>
      </c>
      <c r="G485" s="11" t="s">
        <v>20</v>
      </c>
      <c r="H485" s="1">
        <v>32</v>
      </c>
      <c r="I485" s="11" t="s">
        <v>1567</v>
      </c>
      <c r="K485" s="8" t="s">
        <v>291</v>
      </c>
      <c r="L485" s="11" t="s">
        <v>24</v>
      </c>
      <c r="M485" s="15">
        <v>40192</v>
      </c>
      <c r="N485" s="1">
        <v>1</v>
      </c>
      <c r="O485" s="11" t="s">
        <v>40</v>
      </c>
      <c r="P485" s="11" t="s">
        <v>1384</v>
      </c>
      <c r="Q485" s="11" t="s">
        <v>27</v>
      </c>
      <c r="R485" s="25" t="s">
        <v>56</v>
      </c>
      <c r="S485" s="15">
        <f t="shared" ca="1" si="17"/>
        <v>40470.53652858796</v>
      </c>
      <c r="T485" s="8">
        <f t="shared" ca="1" si="18"/>
        <v>9</v>
      </c>
      <c r="U485" s="11" t="s">
        <v>42</v>
      </c>
      <c r="V485" s="11" t="s">
        <v>42</v>
      </c>
      <c r="W485" s="11" t="s">
        <v>42</v>
      </c>
      <c r="X485" s="11" t="s">
        <v>42</v>
      </c>
      <c r="Y485" s="25" t="s">
        <v>2650</v>
      </c>
      <c r="AC485" s="12" t="s">
        <v>44</v>
      </c>
      <c r="AD485" s="25">
        <v>40435</v>
      </c>
      <c r="AH485" s="25" t="s">
        <v>44</v>
      </c>
    </row>
    <row r="486" spans="1:34" ht="12.75" customHeight="1">
      <c r="A486" s="1">
        <v>484</v>
      </c>
      <c r="B486" s="14">
        <v>40188</v>
      </c>
      <c r="C486" s="15">
        <v>40193</v>
      </c>
      <c r="E486" s="8" t="s">
        <v>1568</v>
      </c>
      <c r="G486" s="11" t="s">
        <v>20</v>
      </c>
      <c r="H486" s="1">
        <v>34</v>
      </c>
      <c r="I486" s="11" t="s">
        <v>1569</v>
      </c>
      <c r="J486" s="8" t="s">
        <v>1570</v>
      </c>
      <c r="K486" s="8" t="s">
        <v>291</v>
      </c>
      <c r="L486" s="11" t="s">
        <v>24</v>
      </c>
      <c r="M486" s="15">
        <v>40193</v>
      </c>
      <c r="N486" s="1">
        <v>2</v>
      </c>
      <c r="O486" s="11" t="s">
        <v>25</v>
      </c>
      <c r="P486" s="11" t="s">
        <v>26</v>
      </c>
      <c r="Q486" s="11" t="s">
        <v>49</v>
      </c>
      <c r="R486" s="11" t="s">
        <v>56</v>
      </c>
      <c r="S486" s="15">
        <f t="shared" ca="1" si="17"/>
        <v>40470.53652858796</v>
      </c>
      <c r="T486" s="8">
        <f t="shared" ca="1" si="18"/>
        <v>9</v>
      </c>
      <c r="U486" s="11" t="s">
        <v>42</v>
      </c>
      <c r="V486" s="25" t="s">
        <v>56</v>
      </c>
      <c r="W486" s="11" t="s">
        <v>42</v>
      </c>
      <c r="X486" s="11" t="s">
        <v>42</v>
      </c>
      <c r="Y486" s="25" t="s">
        <v>2650</v>
      </c>
      <c r="AC486" s="12" t="s">
        <v>1416</v>
      </c>
      <c r="AH486" s="11" t="s">
        <v>1416</v>
      </c>
    </row>
    <row r="487" spans="1:34">
      <c r="A487" s="1">
        <v>485</v>
      </c>
      <c r="B487" s="14">
        <v>40188</v>
      </c>
      <c r="C487" s="15">
        <v>40194</v>
      </c>
      <c r="E487" s="8" t="s">
        <v>1571</v>
      </c>
      <c r="G487" s="11" t="s">
        <v>20</v>
      </c>
      <c r="H487" s="1">
        <v>16</v>
      </c>
      <c r="I487" s="11" t="s">
        <v>1572</v>
      </c>
      <c r="J487" s="8" t="s">
        <v>1573</v>
      </c>
      <c r="K487" s="8" t="s">
        <v>39</v>
      </c>
      <c r="L487" s="11" t="s">
        <v>24</v>
      </c>
      <c r="M487" s="15">
        <v>40194</v>
      </c>
      <c r="N487" s="1">
        <v>1</v>
      </c>
      <c r="O487" s="11" t="s">
        <v>40</v>
      </c>
      <c r="P487" s="11" t="s">
        <v>26</v>
      </c>
      <c r="Q487" s="11" t="s">
        <v>27</v>
      </c>
      <c r="R487" s="11" t="s">
        <v>42</v>
      </c>
      <c r="S487" s="15">
        <f t="shared" ca="1" si="17"/>
        <v>40470.53652858796</v>
      </c>
      <c r="T487" s="8">
        <f t="shared" ca="1" si="18"/>
        <v>9</v>
      </c>
      <c r="U487" s="11" t="s">
        <v>42</v>
      </c>
      <c r="V487" s="11" t="s">
        <v>42</v>
      </c>
      <c r="W487" s="11" t="s">
        <v>42</v>
      </c>
      <c r="X487" s="11" t="s">
        <v>42</v>
      </c>
      <c r="Y487" s="25" t="s">
        <v>2650</v>
      </c>
      <c r="AC487" s="12" t="s">
        <v>1416</v>
      </c>
      <c r="AH487" s="11" t="s">
        <v>1416</v>
      </c>
    </row>
    <row r="488" spans="1:34">
      <c r="A488" s="1">
        <v>486</v>
      </c>
      <c r="B488" s="14">
        <v>40188</v>
      </c>
      <c r="C488" s="15">
        <v>40196</v>
      </c>
      <c r="E488" s="8" t="s">
        <v>1574</v>
      </c>
      <c r="G488" s="11" t="s">
        <v>20</v>
      </c>
      <c r="H488" s="1">
        <v>23</v>
      </c>
      <c r="I488" s="11" t="s">
        <v>1575</v>
      </c>
      <c r="J488" s="8" t="s">
        <v>1576</v>
      </c>
      <c r="K488" s="8" t="s">
        <v>106</v>
      </c>
      <c r="L488" s="11" t="s">
        <v>24</v>
      </c>
      <c r="M488" s="15">
        <v>40196</v>
      </c>
      <c r="N488" s="1">
        <v>1</v>
      </c>
      <c r="O488" s="11" t="s">
        <v>40</v>
      </c>
      <c r="P488" s="11" t="s">
        <v>26</v>
      </c>
      <c r="Q488" s="11" t="s">
        <v>27</v>
      </c>
      <c r="R488" s="11" t="s">
        <v>42</v>
      </c>
      <c r="S488" s="15">
        <f t="shared" ca="1" si="17"/>
        <v>40470.53652858796</v>
      </c>
      <c r="T488" s="8">
        <f t="shared" ca="1" si="18"/>
        <v>9</v>
      </c>
      <c r="U488" s="11" t="s">
        <v>42</v>
      </c>
      <c r="V488" s="11" t="s">
        <v>42</v>
      </c>
      <c r="W488" s="11" t="s">
        <v>42</v>
      </c>
      <c r="X488" s="11" t="s">
        <v>42</v>
      </c>
      <c r="Y488" s="25" t="s">
        <v>2650</v>
      </c>
      <c r="AC488" s="12" t="s">
        <v>1416</v>
      </c>
      <c r="AH488" s="11" t="s">
        <v>1416</v>
      </c>
    </row>
    <row r="489" spans="1:34">
      <c r="A489" s="1">
        <v>487</v>
      </c>
      <c r="B489" s="14">
        <v>40188</v>
      </c>
      <c r="C489" s="15">
        <v>40189</v>
      </c>
      <c r="E489" s="8" t="s">
        <v>1577</v>
      </c>
      <c r="G489" s="11" t="s">
        <v>37</v>
      </c>
      <c r="H489" s="1">
        <v>40</v>
      </c>
      <c r="I489" s="11" t="s">
        <v>1578</v>
      </c>
      <c r="J489" s="8" t="s">
        <v>1579</v>
      </c>
      <c r="K489" s="8" t="s">
        <v>291</v>
      </c>
      <c r="L489" s="11" t="s">
        <v>24</v>
      </c>
      <c r="M489" s="15">
        <v>40189</v>
      </c>
      <c r="N489" s="1">
        <v>2</v>
      </c>
      <c r="O489" s="11" t="s">
        <v>40</v>
      </c>
      <c r="P489" s="11" t="s">
        <v>26</v>
      </c>
      <c r="Q489" s="11" t="s">
        <v>27</v>
      </c>
      <c r="R489" s="25" t="s">
        <v>56</v>
      </c>
      <c r="S489" s="15">
        <f t="shared" ca="1" si="17"/>
        <v>40470.53652858796</v>
      </c>
      <c r="T489" s="8">
        <f t="shared" ca="1" si="18"/>
        <v>9</v>
      </c>
      <c r="U489" s="11" t="s">
        <v>42</v>
      </c>
      <c r="V489" s="11" t="s">
        <v>42</v>
      </c>
      <c r="W489" s="11" t="s">
        <v>42</v>
      </c>
      <c r="X489" s="11" t="s">
        <v>42</v>
      </c>
      <c r="Y489" s="25" t="s">
        <v>2649</v>
      </c>
      <c r="AC489" s="12" t="s">
        <v>122</v>
      </c>
      <c r="AD489" s="25">
        <v>40249</v>
      </c>
      <c r="AH489" s="25" t="s">
        <v>122</v>
      </c>
    </row>
    <row r="490" spans="1:34" ht="12.75" customHeight="1">
      <c r="A490" s="1">
        <v>488</v>
      </c>
      <c r="B490" s="14">
        <v>40188</v>
      </c>
      <c r="C490" s="15">
        <v>40197</v>
      </c>
      <c r="E490" s="8" t="s">
        <v>1580</v>
      </c>
      <c r="G490" s="11" t="s">
        <v>20</v>
      </c>
      <c r="H490" s="1">
        <v>13</v>
      </c>
      <c r="I490" s="11" t="s">
        <v>1581</v>
      </c>
      <c r="J490" s="8" t="s">
        <v>1582</v>
      </c>
      <c r="K490" s="8" t="s">
        <v>39</v>
      </c>
      <c r="L490" s="11" t="s">
        <v>24</v>
      </c>
      <c r="M490" s="15">
        <v>40197</v>
      </c>
      <c r="N490" s="1">
        <v>1</v>
      </c>
      <c r="O490" s="11" t="s">
        <v>40</v>
      </c>
      <c r="P490" s="11" t="s">
        <v>72</v>
      </c>
      <c r="Q490" s="11" t="s">
        <v>27</v>
      </c>
      <c r="R490" s="11" t="s">
        <v>56</v>
      </c>
      <c r="S490" s="15">
        <f t="shared" ca="1" si="17"/>
        <v>40470.53652858796</v>
      </c>
      <c r="T490" s="8">
        <f t="shared" ca="1" si="18"/>
        <v>9</v>
      </c>
      <c r="U490" s="11" t="s">
        <v>42</v>
      </c>
      <c r="V490" s="11" t="s">
        <v>42</v>
      </c>
      <c r="W490" s="11" t="s">
        <v>42</v>
      </c>
      <c r="X490" s="11" t="s">
        <v>42</v>
      </c>
      <c r="Y490" s="25" t="s">
        <v>2650</v>
      </c>
      <c r="AC490" s="12" t="s">
        <v>1416</v>
      </c>
      <c r="AH490" s="11" t="s">
        <v>1416</v>
      </c>
    </row>
    <row r="491" spans="1:34" ht="12.75" customHeight="1">
      <c r="A491" s="1">
        <v>489</v>
      </c>
      <c r="B491" s="14">
        <v>40188</v>
      </c>
      <c r="C491" s="15">
        <v>40198</v>
      </c>
      <c r="E491" s="8" t="s">
        <v>1583</v>
      </c>
      <c r="G491" s="11" t="s">
        <v>20</v>
      </c>
      <c r="H491" s="1">
        <v>35</v>
      </c>
      <c r="I491" s="11" t="s">
        <v>1584</v>
      </c>
      <c r="L491" s="11" t="s">
        <v>24</v>
      </c>
      <c r="M491" s="15">
        <v>40198</v>
      </c>
      <c r="N491" s="1">
        <v>1</v>
      </c>
      <c r="O491" s="11" t="s">
        <v>40</v>
      </c>
      <c r="P491" s="11" t="s">
        <v>1585</v>
      </c>
      <c r="Q491" s="11" t="s">
        <v>27</v>
      </c>
      <c r="R491" s="25" t="s">
        <v>56</v>
      </c>
      <c r="S491" s="15">
        <f t="shared" ca="1" si="17"/>
        <v>40470.53652858796</v>
      </c>
      <c r="T491" s="8">
        <f t="shared" ca="1" si="18"/>
        <v>9</v>
      </c>
      <c r="U491" s="11" t="s">
        <v>42</v>
      </c>
      <c r="V491" s="11" t="s">
        <v>42</v>
      </c>
      <c r="W491" s="11" t="s">
        <v>42</v>
      </c>
      <c r="X491" s="11" t="s">
        <v>42</v>
      </c>
      <c r="Y491" s="25" t="s">
        <v>2650</v>
      </c>
      <c r="AC491" s="12" t="s">
        <v>44</v>
      </c>
      <c r="AD491" s="25">
        <v>40462</v>
      </c>
      <c r="AH491" s="25" t="s">
        <v>44</v>
      </c>
    </row>
    <row r="492" spans="1:34">
      <c r="A492" s="1">
        <v>490</v>
      </c>
      <c r="B492" s="14">
        <v>40188</v>
      </c>
      <c r="C492" s="15">
        <v>40199</v>
      </c>
      <c r="E492" s="8" t="s">
        <v>1586</v>
      </c>
      <c r="G492" s="11" t="s">
        <v>37</v>
      </c>
      <c r="H492" s="1">
        <v>22</v>
      </c>
      <c r="I492" s="11" t="s">
        <v>1587</v>
      </c>
      <c r="J492" s="8" t="s">
        <v>1588</v>
      </c>
      <c r="K492" s="8" t="s">
        <v>39</v>
      </c>
      <c r="L492" s="11" t="s">
        <v>24</v>
      </c>
      <c r="M492" s="15">
        <v>40199</v>
      </c>
      <c r="N492" s="1">
        <v>2</v>
      </c>
      <c r="O492" s="11" t="s">
        <v>40</v>
      </c>
      <c r="P492" s="11" t="s">
        <v>26</v>
      </c>
      <c r="Q492" s="11" t="s">
        <v>27</v>
      </c>
      <c r="R492" s="25" t="s">
        <v>56</v>
      </c>
      <c r="S492" s="15">
        <f t="shared" ca="1" si="17"/>
        <v>40470.53652858796</v>
      </c>
      <c r="T492" s="8">
        <f t="shared" ca="1" si="18"/>
        <v>9</v>
      </c>
      <c r="U492" s="11" t="s">
        <v>42</v>
      </c>
      <c r="V492" s="11" t="s">
        <v>42</v>
      </c>
      <c r="W492" s="11" t="s">
        <v>42</v>
      </c>
      <c r="X492" s="11" t="s">
        <v>42</v>
      </c>
      <c r="Y492" s="25" t="s">
        <v>2650</v>
      </c>
      <c r="AC492" s="12" t="s">
        <v>1416</v>
      </c>
      <c r="AH492" s="11" t="s">
        <v>1416</v>
      </c>
    </row>
    <row r="493" spans="1:34" ht="12.75" customHeight="1">
      <c r="A493" s="1">
        <v>491</v>
      </c>
      <c r="B493" s="14">
        <v>40188</v>
      </c>
      <c r="C493" s="15">
        <v>40199</v>
      </c>
      <c r="E493" s="8" t="s">
        <v>1589</v>
      </c>
      <c r="G493" s="11" t="s">
        <v>37</v>
      </c>
      <c r="H493" s="1">
        <v>30</v>
      </c>
      <c r="I493" s="11" t="s">
        <v>1590</v>
      </c>
      <c r="J493" s="8" t="s">
        <v>1591</v>
      </c>
      <c r="K493" s="8" t="s">
        <v>106</v>
      </c>
      <c r="L493" s="11" t="s">
        <v>24</v>
      </c>
      <c r="M493" s="15">
        <v>40199</v>
      </c>
      <c r="N493" s="1">
        <v>1</v>
      </c>
      <c r="O493" s="11" t="s">
        <v>25</v>
      </c>
      <c r="P493" s="11" t="s">
        <v>26</v>
      </c>
      <c r="Q493" s="11" t="s">
        <v>27</v>
      </c>
      <c r="R493" s="11" t="s">
        <v>56</v>
      </c>
      <c r="S493" s="15">
        <f t="shared" ca="1" si="17"/>
        <v>40470.53652858796</v>
      </c>
      <c r="T493" s="8">
        <f t="shared" ca="1" si="18"/>
        <v>9</v>
      </c>
      <c r="U493" s="11" t="s">
        <v>56</v>
      </c>
      <c r="V493" s="11" t="s">
        <v>42</v>
      </c>
      <c r="W493" s="11" t="s">
        <v>42</v>
      </c>
      <c r="X493" s="11" t="s">
        <v>42</v>
      </c>
      <c r="Y493" s="25" t="s">
        <v>2650</v>
      </c>
      <c r="AC493" s="12" t="s">
        <v>44</v>
      </c>
      <c r="AD493" s="25">
        <v>40442</v>
      </c>
      <c r="AH493" s="25" t="s">
        <v>44</v>
      </c>
    </row>
    <row r="494" spans="1:34" ht="12.75" customHeight="1">
      <c r="A494" s="1">
        <v>492</v>
      </c>
      <c r="B494" s="14">
        <v>40188</v>
      </c>
      <c r="C494" s="15">
        <v>40199</v>
      </c>
      <c r="E494" s="8" t="s">
        <v>1592</v>
      </c>
      <c r="G494" s="11" t="s">
        <v>37</v>
      </c>
      <c r="H494" s="1">
        <v>19</v>
      </c>
      <c r="I494" s="11" t="s">
        <v>1593</v>
      </c>
      <c r="L494" s="11" t="s">
        <v>24</v>
      </c>
      <c r="M494" s="15">
        <v>40199</v>
      </c>
      <c r="N494" s="1">
        <v>2</v>
      </c>
      <c r="O494" s="11" t="s">
        <v>25</v>
      </c>
      <c r="P494" s="11" t="s">
        <v>26</v>
      </c>
      <c r="Q494" s="11" t="s">
        <v>407</v>
      </c>
      <c r="R494" s="11" t="s">
        <v>60</v>
      </c>
      <c r="S494" s="15">
        <f t="shared" ca="1" si="17"/>
        <v>40470.53652858796</v>
      </c>
      <c r="T494" s="8">
        <f t="shared" ca="1" si="18"/>
        <v>9</v>
      </c>
      <c r="U494" s="11" t="s">
        <v>42</v>
      </c>
      <c r="V494" s="25" t="s">
        <v>60</v>
      </c>
      <c r="W494" s="11" t="s">
        <v>42</v>
      </c>
      <c r="X494" s="11" t="s">
        <v>42</v>
      </c>
      <c r="Y494" s="25" t="s">
        <v>42</v>
      </c>
      <c r="AC494" s="12" t="s">
        <v>2289</v>
      </c>
      <c r="AD494" s="25">
        <v>40298</v>
      </c>
      <c r="AH494" s="25" t="s">
        <v>2289</v>
      </c>
    </row>
    <row r="495" spans="1:34" ht="12.75" customHeight="1">
      <c r="A495" s="1">
        <v>493</v>
      </c>
      <c r="B495" s="14">
        <v>40188</v>
      </c>
      <c r="C495" s="15">
        <v>40203</v>
      </c>
      <c r="E495" s="8" t="s">
        <v>1422</v>
      </c>
      <c r="G495" s="11" t="s">
        <v>20</v>
      </c>
      <c r="H495" s="1">
        <v>53</v>
      </c>
      <c r="I495" s="11" t="s">
        <v>1423</v>
      </c>
      <c r="J495" s="8" t="s">
        <v>1424</v>
      </c>
      <c r="K495" s="8" t="s">
        <v>291</v>
      </c>
      <c r="L495" s="11" t="s">
        <v>24</v>
      </c>
      <c r="M495" s="15">
        <v>40203</v>
      </c>
      <c r="N495" s="1">
        <v>1</v>
      </c>
      <c r="O495" s="11" t="s">
        <v>25</v>
      </c>
      <c r="P495" s="11" t="s">
        <v>26</v>
      </c>
      <c r="Q495" s="11" t="s">
        <v>27</v>
      </c>
      <c r="R495" s="11" t="s">
        <v>65</v>
      </c>
      <c r="S495" s="15">
        <f t="shared" ca="1" si="17"/>
        <v>40470.53652858796</v>
      </c>
      <c r="T495" s="8">
        <f t="shared" ca="1" si="18"/>
        <v>9</v>
      </c>
      <c r="U495" s="11" t="s">
        <v>56</v>
      </c>
      <c r="V495" s="25" t="s">
        <v>42</v>
      </c>
      <c r="W495" s="25" t="s">
        <v>56</v>
      </c>
      <c r="X495" s="25" t="s">
        <v>56</v>
      </c>
      <c r="Y495" s="25" t="s">
        <v>2650</v>
      </c>
      <c r="AC495" s="12" t="s">
        <v>1416</v>
      </c>
      <c r="AH495" s="11" t="s">
        <v>1416</v>
      </c>
    </row>
    <row r="496" spans="1:34">
      <c r="A496" s="1">
        <v>494</v>
      </c>
      <c r="B496" s="14">
        <v>40188</v>
      </c>
      <c r="C496" s="15">
        <v>40203</v>
      </c>
      <c r="E496" s="8" t="s">
        <v>1425</v>
      </c>
      <c r="G496" s="11" t="s">
        <v>37</v>
      </c>
      <c r="H496" s="1">
        <v>18</v>
      </c>
      <c r="I496" s="11" t="s">
        <v>1426</v>
      </c>
      <c r="J496" s="8" t="s">
        <v>1427</v>
      </c>
      <c r="K496" s="8" t="s">
        <v>39</v>
      </c>
      <c r="L496" s="11" t="s">
        <v>24</v>
      </c>
      <c r="M496" s="15">
        <v>40203</v>
      </c>
      <c r="N496" s="1">
        <v>1</v>
      </c>
      <c r="O496" s="11" t="s">
        <v>40</v>
      </c>
      <c r="P496" s="11" t="s">
        <v>26</v>
      </c>
      <c r="Q496" s="11" t="s">
        <v>27</v>
      </c>
      <c r="R496" s="11" t="s">
        <v>42</v>
      </c>
      <c r="S496" s="15">
        <f t="shared" ca="1" si="17"/>
        <v>40470.53652858796</v>
      </c>
      <c r="T496" s="8">
        <f t="shared" ca="1" si="18"/>
        <v>9</v>
      </c>
      <c r="U496" s="11" t="s">
        <v>42</v>
      </c>
      <c r="V496" s="11" t="s">
        <v>42</v>
      </c>
      <c r="W496" s="11" t="s">
        <v>42</v>
      </c>
      <c r="X496" s="11" t="s">
        <v>42</v>
      </c>
      <c r="Y496" s="25" t="s">
        <v>2650</v>
      </c>
      <c r="AC496" s="12" t="s">
        <v>44</v>
      </c>
      <c r="AD496" s="25">
        <v>40449</v>
      </c>
      <c r="AH496" s="25" t="s">
        <v>44</v>
      </c>
    </row>
    <row r="497" spans="1:34">
      <c r="A497" s="1">
        <v>495</v>
      </c>
      <c r="B497" s="14">
        <v>40188</v>
      </c>
      <c r="C497" s="15">
        <v>40203</v>
      </c>
      <c r="E497" s="8" t="s">
        <v>1428</v>
      </c>
      <c r="G497" s="11" t="s">
        <v>20</v>
      </c>
      <c r="H497" s="1">
        <v>22</v>
      </c>
      <c r="I497" s="11" t="s">
        <v>1429</v>
      </c>
      <c r="J497" s="8" t="s">
        <v>1430</v>
      </c>
      <c r="K497" s="8" t="s">
        <v>39</v>
      </c>
      <c r="L497" s="11" t="s">
        <v>24</v>
      </c>
      <c r="M497" s="15">
        <v>40203</v>
      </c>
      <c r="N497" s="1">
        <v>1</v>
      </c>
      <c r="O497" s="11" t="s">
        <v>40</v>
      </c>
      <c r="P497" s="11" t="s">
        <v>26</v>
      </c>
      <c r="Q497" s="11" t="s">
        <v>27</v>
      </c>
      <c r="R497" s="25" t="s">
        <v>56</v>
      </c>
      <c r="S497" s="15">
        <f t="shared" ca="1" si="17"/>
        <v>40470.53652858796</v>
      </c>
      <c r="T497" s="8">
        <f t="shared" ca="1" si="18"/>
        <v>9</v>
      </c>
      <c r="U497" s="11" t="s">
        <v>42</v>
      </c>
      <c r="V497" s="11" t="s">
        <v>42</v>
      </c>
      <c r="W497" s="11" t="s">
        <v>42</v>
      </c>
      <c r="X497" s="11" t="s">
        <v>42</v>
      </c>
      <c r="Y497" s="25" t="s">
        <v>2649</v>
      </c>
      <c r="AC497" s="12" t="s">
        <v>785</v>
      </c>
      <c r="AD497" s="25">
        <v>40188</v>
      </c>
      <c r="AH497" s="11" t="s">
        <v>122</v>
      </c>
    </row>
    <row r="498" spans="1:34" ht="12.75" customHeight="1">
      <c r="A498" s="1">
        <v>496</v>
      </c>
      <c r="B498" s="14">
        <v>40188</v>
      </c>
      <c r="C498" s="15">
        <v>40203</v>
      </c>
      <c r="E498" s="8" t="s">
        <v>1431</v>
      </c>
      <c r="G498" s="11" t="s">
        <v>37</v>
      </c>
      <c r="H498" s="1">
        <v>35</v>
      </c>
      <c r="I498" s="11" t="s">
        <v>1643</v>
      </c>
      <c r="J498" s="8" t="s">
        <v>1644</v>
      </c>
      <c r="K498" s="8" t="s">
        <v>206</v>
      </c>
      <c r="L498" s="11" t="s">
        <v>24</v>
      </c>
      <c r="M498" s="15">
        <v>40203</v>
      </c>
      <c r="N498" s="1">
        <v>1</v>
      </c>
      <c r="O498" s="11" t="s">
        <v>25</v>
      </c>
      <c r="P498" s="11" t="s">
        <v>26</v>
      </c>
      <c r="Q498" s="11" t="s">
        <v>27</v>
      </c>
      <c r="R498" s="11" t="s">
        <v>60</v>
      </c>
      <c r="S498" s="15">
        <f t="shared" ca="1" si="17"/>
        <v>40470.53652858796</v>
      </c>
      <c r="T498" s="8">
        <f t="shared" ca="1" si="18"/>
        <v>9</v>
      </c>
      <c r="U498" s="11" t="s">
        <v>56</v>
      </c>
      <c r="V498" s="25" t="s">
        <v>56</v>
      </c>
      <c r="W498" s="25" t="s">
        <v>56</v>
      </c>
      <c r="X498" s="25" t="s">
        <v>56</v>
      </c>
      <c r="Y498" s="25" t="s">
        <v>2650</v>
      </c>
      <c r="AC498" s="12" t="s">
        <v>61</v>
      </c>
      <c r="AD498" s="25">
        <v>40451</v>
      </c>
      <c r="AH498" s="25" t="s">
        <v>61</v>
      </c>
    </row>
    <row r="499" spans="1:34">
      <c r="A499" s="1">
        <v>497</v>
      </c>
      <c r="B499" s="14">
        <v>40188</v>
      </c>
      <c r="C499" s="15">
        <v>40204</v>
      </c>
      <c r="E499" s="8" t="s">
        <v>1645</v>
      </c>
      <c r="G499" s="11" t="s">
        <v>20</v>
      </c>
      <c r="H499" s="1">
        <v>11</v>
      </c>
      <c r="I499" s="11" t="s">
        <v>1646</v>
      </c>
      <c r="L499" s="11" t="s">
        <v>24</v>
      </c>
      <c r="M499" s="15">
        <v>40204</v>
      </c>
      <c r="N499" s="1">
        <v>2</v>
      </c>
      <c r="O499" s="11" t="s">
        <v>40</v>
      </c>
      <c r="P499" s="11" t="s">
        <v>26</v>
      </c>
      <c r="Q499" s="11" t="s">
        <v>381</v>
      </c>
      <c r="R499" s="25" t="s">
        <v>56</v>
      </c>
      <c r="S499" s="15">
        <f t="shared" ca="1" si="17"/>
        <v>40470.53652858796</v>
      </c>
      <c r="T499" s="8">
        <f t="shared" ca="1" si="18"/>
        <v>9</v>
      </c>
      <c r="U499" s="11" t="s">
        <v>42</v>
      </c>
      <c r="V499" s="11" t="s">
        <v>42</v>
      </c>
      <c r="W499" s="11" t="s">
        <v>42</v>
      </c>
      <c r="X499" s="11" t="s">
        <v>42</v>
      </c>
      <c r="Y499" s="25" t="s">
        <v>2649</v>
      </c>
      <c r="AC499" s="12" t="s">
        <v>785</v>
      </c>
      <c r="AD499" s="25">
        <v>40281</v>
      </c>
      <c r="AH499" s="11" t="s">
        <v>122</v>
      </c>
    </row>
    <row r="500" spans="1:34">
      <c r="A500" s="1">
        <v>498</v>
      </c>
      <c r="B500" s="14">
        <v>40188</v>
      </c>
      <c r="C500" s="15">
        <v>40204</v>
      </c>
      <c r="E500" s="8" t="s">
        <v>1647</v>
      </c>
      <c r="G500" s="11" t="s">
        <v>37</v>
      </c>
      <c r="H500" s="1">
        <v>50</v>
      </c>
      <c r="I500" s="11" t="s">
        <v>1648</v>
      </c>
      <c r="J500" s="8" t="s">
        <v>1649</v>
      </c>
      <c r="K500" s="8" t="s">
        <v>223</v>
      </c>
      <c r="L500" s="11" t="s">
        <v>24</v>
      </c>
      <c r="M500" s="15">
        <v>40204</v>
      </c>
      <c r="N500" s="1">
        <v>1</v>
      </c>
      <c r="O500" s="11" t="s">
        <v>40</v>
      </c>
      <c r="P500" s="11" t="s">
        <v>26</v>
      </c>
      <c r="Q500" s="11" t="s">
        <v>27</v>
      </c>
      <c r="R500" s="25" t="s">
        <v>56</v>
      </c>
      <c r="S500" s="15">
        <f t="shared" ca="1" si="17"/>
        <v>40470.53652858796</v>
      </c>
      <c r="T500" s="8">
        <f t="shared" ca="1" si="18"/>
        <v>9</v>
      </c>
      <c r="U500" s="11" t="s">
        <v>42</v>
      </c>
      <c r="V500" s="11" t="s">
        <v>42</v>
      </c>
      <c r="W500" s="11" t="s">
        <v>42</v>
      </c>
      <c r="X500" s="11" t="s">
        <v>42</v>
      </c>
      <c r="Y500" s="25" t="s">
        <v>2650</v>
      </c>
      <c r="AC500" s="12" t="s">
        <v>44</v>
      </c>
      <c r="AD500" s="25">
        <v>40447</v>
      </c>
      <c r="AH500" s="25" t="s">
        <v>44</v>
      </c>
    </row>
    <row r="501" spans="1:34">
      <c r="A501" s="1">
        <v>499</v>
      </c>
      <c r="B501" s="14">
        <v>40188</v>
      </c>
      <c r="C501" s="15">
        <v>40204</v>
      </c>
      <c r="E501" s="8" t="s">
        <v>1650</v>
      </c>
      <c r="G501" s="11" t="s">
        <v>20</v>
      </c>
      <c r="H501" s="1">
        <v>37</v>
      </c>
      <c r="I501" s="11" t="s">
        <v>1651</v>
      </c>
      <c r="J501" s="8" t="s">
        <v>1652</v>
      </c>
      <c r="K501" s="8" t="s">
        <v>291</v>
      </c>
      <c r="L501" s="11" t="s">
        <v>24</v>
      </c>
      <c r="M501" s="15">
        <v>40204</v>
      </c>
      <c r="N501" s="1">
        <v>1</v>
      </c>
      <c r="O501" s="11" t="s">
        <v>25</v>
      </c>
      <c r="P501" s="11" t="s">
        <v>26</v>
      </c>
      <c r="Q501" s="11" t="s">
        <v>27</v>
      </c>
      <c r="R501" s="11" t="s">
        <v>28</v>
      </c>
      <c r="S501" s="15">
        <f t="shared" ca="1" si="17"/>
        <v>40470.53652858796</v>
      </c>
      <c r="T501" s="8">
        <f t="shared" ca="1" si="18"/>
        <v>9</v>
      </c>
      <c r="U501" s="11" t="s">
        <v>56</v>
      </c>
      <c r="V501" s="11" t="s">
        <v>42</v>
      </c>
      <c r="W501" s="25" t="s">
        <v>56</v>
      </c>
      <c r="X501" s="25" t="s">
        <v>56</v>
      </c>
      <c r="Y501" s="25" t="s">
        <v>2650</v>
      </c>
      <c r="AC501" s="12" t="s">
        <v>61</v>
      </c>
      <c r="AD501" s="25">
        <v>40441</v>
      </c>
      <c r="AH501" s="25" t="s">
        <v>61</v>
      </c>
    </row>
    <row r="502" spans="1:34">
      <c r="A502" s="1">
        <v>500</v>
      </c>
      <c r="B502" s="14">
        <v>40188</v>
      </c>
      <c r="C502" s="15">
        <v>40204</v>
      </c>
      <c r="E502" s="8" t="s">
        <v>1653</v>
      </c>
      <c r="G502" s="11" t="s">
        <v>37</v>
      </c>
      <c r="H502" s="1">
        <v>24</v>
      </c>
      <c r="I502" s="11" t="s">
        <v>1654</v>
      </c>
      <c r="L502" s="11" t="s">
        <v>24</v>
      </c>
      <c r="M502" s="15">
        <v>40204</v>
      </c>
      <c r="N502" s="1">
        <v>1</v>
      </c>
      <c r="O502" s="11" t="s">
        <v>40</v>
      </c>
      <c r="P502" s="11" t="s">
        <v>26</v>
      </c>
      <c r="Q502" s="11" t="s">
        <v>27</v>
      </c>
      <c r="R502" s="11" t="s">
        <v>42</v>
      </c>
      <c r="S502" s="15">
        <f t="shared" ca="1" si="17"/>
        <v>40470.53652858796</v>
      </c>
      <c r="T502" s="8">
        <f t="shared" ca="1" si="18"/>
        <v>9</v>
      </c>
      <c r="U502" s="11" t="s">
        <v>42</v>
      </c>
      <c r="V502" s="11" t="s">
        <v>42</v>
      </c>
      <c r="W502" s="11" t="s">
        <v>42</v>
      </c>
      <c r="X502" s="11" t="s">
        <v>42</v>
      </c>
      <c r="Y502" s="25" t="s">
        <v>2650</v>
      </c>
      <c r="AC502" s="12" t="s">
        <v>785</v>
      </c>
      <c r="AH502" s="11" t="s">
        <v>122</v>
      </c>
    </row>
    <row r="503" spans="1:34">
      <c r="A503" s="1">
        <v>501</v>
      </c>
      <c r="B503" s="14">
        <v>40188</v>
      </c>
      <c r="C503" s="15">
        <v>40205</v>
      </c>
      <c r="E503" s="8" t="s">
        <v>1655</v>
      </c>
      <c r="G503" s="11" t="s">
        <v>20</v>
      </c>
      <c r="H503" s="1">
        <v>40</v>
      </c>
      <c r="I503" s="11" t="s">
        <v>1656</v>
      </c>
      <c r="J503" s="8" t="s">
        <v>1657</v>
      </c>
      <c r="K503" s="8" t="s">
        <v>291</v>
      </c>
      <c r="L503" s="11" t="s">
        <v>24</v>
      </c>
      <c r="M503" s="15">
        <v>40205</v>
      </c>
      <c r="N503" s="1">
        <v>1</v>
      </c>
      <c r="O503" s="11" t="s">
        <v>40</v>
      </c>
      <c r="P503" s="11" t="s">
        <v>26</v>
      </c>
      <c r="Q503" s="11" t="s">
        <v>27</v>
      </c>
      <c r="R503" s="11" t="s">
        <v>42</v>
      </c>
      <c r="S503" s="15">
        <f t="shared" ca="1" si="17"/>
        <v>40470.53652858796</v>
      </c>
      <c r="T503" s="8">
        <f t="shared" ca="1" si="18"/>
        <v>9</v>
      </c>
      <c r="U503" s="11" t="s">
        <v>42</v>
      </c>
      <c r="V503" s="11" t="s">
        <v>42</v>
      </c>
      <c r="W503" s="11" t="s">
        <v>42</v>
      </c>
      <c r="X503" s="11" t="s">
        <v>42</v>
      </c>
      <c r="Y503" s="25" t="s">
        <v>2650</v>
      </c>
      <c r="AC503" s="12" t="s">
        <v>1416</v>
      </c>
      <c r="AH503" s="11" t="s">
        <v>1416</v>
      </c>
    </row>
    <row r="504" spans="1:34" ht="12.75" customHeight="1">
      <c r="A504" s="1">
        <v>502</v>
      </c>
      <c r="B504" s="14">
        <v>40188</v>
      </c>
      <c r="C504" s="15">
        <v>40205</v>
      </c>
      <c r="E504" s="8" t="s">
        <v>1658</v>
      </c>
      <c r="G504" s="11" t="s">
        <v>37</v>
      </c>
      <c r="H504" s="1">
        <v>50</v>
      </c>
      <c r="I504" s="11" t="s">
        <v>1659</v>
      </c>
      <c r="J504" s="8" t="s">
        <v>1660</v>
      </c>
      <c r="K504" s="8" t="s">
        <v>1456</v>
      </c>
      <c r="L504" s="11" t="s">
        <v>24</v>
      </c>
      <c r="M504" s="15">
        <v>40205</v>
      </c>
      <c r="N504" s="1">
        <v>1</v>
      </c>
      <c r="O504" s="11" t="s">
        <v>25</v>
      </c>
      <c r="P504" s="11" t="s">
        <v>26</v>
      </c>
      <c r="Q504" s="11" t="s">
        <v>27</v>
      </c>
      <c r="R504" s="11" t="s">
        <v>65</v>
      </c>
      <c r="S504" s="15">
        <f t="shared" ca="1" si="17"/>
        <v>40470.53652858796</v>
      </c>
      <c r="T504" s="8">
        <f t="shared" ca="1" si="18"/>
        <v>9</v>
      </c>
      <c r="U504" s="11" t="s">
        <v>56</v>
      </c>
      <c r="V504" s="11" t="s">
        <v>42</v>
      </c>
      <c r="W504" s="25" t="s">
        <v>56</v>
      </c>
      <c r="X504" s="25" t="s">
        <v>56</v>
      </c>
      <c r="Y504" s="25" t="s">
        <v>2650</v>
      </c>
      <c r="AC504" s="12" t="s">
        <v>61</v>
      </c>
      <c r="AD504" s="25">
        <v>40464</v>
      </c>
      <c r="AH504" s="25" t="s">
        <v>61</v>
      </c>
    </row>
    <row r="505" spans="1:34" ht="12.75" customHeight="1">
      <c r="A505" s="1">
        <v>503</v>
      </c>
      <c r="B505" s="14">
        <v>40188</v>
      </c>
      <c r="C505" s="15">
        <v>40205</v>
      </c>
      <c r="E505" s="8" t="s">
        <v>1661</v>
      </c>
      <c r="G505" s="11" t="s">
        <v>37</v>
      </c>
      <c r="H505" s="1">
        <v>19</v>
      </c>
      <c r="I505" s="11" t="s">
        <v>1662</v>
      </c>
      <c r="J505" s="8" t="s">
        <v>1663</v>
      </c>
      <c r="K505" s="8" t="s">
        <v>39</v>
      </c>
      <c r="L505" s="11" t="s">
        <v>24</v>
      </c>
      <c r="M505" s="15">
        <v>40205</v>
      </c>
      <c r="N505" s="1">
        <v>1</v>
      </c>
      <c r="O505" s="11" t="s">
        <v>25</v>
      </c>
      <c r="P505" s="11" t="s">
        <v>26</v>
      </c>
      <c r="Q505" s="11" t="s">
        <v>27</v>
      </c>
      <c r="R505" s="11" t="s">
        <v>28</v>
      </c>
      <c r="S505" s="15">
        <f t="shared" ca="1" si="17"/>
        <v>40470.53652858796</v>
      </c>
      <c r="T505" s="8">
        <f t="shared" ca="1" si="18"/>
        <v>9</v>
      </c>
      <c r="U505" s="11" t="s">
        <v>56</v>
      </c>
      <c r="V505" s="11" t="s">
        <v>42</v>
      </c>
      <c r="W505" s="11" t="s">
        <v>56</v>
      </c>
      <c r="X505" s="25" t="s">
        <v>56</v>
      </c>
      <c r="Y505" s="25" t="s">
        <v>2650</v>
      </c>
      <c r="AC505" s="12" t="s">
        <v>61</v>
      </c>
      <c r="AD505" s="25">
        <v>40448</v>
      </c>
      <c r="AH505" s="25" t="s">
        <v>61</v>
      </c>
    </row>
    <row r="506" spans="1:34" ht="12.75" customHeight="1">
      <c r="A506" s="1">
        <v>504</v>
      </c>
      <c r="B506" s="14">
        <v>40188</v>
      </c>
      <c r="C506" s="15">
        <v>40206</v>
      </c>
      <c r="E506" s="8" t="s">
        <v>1664</v>
      </c>
      <c r="G506" s="11" t="s">
        <v>20</v>
      </c>
      <c r="H506" s="1">
        <v>49</v>
      </c>
      <c r="I506" s="11" t="s">
        <v>1665</v>
      </c>
      <c r="L506" s="11" t="s">
        <v>24</v>
      </c>
      <c r="M506" s="15">
        <v>40206</v>
      </c>
      <c r="N506" s="1">
        <v>1</v>
      </c>
      <c r="O506" s="11" t="s">
        <v>25</v>
      </c>
      <c r="P506" s="11" t="s">
        <v>26</v>
      </c>
      <c r="Q506" s="11" t="s">
        <v>27</v>
      </c>
      <c r="R506" s="11" t="s">
        <v>65</v>
      </c>
      <c r="S506" s="15">
        <f t="shared" ca="1" si="17"/>
        <v>40470.53652858796</v>
      </c>
      <c r="T506" s="8">
        <f t="shared" ca="1" si="18"/>
        <v>9</v>
      </c>
      <c r="U506" s="25" t="s">
        <v>2752</v>
      </c>
      <c r="V506" s="25" t="s">
        <v>42</v>
      </c>
      <c r="W506" s="25" t="s">
        <v>56</v>
      </c>
      <c r="X506" s="25" t="s">
        <v>56</v>
      </c>
      <c r="Y506" s="25" t="s">
        <v>2650</v>
      </c>
      <c r="AC506" s="12" t="s">
        <v>61</v>
      </c>
      <c r="AD506" s="25">
        <v>40407</v>
      </c>
      <c r="AH506" s="25" t="s">
        <v>61</v>
      </c>
    </row>
    <row r="507" spans="1:34" ht="12.75" customHeight="1">
      <c r="A507" s="1">
        <v>505</v>
      </c>
      <c r="B507" s="14">
        <v>40188</v>
      </c>
      <c r="C507" s="15">
        <v>40206</v>
      </c>
      <c r="E507" s="8" t="s">
        <v>1666</v>
      </c>
      <c r="G507" s="11" t="s">
        <v>37</v>
      </c>
      <c r="H507" s="1">
        <v>32</v>
      </c>
      <c r="I507" s="11" t="s">
        <v>1667</v>
      </c>
      <c r="L507" s="11" t="s">
        <v>24</v>
      </c>
      <c r="M507" s="15">
        <v>40206</v>
      </c>
      <c r="N507" s="1">
        <v>2</v>
      </c>
      <c r="O507" s="11" t="s">
        <v>25</v>
      </c>
      <c r="P507" s="11" t="s">
        <v>26</v>
      </c>
      <c r="Q507" s="11" t="s">
        <v>49</v>
      </c>
      <c r="R507" s="11" t="s">
        <v>56</v>
      </c>
      <c r="S507" s="15">
        <f t="shared" ca="1" si="17"/>
        <v>40470.53652858796</v>
      </c>
      <c r="T507" s="8">
        <f t="shared" ca="1" si="18"/>
        <v>9</v>
      </c>
      <c r="U507" s="11" t="s">
        <v>42</v>
      </c>
      <c r="V507" s="25" t="s">
        <v>56</v>
      </c>
      <c r="W507" s="11" t="s">
        <v>42</v>
      </c>
      <c r="X507" s="11" t="s">
        <v>42</v>
      </c>
      <c r="Y507" s="25" t="s">
        <v>2650</v>
      </c>
      <c r="AC507" s="12" t="s">
        <v>1416</v>
      </c>
      <c r="AH507" s="11" t="s">
        <v>1416</v>
      </c>
    </row>
    <row r="508" spans="1:34">
      <c r="A508" s="1">
        <v>506</v>
      </c>
      <c r="B508" s="14">
        <v>40188</v>
      </c>
      <c r="C508" s="15">
        <v>40206</v>
      </c>
      <c r="E508" s="8" t="s">
        <v>1668</v>
      </c>
      <c r="G508" s="11" t="s">
        <v>20</v>
      </c>
      <c r="H508" s="1">
        <v>44</v>
      </c>
      <c r="I508" s="11" t="s">
        <v>1669</v>
      </c>
      <c r="J508" s="8" t="s">
        <v>1670</v>
      </c>
      <c r="L508" s="11" t="s">
        <v>24</v>
      </c>
      <c r="M508" s="15">
        <v>40206</v>
      </c>
      <c r="N508" s="1">
        <v>1</v>
      </c>
      <c r="O508" s="11" t="s">
        <v>40</v>
      </c>
      <c r="P508" s="11" t="s">
        <v>26</v>
      </c>
      <c r="Q508" s="11" t="s">
        <v>27</v>
      </c>
      <c r="R508" s="25" t="s">
        <v>56</v>
      </c>
      <c r="S508" s="15">
        <f t="shared" ca="1" si="17"/>
        <v>40470.53652858796</v>
      </c>
      <c r="T508" s="8">
        <f t="shared" ca="1" si="18"/>
        <v>9</v>
      </c>
      <c r="U508" s="11" t="s">
        <v>42</v>
      </c>
      <c r="V508" s="11" t="s">
        <v>42</v>
      </c>
      <c r="W508" s="11" t="s">
        <v>42</v>
      </c>
      <c r="X508" s="11" t="s">
        <v>42</v>
      </c>
      <c r="Y508" s="25" t="s">
        <v>2650</v>
      </c>
      <c r="AC508" s="12" t="s">
        <v>1416</v>
      </c>
      <c r="AH508" s="11" t="s">
        <v>1416</v>
      </c>
    </row>
    <row r="509" spans="1:34">
      <c r="A509" s="1">
        <v>507</v>
      </c>
      <c r="B509" s="14">
        <v>40188</v>
      </c>
      <c r="C509" s="15">
        <v>40206</v>
      </c>
      <c r="E509" s="8" t="s">
        <v>1671</v>
      </c>
      <c r="G509" s="11" t="s">
        <v>37</v>
      </c>
      <c r="H509" s="1">
        <v>17</v>
      </c>
      <c r="I509" s="11" t="s">
        <v>1672</v>
      </c>
      <c r="J509" s="8" t="s">
        <v>1673</v>
      </c>
      <c r="L509" s="11" t="s">
        <v>24</v>
      </c>
      <c r="M509" s="15">
        <v>40206</v>
      </c>
      <c r="N509" s="1">
        <v>2</v>
      </c>
      <c r="O509" s="11" t="s">
        <v>40</v>
      </c>
      <c r="P509" s="11" t="s">
        <v>26</v>
      </c>
      <c r="Q509" s="11" t="s">
        <v>407</v>
      </c>
      <c r="R509" s="11" t="s">
        <v>28</v>
      </c>
      <c r="S509" s="15">
        <f t="shared" ca="1" si="17"/>
        <v>40470.53652858796</v>
      </c>
      <c r="T509" s="8">
        <f t="shared" ca="1" si="18"/>
        <v>9</v>
      </c>
      <c r="U509" s="11" t="s">
        <v>42</v>
      </c>
      <c r="V509" s="11" t="s">
        <v>42</v>
      </c>
      <c r="W509" s="11" t="s">
        <v>42</v>
      </c>
      <c r="X509" s="11" t="s">
        <v>42</v>
      </c>
      <c r="Y509" s="25" t="s">
        <v>42</v>
      </c>
      <c r="AC509" s="12" t="s">
        <v>2289</v>
      </c>
      <c r="AD509" s="25">
        <v>40333</v>
      </c>
      <c r="AH509" s="25" t="s">
        <v>2289</v>
      </c>
    </row>
    <row r="510" spans="1:34" ht="12.75" customHeight="1">
      <c r="A510" s="1">
        <v>508</v>
      </c>
      <c r="B510" s="14">
        <v>40188</v>
      </c>
      <c r="C510" s="15">
        <v>40207</v>
      </c>
      <c r="E510" s="8" t="s">
        <v>1674</v>
      </c>
      <c r="G510" s="11" t="s">
        <v>20</v>
      </c>
      <c r="H510" s="1">
        <v>36</v>
      </c>
      <c r="I510" s="11" t="s">
        <v>1675</v>
      </c>
      <c r="L510" s="11" t="s">
        <v>24</v>
      </c>
      <c r="M510" s="15">
        <v>40207</v>
      </c>
      <c r="N510" s="1">
        <v>1</v>
      </c>
      <c r="O510" s="11" t="s">
        <v>25</v>
      </c>
      <c r="P510" s="11" t="s">
        <v>26</v>
      </c>
      <c r="Q510" s="11" t="s">
        <v>27</v>
      </c>
      <c r="R510" s="11" t="s">
        <v>28</v>
      </c>
      <c r="S510" s="15">
        <f t="shared" ca="1" si="17"/>
        <v>40470.53652858796</v>
      </c>
      <c r="T510" s="8">
        <f t="shared" ca="1" si="18"/>
        <v>9</v>
      </c>
      <c r="U510" s="25" t="s">
        <v>42</v>
      </c>
      <c r="V510" s="25" t="s">
        <v>56</v>
      </c>
      <c r="W510" s="11" t="s">
        <v>42</v>
      </c>
      <c r="X510" s="25" t="s">
        <v>56</v>
      </c>
      <c r="Y510" s="25" t="s">
        <v>2650</v>
      </c>
      <c r="AC510" s="12" t="s">
        <v>61</v>
      </c>
      <c r="AD510" s="25">
        <v>40463</v>
      </c>
      <c r="AH510" s="25" t="s">
        <v>61</v>
      </c>
    </row>
    <row r="511" spans="1:34">
      <c r="A511" s="1">
        <v>509</v>
      </c>
      <c r="B511" s="14">
        <v>40188</v>
      </c>
      <c r="C511" s="15">
        <v>40207</v>
      </c>
      <c r="E511" s="8" t="s">
        <v>1676</v>
      </c>
      <c r="G511" s="11" t="s">
        <v>20</v>
      </c>
      <c r="H511" s="1">
        <v>30</v>
      </c>
      <c r="I511" s="11" t="s">
        <v>1677</v>
      </c>
      <c r="J511" s="8" t="s">
        <v>1678</v>
      </c>
      <c r="L511" s="11" t="s">
        <v>24</v>
      </c>
      <c r="M511" s="15">
        <v>40207</v>
      </c>
      <c r="N511" s="1">
        <v>1</v>
      </c>
      <c r="O511" s="11" t="s">
        <v>40</v>
      </c>
      <c r="P511" s="25" t="s">
        <v>2208</v>
      </c>
      <c r="Q511" s="11" t="s">
        <v>27</v>
      </c>
      <c r="R511" s="11" t="s">
        <v>42</v>
      </c>
      <c r="S511" s="15">
        <f t="shared" ca="1" si="17"/>
        <v>40470.53652858796</v>
      </c>
      <c r="T511" s="8">
        <f t="shared" ca="1" si="18"/>
        <v>9</v>
      </c>
      <c r="U511" s="11" t="s">
        <v>42</v>
      </c>
      <c r="V511" s="11" t="s">
        <v>42</v>
      </c>
      <c r="W511" s="11" t="s">
        <v>42</v>
      </c>
      <c r="X511" s="11" t="s">
        <v>42</v>
      </c>
      <c r="Y511" s="25" t="s">
        <v>2649</v>
      </c>
      <c r="AC511" s="12" t="s">
        <v>785</v>
      </c>
      <c r="AD511" s="25">
        <v>40188</v>
      </c>
      <c r="AH511" s="11" t="s">
        <v>122</v>
      </c>
    </row>
    <row r="512" spans="1:34">
      <c r="A512" s="1">
        <v>510</v>
      </c>
      <c r="B512" s="14">
        <v>40188</v>
      </c>
      <c r="C512" s="15">
        <v>40208</v>
      </c>
      <c r="E512" s="8" t="s">
        <v>1679</v>
      </c>
      <c r="G512" s="11" t="s">
        <v>37</v>
      </c>
      <c r="H512" s="1">
        <v>68</v>
      </c>
      <c r="I512" s="11" t="s">
        <v>1680</v>
      </c>
      <c r="J512" s="8" t="s">
        <v>1681</v>
      </c>
      <c r="L512" s="11" t="s">
        <v>24</v>
      </c>
      <c r="M512" s="15">
        <v>40208</v>
      </c>
      <c r="N512" s="1">
        <v>1</v>
      </c>
      <c r="O512" s="11" t="s">
        <v>40</v>
      </c>
      <c r="P512" s="11" t="s">
        <v>26</v>
      </c>
      <c r="Q512" s="11" t="s">
        <v>27</v>
      </c>
      <c r="R512" s="25" t="s">
        <v>56</v>
      </c>
      <c r="S512" s="15">
        <f t="shared" ca="1" si="17"/>
        <v>40470.53652858796</v>
      </c>
      <c r="T512" s="8">
        <f t="shared" ca="1" si="18"/>
        <v>9</v>
      </c>
      <c r="U512" s="11" t="s">
        <v>42</v>
      </c>
      <c r="V512" s="11" t="s">
        <v>42</v>
      </c>
      <c r="W512" s="11" t="s">
        <v>42</v>
      </c>
      <c r="X512" s="11" t="s">
        <v>42</v>
      </c>
      <c r="AC512" s="12" t="s">
        <v>35</v>
      </c>
      <c r="AD512" s="25">
        <v>40233</v>
      </c>
      <c r="AH512" s="11" t="s">
        <v>35</v>
      </c>
    </row>
    <row r="513" spans="1:34" ht="12.75" customHeight="1">
      <c r="A513" s="1">
        <v>511</v>
      </c>
      <c r="B513" s="14">
        <v>40188</v>
      </c>
      <c r="C513" s="15">
        <v>40203</v>
      </c>
      <c r="E513" s="8" t="s">
        <v>1682</v>
      </c>
      <c r="G513" s="11" t="s">
        <v>37</v>
      </c>
      <c r="H513" s="1">
        <v>19</v>
      </c>
      <c r="I513" s="11" t="s">
        <v>1683</v>
      </c>
      <c r="J513" s="8" t="s">
        <v>1684</v>
      </c>
      <c r="L513" s="11" t="s">
        <v>24</v>
      </c>
      <c r="M513" s="15">
        <v>40203</v>
      </c>
      <c r="N513" s="1">
        <v>2</v>
      </c>
      <c r="O513" s="11" t="s">
        <v>40</v>
      </c>
      <c r="P513" s="11" t="s">
        <v>72</v>
      </c>
      <c r="Q513" s="11" t="s">
        <v>27</v>
      </c>
      <c r="R513" s="25" t="s">
        <v>42</v>
      </c>
      <c r="S513" s="15">
        <f t="shared" ca="1" si="17"/>
        <v>40470.53652858796</v>
      </c>
      <c r="T513" s="8">
        <f t="shared" ca="1" si="18"/>
        <v>9</v>
      </c>
      <c r="U513" s="11" t="s">
        <v>42</v>
      </c>
      <c r="V513" s="11" t="s">
        <v>42</v>
      </c>
      <c r="W513" s="11" t="s">
        <v>42</v>
      </c>
      <c r="X513" s="11" t="s">
        <v>42</v>
      </c>
      <c r="Y513" s="25" t="s">
        <v>2650</v>
      </c>
      <c r="AC513" s="12" t="s">
        <v>44</v>
      </c>
      <c r="AD513" s="25">
        <v>40446</v>
      </c>
      <c r="AH513" s="25" t="s">
        <v>44</v>
      </c>
    </row>
    <row r="514" spans="1:34" ht="12.75" customHeight="1">
      <c r="A514" s="1">
        <v>512</v>
      </c>
      <c r="B514" s="14">
        <v>40219</v>
      </c>
      <c r="C514" s="15">
        <v>40210</v>
      </c>
      <c r="E514" s="8" t="s">
        <v>1685</v>
      </c>
      <c r="G514" s="11" t="s">
        <v>37</v>
      </c>
      <c r="H514" s="1">
        <v>24</v>
      </c>
      <c r="I514" s="11" t="s">
        <v>1504</v>
      </c>
      <c r="L514" s="11" t="s">
        <v>24</v>
      </c>
      <c r="M514" s="15">
        <v>40210</v>
      </c>
      <c r="N514" s="1">
        <v>1</v>
      </c>
      <c r="O514" s="11" t="s">
        <v>25</v>
      </c>
      <c r="P514" s="11" t="s">
        <v>26</v>
      </c>
      <c r="Q514" s="11" t="s">
        <v>27</v>
      </c>
      <c r="R514" s="11" t="s">
        <v>60</v>
      </c>
      <c r="S514" s="15">
        <f t="shared" ref="S514:S577" ca="1" si="19">NOW()</f>
        <v>40470.53652858796</v>
      </c>
      <c r="T514" s="8">
        <f t="shared" ca="1" si="18"/>
        <v>8</v>
      </c>
      <c r="U514" s="11" t="s">
        <v>56</v>
      </c>
      <c r="V514" s="11" t="s">
        <v>42</v>
      </c>
      <c r="W514" s="25" t="s">
        <v>56</v>
      </c>
      <c r="X514" s="11" t="s">
        <v>42</v>
      </c>
      <c r="Y514" s="25" t="s">
        <v>2650</v>
      </c>
      <c r="AC514" s="12" t="s">
        <v>61</v>
      </c>
      <c r="AD514" s="25">
        <v>40452</v>
      </c>
      <c r="AH514" s="25" t="s">
        <v>61</v>
      </c>
    </row>
    <row r="515" spans="1:34" ht="12.75" customHeight="1">
      <c r="A515" s="1">
        <v>513</v>
      </c>
      <c r="B515" s="14">
        <v>40219</v>
      </c>
      <c r="C515" s="15">
        <v>40211</v>
      </c>
      <c r="E515" s="8" t="s">
        <v>1505</v>
      </c>
      <c r="G515" s="11" t="s">
        <v>37</v>
      </c>
      <c r="H515" s="1">
        <v>30</v>
      </c>
      <c r="I515" s="11" t="s">
        <v>1506</v>
      </c>
      <c r="L515" s="11" t="s">
        <v>24</v>
      </c>
      <c r="M515" s="15">
        <v>40211</v>
      </c>
      <c r="N515" s="1">
        <v>1</v>
      </c>
      <c r="O515" s="11" t="s">
        <v>25</v>
      </c>
      <c r="P515" s="11" t="s">
        <v>26</v>
      </c>
      <c r="Q515" s="11" t="s">
        <v>27</v>
      </c>
      <c r="R515" s="11" t="s">
        <v>28</v>
      </c>
      <c r="S515" s="15">
        <f t="shared" ca="1" si="19"/>
        <v>40470.53652858796</v>
      </c>
      <c r="T515" s="8">
        <f t="shared" ca="1" si="18"/>
        <v>8</v>
      </c>
      <c r="U515" s="11" t="s">
        <v>56</v>
      </c>
      <c r="V515" s="11" t="s">
        <v>42</v>
      </c>
      <c r="W515" s="11" t="s">
        <v>42</v>
      </c>
      <c r="X515" s="25" t="s">
        <v>28</v>
      </c>
      <c r="Y515" s="25" t="s">
        <v>2650</v>
      </c>
      <c r="AC515" s="12" t="s">
        <v>61</v>
      </c>
      <c r="AD515" s="25">
        <v>40453</v>
      </c>
      <c r="AH515" s="25" t="s">
        <v>61</v>
      </c>
    </row>
    <row r="516" spans="1:34">
      <c r="A516" s="1">
        <v>514</v>
      </c>
      <c r="B516" s="14">
        <v>40219</v>
      </c>
      <c r="C516" s="15">
        <v>40211</v>
      </c>
      <c r="E516" s="8" t="s">
        <v>1507</v>
      </c>
      <c r="G516" s="11" t="s">
        <v>20</v>
      </c>
      <c r="H516" s="1">
        <v>32</v>
      </c>
      <c r="I516" s="11" t="s">
        <v>1508</v>
      </c>
      <c r="L516" s="11" t="s">
        <v>24</v>
      </c>
      <c r="M516" s="15">
        <v>40211</v>
      </c>
      <c r="N516" s="1">
        <v>1</v>
      </c>
      <c r="O516" s="11" t="s">
        <v>40</v>
      </c>
      <c r="Q516" s="11" t="s">
        <v>27</v>
      </c>
      <c r="R516" s="11" t="s">
        <v>42</v>
      </c>
      <c r="S516" s="15">
        <f t="shared" ca="1" si="19"/>
        <v>40470.53652858796</v>
      </c>
      <c r="T516" s="8">
        <f t="shared" ca="1" si="18"/>
        <v>8</v>
      </c>
      <c r="U516" s="11" t="s">
        <v>42</v>
      </c>
      <c r="V516" s="11" t="s">
        <v>42</v>
      </c>
      <c r="W516" s="11" t="s">
        <v>42</v>
      </c>
      <c r="X516" s="11" t="s">
        <v>42</v>
      </c>
      <c r="Y516" s="25" t="s">
        <v>2650</v>
      </c>
      <c r="AC516" s="12" t="s">
        <v>122</v>
      </c>
      <c r="AD516" s="25">
        <v>40440</v>
      </c>
      <c r="AH516" s="25" t="s">
        <v>122</v>
      </c>
    </row>
    <row r="517" spans="1:34" ht="12.75" customHeight="1">
      <c r="A517" s="1">
        <v>515</v>
      </c>
      <c r="B517" s="14">
        <v>40219</v>
      </c>
      <c r="C517" s="15">
        <v>40211</v>
      </c>
      <c r="E517" s="8" t="s">
        <v>1509</v>
      </c>
      <c r="G517" s="11" t="s">
        <v>37</v>
      </c>
      <c r="H517" s="1">
        <v>33</v>
      </c>
      <c r="I517" s="11" t="s">
        <v>1510</v>
      </c>
      <c r="J517" s="8" t="s">
        <v>1511</v>
      </c>
      <c r="L517" s="11" t="s">
        <v>24</v>
      </c>
      <c r="M517" s="15">
        <v>40211</v>
      </c>
      <c r="N517" s="1">
        <v>2</v>
      </c>
      <c r="O517" s="11" t="s">
        <v>25</v>
      </c>
      <c r="P517" s="11" t="s">
        <v>26</v>
      </c>
      <c r="Q517" s="11" t="s">
        <v>407</v>
      </c>
      <c r="R517" s="11" t="s">
        <v>60</v>
      </c>
      <c r="S517" s="15">
        <f t="shared" ca="1" si="19"/>
        <v>40470.53652858796</v>
      </c>
      <c r="T517" s="8">
        <f t="shared" ca="1" si="18"/>
        <v>8</v>
      </c>
      <c r="U517" s="25" t="s">
        <v>28</v>
      </c>
      <c r="V517" s="25" t="s">
        <v>28</v>
      </c>
      <c r="W517" s="25" t="s">
        <v>2752</v>
      </c>
      <c r="X517" s="25" t="s">
        <v>56</v>
      </c>
      <c r="AC517" s="12" t="s">
        <v>67</v>
      </c>
      <c r="AD517" s="25">
        <v>40302</v>
      </c>
      <c r="AH517" s="11" t="s">
        <v>67</v>
      </c>
    </row>
    <row r="518" spans="1:34" ht="12.75" customHeight="1">
      <c r="A518" s="1">
        <v>516</v>
      </c>
      <c r="B518" s="14">
        <v>40219</v>
      </c>
      <c r="C518" s="15">
        <v>40211</v>
      </c>
      <c r="E518" s="8" t="s">
        <v>1512</v>
      </c>
      <c r="G518" s="11" t="s">
        <v>20</v>
      </c>
      <c r="H518" s="1">
        <v>68</v>
      </c>
      <c r="I518" s="11" t="s">
        <v>1513</v>
      </c>
      <c r="L518" s="11" t="s">
        <v>24</v>
      </c>
      <c r="M518" s="15">
        <v>40211</v>
      </c>
      <c r="N518" s="1">
        <v>1</v>
      </c>
      <c r="O518" s="11" t="s">
        <v>25</v>
      </c>
      <c r="P518" s="11" t="s">
        <v>26</v>
      </c>
      <c r="Q518" s="11" t="s">
        <v>27</v>
      </c>
      <c r="R518" s="25" t="s">
        <v>2752</v>
      </c>
      <c r="S518" s="15">
        <f t="shared" ca="1" si="19"/>
        <v>40470.53652858796</v>
      </c>
      <c r="T518" s="8">
        <f t="shared" ca="1" si="18"/>
        <v>8</v>
      </c>
      <c r="U518" s="25" t="s">
        <v>56</v>
      </c>
      <c r="V518" s="11" t="s">
        <v>42</v>
      </c>
      <c r="W518" s="11" t="s">
        <v>42</v>
      </c>
      <c r="X518" s="11" t="s">
        <v>42</v>
      </c>
      <c r="Y518" s="25" t="s">
        <v>2650</v>
      </c>
      <c r="AC518" s="12" t="s">
        <v>1416</v>
      </c>
      <c r="AH518" s="11" t="s">
        <v>1416</v>
      </c>
    </row>
    <row r="519" spans="1:34" ht="12.75" customHeight="1">
      <c r="A519" s="1">
        <v>517</v>
      </c>
      <c r="B519" s="14">
        <v>40219</v>
      </c>
      <c r="C519" s="15">
        <v>40212</v>
      </c>
      <c r="E519" s="8" t="s">
        <v>1514</v>
      </c>
      <c r="G519" s="11" t="s">
        <v>37</v>
      </c>
      <c r="H519" s="1">
        <v>15</v>
      </c>
      <c r="I519" s="11" t="s">
        <v>1515</v>
      </c>
      <c r="L519" s="11" t="s">
        <v>24</v>
      </c>
      <c r="M519" s="15">
        <v>40212</v>
      </c>
      <c r="N519" s="1">
        <v>1</v>
      </c>
      <c r="O519" s="11" t="s">
        <v>25</v>
      </c>
      <c r="P519" s="11" t="s">
        <v>26</v>
      </c>
      <c r="Q519" s="11" t="s">
        <v>27</v>
      </c>
      <c r="R519" s="11" t="s">
        <v>60</v>
      </c>
      <c r="S519" s="15">
        <f t="shared" ca="1" si="19"/>
        <v>40470.53652858796</v>
      </c>
      <c r="T519" s="8">
        <f t="shared" ca="1" si="18"/>
        <v>8</v>
      </c>
      <c r="U519" s="11" t="s">
        <v>56</v>
      </c>
      <c r="V519" s="11" t="s">
        <v>42</v>
      </c>
      <c r="W519" s="25" t="s">
        <v>56</v>
      </c>
      <c r="X519" s="25" t="s">
        <v>56</v>
      </c>
      <c r="Y519" s="25" t="s">
        <v>2650</v>
      </c>
      <c r="AC519" s="12" t="s">
        <v>61</v>
      </c>
      <c r="AD519" s="25">
        <v>40436</v>
      </c>
      <c r="AH519" s="25" t="s">
        <v>61</v>
      </c>
    </row>
    <row r="520" spans="1:34">
      <c r="A520" s="1">
        <v>518</v>
      </c>
      <c r="B520" s="14">
        <v>40219</v>
      </c>
      <c r="C520" s="15">
        <v>40212</v>
      </c>
      <c r="E520" s="8" t="s">
        <v>1516</v>
      </c>
      <c r="G520" s="11" t="s">
        <v>37</v>
      </c>
      <c r="H520" s="1">
        <v>24</v>
      </c>
      <c r="I520" s="11" t="s">
        <v>1517</v>
      </c>
      <c r="L520" s="11" t="s">
        <v>24</v>
      </c>
      <c r="M520" s="15">
        <v>40212</v>
      </c>
      <c r="N520" s="1">
        <v>1</v>
      </c>
      <c r="O520" s="11" t="s">
        <v>40</v>
      </c>
      <c r="P520" s="25" t="s">
        <v>2251</v>
      </c>
      <c r="Q520" s="11" t="s">
        <v>27</v>
      </c>
      <c r="R520" s="11" t="s">
        <v>56</v>
      </c>
      <c r="S520" s="15">
        <f t="shared" ca="1" si="19"/>
        <v>40470.53652858796</v>
      </c>
      <c r="T520" s="8">
        <f t="shared" ca="1" si="18"/>
        <v>8</v>
      </c>
      <c r="U520" s="11" t="s">
        <v>42</v>
      </c>
      <c r="V520" s="11" t="s">
        <v>42</v>
      </c>
      <c r="W520" s="11" t="s">
        <v>42</v>
      </c>
      <c r="X520" s="11" t="s">
        <v>42</v>
      </c>
      <c r="Y520" s="25" t="s">
        <v>2650</v>
      </c>
      <c r="AC520" s="12" t="s">
        <v>1416</v>
      </c>
      <c r="AH520" s="11" t="s">
        <v>1416</v>
      </c>
    </row>
    <row r="521" spans="1:34" ht="12.75" customHeight="1">
      <c r="A521" s="1">
        <v>519</v>
      </c>
      <c r="B521" s="14">
        <v>40219</v>
      </c>
      <c r="C521" s="15">
        <v>40212</v>
      </c>
      <c r="E521" s="8" t="s">
        <v>1518</v>
      </c>
      <c r="G521" s="11" t="s">
        <v>20</v>
      </c>
      <c r="H521" s="1">
        <v>26</v>
      </c>
      <c r="I521" s="11" t="s">
        <v>1519</v>
      </c>
      <c r="J521" s="8" t="s">
        <v>1520</v>
      </c>
      <c r="L521" s="11" t="s">
        <v>24</v>
      </c>
      <c r="M521" s="15">
        <v>40212</v>
      </c>
      <c r="N521" s="1">
        <v>1</v>
      </c>
      <c r="O521" s="11" t="s">
        <v>25</v>
      </c>
      <c r="P521" s="11" t="s">
        <v>26</v>
      </c>
      <c r="Q521" s="11" t="s">
        <v>27</v>
      </c>
      <c r="R521" s="11" t="s">
        <v>60</v>
      </c>
      <c r="S521" s="15">
        <f t="shared" ca="1" si="19"/>
        <v>40470.53652858796</v>
      </c>
      <c r="T521" s="8">
        <f t="shared" ca="1" si="18"/>
        <v>8</v>
      </c>
      <c r="U521" s="11" t="s">
        <v>28</v>
      </c>
      <c r="V521" s="25" t="s">
        <v>42</v>
      </c>
      <c r="W521" s="11" t="s">
        <v>56</v>
      </c>
      <c r="X521" s="11" t="s">
        <v>42</v>
      </c>
      <c r="Y521" s="25" t="s">
        <v>2650</v>
      </c>
      <c r="AC521" s="12" t="s">
        <v>1416</v>
      </c>
      <c r="AH521" s="11" t="s">
        <v>1416</v>
      </c>
    </row>
    <row r="522" spans="1:34" ht="12" customHeight="1">
      <c r="A522" s="1">
        <v>520</v>
      </c>
      <c r="B522" s="14">
        <v>40219</v>
      </c>
      <c r="C522" s="15">
        <v>40213</v>
      </c>
      <c r="E522" s="8" t="s">
        <v>1521</v>
      </c>
      <c r="G522" s="11" t="s">
        <v>37</v>
      </c>
      <c r="H522" s="1">
        <v>14</v>
      </c>
      <c r="I522" s="11" t="s">
        <v>1522</v>
      </c>
      <c r="J522" s="8" t="s">
        <v>1523</v>
      </c>
      <c r="L522" s="11" t="s">
        <v>24</v>
      </c>
      <c r="M522" s="15">
        <v>40213</v>
      </c>
      <c r="N522" s="1">
        <v>1</v>
      </c>
      <c r="O522" s="11" t="s">
        <v>25</v>
      </c>
      <c r="P522" s="11" t="s">
        <v>26</v>
      </c>
      <c r="Q522" s="11" t="s">
        <v>27</v>
      </c>
      <c r="R522" s="11" t="s">
        <v>60</v>
      </c>
      <c r="S522" s="15">
        <f t="shared" ca="1" si="19"/>
        <v>40470.53652858796</v>
      </c>
      <c r="T522" s="8">
        <f t="shared" ca="1" si="18"/>
        <v>8</v>
      </c>
      <c r="U522" s="11" t="s">
        <v>56</v>
      </c>
      <c r="V522" s="11" t="s">
        <v>42</v>
      </c>
      <c r="W522" s="25" t="s">
        <v>56</v>
      </c>
      <c r="X522" s="25" t="s">
        <v>56</v>
      </c>
      <c r="Y522" s="25" t="s">
        <v>2650</v>
      </c>
      <c r="AC522" s="12" t="s">
        <v>61</v>
      </c>
      <c r="AD522" s="25">
        <v>40464</v>
      </c>
      <c r="AH522" s="25" t="s">
        <v>61</v>
      </c>
    </row>
    <row r="523" spans="1:34">
      <c r="A523" s="1">
        <v>521</v>
      </c>
      <c r="B523" s="14">
        <v>40219</v>
      </c>
      <c r="C523" s="15">
        <v>40215</v>
      </c>
      <c r="E523" s="8" t="s">
        <v>1524</v>
      </c>
      <c r="G523" s="11" t="s">
        <v>20</v>
      </c>
      <c r="H523" s="1">
        <v>28</v>
      </c>
      <c r="I523" s="11" t="s">
        <v>1525</v>
      </c>
      <c r="J523" s="8" t="s">
        <v>1526</v>
      </c>
      <c r="L523" s="11" t="s">
        <v>24</v>
      </c>
      <c r="M523" s="15">
        <v>40215</v>
      </c>
      <c r="N523" s="1">
        <v>1</v>
      </c>
      <c r="O523" s="11" t="s">
        <v>40</v>
      </c>
      <c r="P523" s="11" t="s">
        <v>1527</v>
      </c>
      <c r="Q523" s="11" t="s">
        <v>27</v>
      </c>
      <c r="R523" s="25" t="s">
        <v>56</v>
      </c>
      <c r="S523" s="15">
        <f t="shared" ca="1" si="19"/>
        <v>40470.53652858796</v>
      </c>
      <c r="T523" s="8">
        <f t="shared" ca="1" si="18"/>
        <v>8</v>
      </c>
      <c r="U523" s="11" t="s">
        <v>42</v>
      </c>
      <c r="V523" s="11" t="s">
        <v>42</v>
      </c>
      <c r="W523" s="11" t="s">
        <v>42</v>
      </c>
      <c r="X523" s="11" t="s">
        <v>42</v>
      </c>
      <c r="Y523" s="25" t="s">
        <v>2650</v>
      </c>
      <c r="AC523" s="12" t="s">
        <v>44</v>
      </c>
      <c r="AD523" s="25">
        <v>40453</v>
      </c>
      <c r="AH523" s="11" t="s">
        <v>44</v>
      </c>
    </row>
    <row r="524" spans="1:34" ht="12.75" customHeight="1">
      <c r="A524" s="1">
        <v>522</v>
      </c>
      <c r="B524" s="14">
        <v>40219</v>
      </c>
      <c r="C524" s="15">
        <v>40217</v>
      </c>
      <c r="E524" s="8" t="s">
        <v>1528</v>
      </c>
      <c r="G524" s="11" t="s">
        <v>37</v>
      </c>
      <c r="H524" s="1">
        <v>18</v>
      </c>
      <c r="I524" s="11" t="s">
        <v>1749</v>
      </c>
      <c r="J524" s="8" t="s">
        <v>1750</v>
      </c>
      <c r="L524" s="11" t="s">
        <v>24</v>
      </c>
      <c r="M524" s="15">
        <v>40217</v>
      </c>
      <c r="N524" s="1">
        <v>1</v>
      </c>
      <c r="O524" s="11" t="s">
        <v>25</v>
      </c>
      <c r="P524" s="11" t="s">
        <v>26</v>
      </c>
      <c r="Q524" s="11" t="s">
        <v>27</v>
      </c>
      <c r="R524" s="11" t="s">
        <v>56</v>
      </c>
      <c r="S524" s="15">
        <f t="shared" ca="1" si="19"/>
        <v>40470.53652858796</v>
      </c>
      <c r="T524" s="8">
        <f t="shared" ca="1" si="18"/>
        <v>8</v>
      </c>
      <c r="U524" s="11" t="s">
        <v>56</v>
      </c>
      <c r="V524" s="11" t="s">
        <v>42</v>
      </c>
      <c r="W524" s="11" t="s">
        <v>42</v>
      </c>
      <c r="X524" s="11" t="s">
        <v>42</v>
      </c>
      <c r="Y524" s="25" t="s">
        <v>2650</v>
      </c>
      <c r="AC524" s="12" t="s">
        <v>1416</v>
      </c>
      <c r="AH524" s="11" t="s">
        <v>1416</v>
      </c>
    </row>
    <row r="525" spans="1:34" ht="12.75" customHeight="1">
      <c r="A525" s="1">
        <v>523</v>
      </c>
      <c r="B525" s="14">
        <v>40219</v>
      </c>
      <c r="C525" s="15">
        <v>40217</v>
      </c>
      <c r="E525" s="8" t="s">
        <v>1751</v>
      </c>
      <c r="G525" s="11" t="s">
        <v>37</v>
      </c>
      <c r="H525" s="1">
        <v>20</v>
      </c>
      <c r="I525" s="11" t="s">
        <v>1752</v>
      </c>
      <c r="L525" s="11" t="s">
        <v>24</v>
      </c>
      <c r="M525" s="15">
        <v>40217</v>
      </c>
      <c r="N525" s="1">
        <v>1</v>
      </c>
      <c r="O525" s="11" t="s">
        <v>25</v>
      </c>
      <c r="P525" s="11" t="s">
        <v>26</v>
      </c>
      <c r="Q525" s="11" t="s">
        <v>27</v>
      </c>
      <c r="R525" s="11" t="s">
        <v>42</v>
      </c>
      <c r="S525" s="15">
        <f t="shared" ca="1" si="19"/>
        <v>40470.53652858796</v>
      </c>
      <c r="T525" s="8">
        <f t="shared" ca="1" si="18"/>
        <v>8</v>
      </c>
      <c r="U525" s="11" t="s">
        <v>42</v>
      </c>
      <c r="V525" s="11" t="s">
        <v>42</v>
      </c>
      <c r="W525" s="11" t="s">
        <v>42</v>
      </c>
      <c r="X525" s="11" t="s">
        <v>42</v>
      </c>
      <c r="AC525" s="12" t="s">
        <v>122</v>
      </c>
      <c r="AD525" s="25">
        <v>40217</v>
      </c>
      <c r="AH525" s="11" t="s">
        <v>122</v>
      </c>
    </row>
    <row r="526" spans="1:34" ht="12.75" customHeight="1">
      <c r="A526" s="1">
        <v>524</v>
      </c>
      <c r="B526" s="14">
        <v>40219</v>
      </c>
      <c r="C526" s="15">
        <v>40217</v>
      </c>
      <c r="E526" s="8" t="s">
        <v>1753</v>
      </c>
      <c r="G526" s="11" t="s">
        <v>37</v>
      </c>
      <c r="H526" s="1">
        <v>40</v>
      </c>
      <c r="I526" s="11" t="s">
        <v>1754</v>
      </c>
      <c r="L526" s="11" t="s">
        <v>24</v>
      </c>
      <c r="M526" s="15">
        <v>40217</v>
      </c>
      <c r="N526" s="1">
        <v>1</v>
      </c>
      <c r="O526" s="11" t="s">
        <v>25</v>
      </c>
      <c r="P526" s="11" t="s">
        <v>26</v>
      </c>
      <c r="Q526" s="11" t="s">
        <v>27</v>
      </c>
      <c r="R526" s="11" t="s">
        <v>65</v>
      </c>
      <c r="S526" s="15">
        <f t="shared" ca="1" si="19"/>
        <v>40470.53652858796</v>
      </c>
      <c r="T526" s="8">
        <f t="shared" ref="T526:T589" ca="1" si="20">(YEAR(S526)-YEAR(M526))*12+MONTH(S526)-MONTH(M526)</f>
        <v>8</v>
      </c>
      <c r="U526" s="11" t="s">
        <v>56</v>
      </c>
      <c r="V526" s="25" t="s">
        <v>42</v>
      </c>
      <c r="W526" s="25" t="s">
        <v>56</v>
      </c>
      <c r="X526" s="25" t="s">
        <v>56</v>
      </c>
      <c r="Y526" s="25" t="s">
        <v>2650</v>
      </c>
      <c r="AC526" s="12" t="s">
        <v>61</v>
      </c>
      <c r="AD526" s="25">
        <v>40436</v>
      </c>
      <c r="AH526" s="25" t="s">
        <v>61</v>
      </c>
    </row>
    <row r="527" spans="1:34" ht="12.75" customHeight="1">
      <c r="A527" s="1">
        <v>525</v>
      </c>
      <c r="B527" s="14">
        <v>40219</v>
      </c>
      <c r="C527" s="15">
        <v>40217</v>
      </c>
      <c r="E527" s="8" t="s">
        <v>1755</v>
      </c>
      <c r="G527" s="11" t="s">
        <v>37</v>
      </c>
      <c r="H527" s="1">
        <v>40</v>
      </c>
      <c r="I527" s="11" t="s">
        <v>1756</v>
      </c>
      <c r="J527" s="8" t="s">
        <v>1757</v>
      </c>
      <c r="L527" s="11" t="s">
        <v>24</v>
      </c>
      <c r="M527" s="15">
        <v>40217</v>
      </c>
      <c r="N527" s="1">
        <v>1</v>
      </c>
      <c r="O527" s="11" t="s">
        <v>25</v>
      </c>
      <c r="P527" s="11" t="s">
        <v>26</v>
      </c>
      <c r="Q527" s="11" t="s">
        <v>27</v>
      </c>
      <c r="R527" s="11" t="s">
        <v>60</v>
      </c>
      <c r="S527" s="15">
        <f t="shared" ca="1" si="19"/>
        <v>40470.53652858796</v>
      </c>
      <c r="T527" s="8">
        <f t="shared" ca="1" si="20"/>
        <v>8</v>
      </c>
      <c r="U527" s="25" t="s">
        <v>2752</v>
      </c>
      <c r="V527" s="25" t="s">
        <v>56</v>
      </c>
      <c r="W527" s="25" t="s">
        <v>56</v>
      </c>
      <c r="X527" s="11" t="s">
        <v>42</v>
      </c>
      <c r="Y527" s="25" t="s">
        <v>2650</v>
      </c>
      <c r="AC527" s="12" t="s">
        <v>1416</v>
      </c>
      <c r="AH527" s="11" t="s">
        <v>1416</v>
      </c>
    </row>
    <row r="528" spans="1:34" ht="12.75" customHeight="1">
      <c r="A528" s="1">
        <v>526</v>
      </c>
      <c r="B528" s="14">
        <v>40219</v>
      </c>
      <c r="C528" s="15">
        <v>40218</v>
      </c>
      <c r="E528" s="8" t="s">
        <v>1758</v>
      </c>
      <c r="G528" s="11" t="s">
        <v>37</v>
      </c>
      <c r="H528" s="1">
        <v>20</v>
      </c>
      <c r="I528" s="11" t="s">
        <v>1759</v>
      </c>
      <c r="J528" s="8" t="s">
        <v>1760</v>
      </c>
      <c r="L528" s="11" t="s">
        <v>24</v>
      </c>
      <c r="M528" s="15">
        <v>40218</v>
      </c>
      <c r="N528" s="1">
        <v>1</v>
      </c>
      <c r="O528" s="11" t="s">
        <v>25</v>
      </c>
      <c r="P528" s="11" t="s">
        <v>26</v>
      </c>
      <c r="Q528" s="11" t="s">
        <v>27</v>
      </c>
      <c r="R528" s="11" t="s">
        <v>56</v>
      </c>
      <c r="S528" s="15">
        <f t="shared" ca="1" si="19"/>
        <v>40470.53652858796</v>
      </c>
      <c r="T528" s="8">
        <f t="shared" ca="1" si="20"/>
        <v>8</v>
      </c>
      <c r="U528" s="11" t="s">
        <v>42</v>
      </c>
      <c r="V528" s="11" t="s">
        <v>42</v>
      </c>
      <c r="W528" s="11" t="s">
        <v>42</v>
      </c>
      <c r="X528" s="11" t="s">
        <v>42</v>
      </c>
      <c r="Y528" s="25" t="s">
        <v>2650</v>
      </c>
      <c r="AC528" s="12" t="s">
        <v>1416</v>
      </c>
      <c r="AH528" s="11" t="s">
        <v>1416</v>
      </c>
    </row>
    <row r="529" spans="1:34" ht="12.75" customHeight="1">
      <c r="A529" s="1">
        <v>527</v>
      </c>
      <c r="B529" s="14">
        <v>40219</v>
      </c>
      <c r="C529" s="15">
        <v>40218</v>
      </c>
      <c r="E529" s="8" t="s">
        <v>1761</v>
      </c>
      <c r="G529" s="11" t="s">
        <v>20</v>
      </c>
      <c r="H529" s="1">
        <v>16</v>
      </c>
      <c r="I529" s="11" t="s">
        <v>1762</v>
      </c>
      <c r="J529" s="8" t="s">
        <v>1763</v>
      </c>
      <c r="L529" s="11" t="s">
        <v>24</v>
      </c>
      <c r="M529" s="15">
        <v>40218</v>
      </c>
      <c r="N529" s="1">
        <v>1</v>
      </c>
      <c r="O529" s="11" t="s">
        <v>25</v>
      </c>
      <c r="P529" s="11" t="s">
        <v>26</v>
      </c>
      <c r="Q529" s="11" t="s">
        <v>27</v>
      </c>
      <c r="R529" s="11" t="s">
        <v>56</v>
      </c>
      <c r="S529" s="15">
        <f t="shared" ca="1" si="19"/>
        <v>40470.53652858796</v>
      </c>
      <c r="T529" s="8">
        <f t="shared" ca="1" si="20"/>
        <v>8</v>
      </c>
      <c r="U529" s="11" t="s">
        <v>42</v>
      </c>
      <c r="V529" s="11" t="s">
        <v>42</v>
      </c>
      <c r="W529" s="11" t="s">
        <v>42</v>
      </c>
      <c r="X529" s="11" t="s">
        <v>42</v>
      </c>
      <c r="Y529" s="25" t="s">
        <v>2650</v>
      </c>
      <c r="AC529" s="12" t="s">
        <v>1416</v>
      </c>
      <c r="AH529" s="11" t="s">
        <v>1416</v>
      </c>
    </row>
    <row r="530" spans="1:34" ht="12.75" customHeight="1">
      <c r="A530" s="1">
        <v>528</v>
      </c>
      <c r="B530" s="14">
        <v>40219</v>
      </c>
      <c r="C530" s="15">
        <v>40219</v>
      </c>
      <c r="E530" s="8" t="s">
        <v>1764</v>
      </c>
      <c r="G530" s="11" t="s">
        <v>37</v>
      </c>
      <c r="H530" s="1">
        <v>13</v>
      </c>
      <c r="I530" s="11" t="s">
        <v>1765</v>
      </c>
      <c r="J530" s="8" t="s">
        <v>1766</v>
      </c>
      <c r="L530" s="11" t="s">
        <v>24</v>
      </c>
      <c r="M530" s="15">
        <v>40219</v>
      </c>
      <c r="N530" s="1">
        <v>1</v>
      </c>
      <c r="O530" s="11" t="s">
        <v>25</v>
      </c>
      <c r="P530" s="11" t="s">
        <v>26</v>
      </c>
      <c r="Q530" s="11" t="s">
        <v>27</v>
      </c>
      <c r="R530" s="11" t="s">
        <v>56</v>
      </c>
      <c r="S530" s="15">
        <f t="shared" ca="1" si="19"/>
        <v>40470.53652858796</v>
      </c>
      <c r="T530" s="8">
        <f t="shared" ca="1" si="20"/>
        <v>8</v>
      </c>
      <c r="U530" s="11" t="s">
        <v>42</v>
      </c>
      <c r="V530" s="11" t="s">
        <v>42</v>
      </c>
      <c r="W530" s="11" t="s">
        <v>42</v>
      </c>
      <c r="X530" s="11" t="s">
        <v>42</v>
      </c>
      <c r="AC530" s="12" t="s">
        <v>2532</v>
      </c>
      <c r="AD530" s="25">
        <v>40261</v>
      </c>
      <c r="AH530" s="11" t="s">
        <v>35</v>
      </c>
    </row>
    <row r="531" spans="1:34">
      <c r="A531" s="1">
        <v>529</v>
      </c>
      <c r="B531" s="14">
        <v>40219</v>
      </c>
      <c r="C531" s="15">
        <v>40220</v>
      </c>
      <c r="E531" s="8" t="s">
        <v>1767</v>
      </c>
      <c r="G531" s="11" t="s">
        <v>37</v>
      </c>
      <c r="H531" s="1">
        <v>40</v>
      </c>
      <c r="I531" s="11" t="s">
        <v>1768</v>
      </c>
      <c r="J531" s="8" t="s">
        <v>1769</v>
      </c>
      <c r="L531" s="11" t="s">
        <v>24</v>
      </c>
      <c r="M531" s="15">
        <v>40220</v>
      </c>
      <c r="N531" s="1">
        <v>2</v>
      </c>
      <c r="O531" s="11" t="s">
        <v>40</v>
      </c>
      <c r="P531" s="25" t="s">
        <v>315</v>
      </c>
      <c r="Q531" s="11" t="s">
        <v>49</v>
      </c>
      <c r="R531" s="25" t="s">
        <v>56</v>
      </c>
      <c r="S531" s="15">
        <f t="shared" ca="1" si="19"/>
        <v>40470.53652858796</v>
      </c>
      <c r="T531" s="8">
        <f t="shared" ca="1" si="20"/>
        <v>8</v>
      </c>
      <c r="U531" s="11" t="s">
        <v>42</v>
      </c>
      <c r="V531" s="11" t="s">
        <v>42</v>
      </c>
      <c r="W531" s="11" t="s">
        <v>42</v>
      </c>
      <c r="X531" s="11" t="s">
        <v>42</v>
      </c>
      <c r="Y531" s="25" t="s">
        <v>2650</v>
      </c>
      <c r="AC531" s="12" t="s">
        <v>1416</v>
      </c>
      <c r="AH531" s="11" t="s">
        <v>1416</v>
      </c>
    </row>
    <row r="532" spans="1:34" ht="12.75" customHeight="1">
      <c r="A532" s="1">
        <v>530</v>
      </c>
      <c r="B532" s="14">
        <v>40219</v>
      </c>
      <c r="C532" s="15">
        <v>40219</v>
      </c>
      <c r="E532" s="8" t="s">
        <v>1770</v>
      </c>
      <c r="G532" s="11" t="s">
        <v>20</v>
      </c>
      <c r="H532" s="1">
        <v>70</v>
      </c>
      <c r="I532" s="11" t="s">
        <v>1771</v>
      </c>
      <c r="J532" s="8" t="s">
        <v>1772</v>
      </c>
      <c r="L532" s="11" t="s">
        <v>24</v>
      </c>
      <c r="M532" s="15">
        <v>40219</v>
      </c>
      <c r="N532" s="1">
        <v>1</v>
      </c>
      <c r="O532" s="11" t="s">
        <v>25</v>
      </c>
      <c r="P532" s="11" t="s">
        <v>26</v>
      </c>
      <c r="Q532" s="11" t="s">
        <v>27</v>
      </c>
      <c r="R532" s="11" t="s">
        <v>60</v>
      </c>
      <c r="S532" s="15">
        <f t="shared" ca="1" si="19"/>
        <v>40470.53652858796</v>
      </c>
      <c r="T532" s="8">
        <f t="shared" ca="1" si="20"/>
        <v>8</v>
      </c>
      <c r="U532" s="11" t="s">
        <v>42</v>
      </c>
      <c r="V532" s="11" t="s">
        <v>42</v>
      </c>
      <c r="W532" s="11" t="s">
        <v>42</v>
      </c>
      <c r="X532" s="11" t="s">
        <v>42</v>
      </c>
      <c r="Y532" s="25"/>
      <c r="AC532" s="12" t="s">
        <v>2289</v>
      </c>
      <c r="AD532" s="25">
        <v>40254</v>
      </c>
      <c r="AH532" s="25" t="s">
        <v>2289</v>
      </c>
    </row>
    <row r="533" spans="1:34" ht="12.75" customHeight="1">
      <c r="A533" s="1">
        <v>531</v>
      </c>
      <c r="B533" s="14">
        <v>40219</v>
      </c>
      <c r="C533" s="15">
        <v>40220</v>
      </c>
      <c r="E533" s="8" t="s">
        <v>1773</v>
      </c>
      <c r="G533" s="11" t="s">
        <v>20</v>
      </c>
      <c r="H533" s="1">
        <v>40</v>
      </c>
      <c r="I533" s="11" t="s">
        <v>1594</v>
      </c>
      <c r="J533" s="8" t="s">
        <v>1595</v>
      </c>
      <c r="L533" s="11" t="s">
        <v>24</v>
      </c>
      <c r="M533" s="15">
        <v>40220</v>
      </c>
      <c r="N533" s="1">
        <v>1</v>
      </c>
      <c r="O533" s="11" t="s">
        <v>25</v>
      </c>
      <c r="P533" s="11" t="s">
        <v>26</v>
      </c>
      <c r="Q533" s="11" t="s">
        <v>27</v>
      </c>
      <c r="R533" s="11" t="s">
        <v>65</v>
      </c>
      <c r="S533" s="15">
        <f t="shared" ca="1" si="19"/>
        <v>40470.53652858796</v>
      </c>
      <c r="T533" s="8">
        <f t="shared" ca="1" si="20"/>
        <v>8</v>
      </c>
      <c r="U533" s="25" t="s">
        <v>56</v>
      </c>
      <c r="V533" s="25" t="s">
        <v>42</v>
      </c>
      <c r="W533" s="11" t="s">
        <v>42</v>
      </c>
      <c r="X533" s="11" t="s">
        <v>42</v>
      </c>
      <c r="Y533" s="25" t="s">
        <v>2650</v>
      </c>
      <c r="AC533" s="12" t="s">
        <v>1416</v>
      </c>
      <c r="AH533" s="11" t="s">
        <v>1416</v>
      </c>
    </row>
    <row r="534" spans="1:34" ht="12.75" customHeight="1">
      <c r="A534" s="1">
        <v>532</v>
      </c>
      <c r="B534" s="14">
        <v>40219</v>
      </c>
      <c r="C534" s="15">
        <v>40220</v>
      </c>
      <c r="E534" s="8" t="s">
        <v>1596</v>
      </c>
      <c r="G534" s="11" t="s">
        <v>37</v>
      </c>
      <c r="H534" s="1">
        <v>14</v>
      </c>
      <c r="I534" s="11" t="s">
        <v>1597</v>
      </c>
      <c r="L534" s="11" t="s">
        <v>24</v>
      </c>
      <c r="M534" s="15">
        <v>40220</v>
      </c>
      <c r="N534" s="1">
        <v>1</v>
      </c>
      <c r="O534" s="11" t="s">
        <v>25</v>
      </c>
      <c r="P534" s="11" t="s">
        <v>26</v>
      </c>
      <c r="Q534" s="11" t="s">
        <v>27</v>
      </c>
      <c r="R534" s="11" t="s">
        <v>28</v>
      </c>
      <c r="S534" s="15">
        <f t="shared" ca="1" si="19"/>
        <v>40470.53652858796</v>
      </c>
      <c r="T534" s="8">
        <f t="shared" ca="1" si="20"/>
        <v>8</v>
      </c>
      <c r="U534" s="11" t="s">
        <v>56</v>
      </c>
      <c r="V534" s="11" t="s">
        <v>42</v>
      </c>
      <c r="W534" s="11" t="s">
        <v>42</v>
      </c>
      <c r="X534" s="11" t="s">
        <v>42</v>
      </c>
      <c r="Y534" s="25" t="s">
        <v>2650</v>
      </c>
      <c r="AC534" s="12" t="s">
        <v>1416</v>
      </c>
      <c r="AH534" s="11" t="s">
        <v>1416</v>
      </c>
    </row>
    <row r="535" spans="1:34">
      <c r="A535" s="1">
        <v>533</v>
      </c>
      <c r="B535" s="14">
        <v>40219</v>
      </c>
      <c r="C535" s="15">
        <v>40221</v>
      </c>
      <c r="E535" s="8" t="s">
        <v>1598</v>
      </c>
      <c r="G535" s="11" t="s">
        <v>37</v>
      </c>
      <c r="H535" s="1">
        <v>45</v>
      </c>
      <c r="I535" s="11" t="s">
        <v>1599</v>
      </c>
      <c r="J535" s="8" t="s">
        <v>1600</v>
      </c>
      <c r="L535" s="11" t="s">
        <v>24</v>
      </c>
      <c r="M535" s="15">
        <v>40221</v>
      </c>
      <c r="N535" s="1">
        <v>1</v>
      </c>
      <c r="O535" s="11" t="s">
        <v>40</v>
      </c>
      <c r="P535" s="11" t="s">
        <v>1527</v>
      </c>
      <c r="Q535" s="11" t="s">
        <v>27</v>
      </c>
      <c r="R535" s="25" t="s">
        <v>2731</v>
      </c>
      <c r="S535" s="15">
        <f t="shared" ca="1" si="19"/>
        <v>40470.53652858796</v>
      </c>
      <c r="T535" s="8">
        <f t="shared" ca="1" si="20"/>
        <v>8</v>
      </c>
      <c r="U535" s="11" t="s">
        <v>42</v>
      </c>
      <c r="V535" s="11" t="s">
        <v>42</v>
      </c>
      <c r="W535" s="11" t="s">
        <v>42</v>
      </c>
      <c r="X535" s="11" t="s">
        <v>42</v>
      </c>
      <c r="Y535" s="25" t="s">
        <v>2650</v>
      </c>
      <c r="AC535" s="12" t="s">
        <v>44</v>
      </c>
      <c r="AD535" s="25">
        <v>40463</v>
      </c>
      <c r="AH535" s="11" t="s">
        <v>44</v>
      </c>
    </row>
    <row r="536" spans="1:34" ht="12.75" customHeight="1">
      <c r="A536" s="1">
        <v>534</v>
      </c>
      <c r="B536" s="14">
        <v>40219</v>
      </c>
      <c r="C536" s="15">
        <v>40224</v>
      </c>
      <c r="E536" s="8" t="s">
        <v>1601</v>
      </c>
      <c r="G536" s="11" t="s">
        <v>20</v>
      </c>
      <c r="H536" s="1">
        <v>27</v>
      </c>
      <c r="I536" s="11" t="s">
        <v>1602</v>
      </c>
      <c r="L536" s="11" t="s">
        <v>24</v>
      </c>
      <c r="M536" s="15">
        <v>40224</v>
      </c>
      <c r="N536" s="1">
        <v>2</v>
      </c>
      <c r="O536" s="11" t="s">
        <v>25</v>
      </c>
      <c r="Q536" s="11" t="s">
        <v>27</v>
      </c>
      <c r="R536" s="11" t="s">
        <v>28</v>
      </c>
      <c r="S536" s="15">
        <f t="shared" ca="1" si="19"/>
        <v>40470.53652858796</v>
      </c>
      <c r="T536" s="8">
        <f t="shared" ca="1" si="20"/>
        <v>8</v>
      </c>
      <c r="U536" s="11" t="s">
        <v>28</v>
      </c>
      <c r="V536" s="11" t="s">
        <v>56</v>
      </c>
      <c r="W536" s="11" t="s">
        <v>42</v>
      </c>
      <c r="X536" s="11" t="s">
        <v>42</v>
      </c>
      <c r="Y536" s="25" t="s">
        <v>2650</v>
      </c>
      <c r="AC536" s="12" t="s">
        <v>1416</v>
      </c>
      <c r="AH536" s="11" t="s">
        <v>1416</v>
      </c>
    </row>
    <row r="537" spans="1:34">
      <c r="A537" s="1">
        <v>535</v>
      </c>
      <c r="B537" s="14">
        <v>40219</v>
      </c>
      <c r="C537" s="15">
        <v>40225</v>
      </c>
      <c r="E537" s="8" t="s">
        <v>1603</v>
      </c>
      <c r="G537" s="11" t="s">
        <v>37</v>
      </c>
      <c r="H537" s="1">
        <v>30</v>
      </c>
      <c r="I537" s="11" t="s">
        <v>1604</v>
      </c>
      <c r="J537" s="8" t="s">
        <v>1605</v>
      </c>
      <c r="L537" s="11" t="s">
        <v>24</v>
      </c>
      <c r="M537" s="15">
        <v>40225</v>
      </c>
      <c r="N537" s="1">
        <v>1</v>
      </c>
      <c r="O537" s="11" t="s">
        <v>40</v>
      </c>
      <c r="Q537" s="11" t="s">
        <v>1606</v>
      </c>
      <c r="R537" s="11" t="s">
        <v>42</v>
      </c>
      <c r="S537" s="15">
        <f t="shared" ca="1" si="19"/>
        <v>40470.53652858796</v>
      </c>
      <c r="T537" s="8">
        <f t="shared" ca="1" si="20"/>
        <v>8</v>
      </c>
      <c r="U537" s="11" t="s">
        <v>42</v>
      </c>
      <c r="V537" s="11" t="s">
        <v>42</v>
      </c>
      <c r="W537" s="11" t="s">
        <v>42</v>
      </c>
      <c r="X537" s="11" t="s">
        <v>42</v>
      </c>
      <c r="AC537" s="12" t="s">
        <v>785</v>
      </c>
      <c r="AD537" s="25">
        <v>40225</v>
      </c>
      <c r="AH537" s="11" t="s">
        <v>122</v>
      </c>
    </row>
    <row r="538" spans="1:34">
      <c r="A538" s="1">
        <v>536</v>
      </c>
      <c r="B538" s="14">
        <v>40219</v>
      </c>
      <c r="C538" s="15">
        <v>40225</v>
      </c>
      <c r="E538" s="8" t="s">
        <v>1607</v>
      </c>
      <c r="G538" s="11" t="s">
        <v>37</v>
      </c>
      <c r="H538" s="1">
        <v>18</v>
      </c>
      <c r="I538" s="11" t="s">
        <v>1608</v>
      </c>
      <c r="L538" s="11" t="s">
        <v>24</v>
      </c>
      <c r="M538" s="15">
        <v>40225</v>
      </c>
      <c r="N538" s="1">
        <v>1</v>
      </c>
      <c r="O538" s="11" t="s">
        <v>40</v>
      </c>
      <c r="P538" s="25" t="s">
        <v>2096</v>
      </c>
      <c r="Q538" s="11" t="s">
        <v>27</v>
      </c>
      <c r="R538" s="25" t="s">
        <v>2729</v>
      </c>
      <c r="S538" s="15">
        <f t="shared" ca="1" si="19"/>
        <v>40470.53652858796</v>
      </c>
      <c r="T538" s="8">
        <f t="shared" ca="1" si="20"/>
        <v>8</v>
      </c>
      <c r="U538" s="11" t="s">
        <v>42</v>
      </c>
      <c r="V538" s="11" t="s">
        <v>42</v>
      </c>
      <c r="W538" s="11" t="s">
        <v>42</v>
      </c>
      <c r="X538" s="11" t="s">
        <v>42</v>
      </c>
      <c r="Y538" s="25" t="s">
        <v>2650</v>
      </c>
      <c r="AC538" s="12" t="s">
        <v>1416</v>
      </c>
      <c r="AH538" s="11" t="s">
        <v>1416</v>
      </c>
    </row>
    <row r="539" spans="1:34">
      <c r="A539" s="1">
        <v>537</v>
      </c>
      <c r="B539" s="14">
        <v>40219</v>
      </c>
      <c r="C539" s="15">
        <v>40225</v>
      </c>
      <c r="E539" s="8" t="s">
        <v>1609</v>
      </c>
      <c r="G539" s="11" t="s">
        <v>37</v>
      </c>
      <c r="H539" s="1">
        <v>15</v>
      </c>
      <c r="I539" s="11" t="s">
        <v>1295</v>
      </c>
      <c r="J539" s="8" t="s">
        <v>1610</v>
      </c>
      <c r="L539" s="11" t="s">
        <v>24</v>
      </c>
      <c r="M539" s="15">
        <v>40225</v>
      </c>
      <c r="N539" s="1">
        <v>1</v>
      </c>
      <c r="O539" s="11" t="s">
        <v>40</v>
      </c>
      <c r="P539" s="25" t="s">
        <v>2096</v>
      </c>
      <c r="Q539" s="11" t="s">
        <v>27</v>
      </c>
      <c r="R539" s="25" t="s">
        <v>56</v>
      </c>
      <c r="S539" s="15">
        <f t="shared" ca="1" si="19"/>
        <v>40470.53652858796</v>
      </c>
      <c r="T539" s="8">
        <f t="shared" ca="1" si="20"/>
        <v>8</v>
      </c>
      <c r="U539" s="11" t="s">
        <v>42</v>
      </c>
      <c r="V539" s="11" t="s">
        <v>42</v>
      </c>
      <c r="W539" s="11" t="s">
        <v>42</v>
      </c>
      <c r="X539" s="11" t="s">
        <v>42</v>
      </c>
      <c r="Y539" s="25"/>
      <c r="AC539" s="12" t="s">
        <v>158</v>
      </c>
      <c r="AD539" s="25">
        <v>40301</v>
      </c>
      <c r="AH539" s="11" t="s">
        <v>158</v>
      </c>
    </row>
    <row r="540" spans="1:34" ht="12.75" customHeight="1">
      <c r="A540" s="1">
        <v>538</v>
      </c>
      <c r="B540" s="14">
        <v>40219</v>
      </c>
      <c r="C540" s="15">
        <v>40226</v>
      </c>
      <c r="E540" s="8" t="s">
        <v>1611</v>
      </c>
      <c r="G540" s="11" t="s">
        <v>37</v>
      </c>
      <c r="H540" s="1">
        <v>25</v>
      </c>
      <c r="I540" s="11" t="s">
        <v>1612</v>
      </c>
      <c r="J540" s="8" t="s">
        <v>1613</v>
      </c>
      <c r="L540" s="11" t="s">
        <v>24</v>
      </c>
      <c r="M540" s="15">
        <v>40226</v>
      </c>
      <c r="N540" s="1">
        <v>1</v>
      </c>
      <c r="O540" s="11" t="s">
        <v>25</v>
      </c>
      <c r="Q540" s="11" t="s">
        <v>27</v>
      </c>
      <c r="R540" s="11" t="s">
        <v>60</v>
      </c>
      <c r="S540" s="15">
        <f t="shared" ca="1" si="19"/>
        <v>40470.53652858796</v>
      </c>
      <c r="T540" s="8">
        <f t="shared" ca="1" si="20"/>
        <v>8</v>
      </c>
      <c r="U540" s="11" t="s">
        <v>42</v>
      </c>
      <c r="V540" s="11" t="s">
        <v>42</v>
      </c>
      <c r="W540" s="11" t="s">
        <v>42</v>
      </c>
      <c r="X540" s="11" t="s">
        <v>42</v>
      </c>
      <c r="AC540" s="12" t="s">
        <v>1614</v>
      </c>
      <c r="AD540" s="25">
        <v>40241</v>
      </c>
      <c r="AH540" s="11" t="s">
        <v>35</v>
      </c>
    </row>
    <row r="541" spans="1:34" ht="12.75" customHeight="1">
      <c r="A541" s="1">
        <v>539</v>
      </c>
      <c r="B541" s="14">
        <v>40219</v>
      </c>
      <c r="C541" s="15">
        <v>40226</v>
      </c>
      <c r="E541" s="8" t="s">
        <v>1615</v>
      </c>
      <c r="G541" s="11" t="s">
        <v>37</v>
      </c>
      <c r="H541" s="1">
        <v>60</v>
      </c>
      <c r="I541" s="11" t="s">
        <v>1616</v>
      </c>
      <c r="J541" s="8" t="s">
        <v>1617</v>
      </c>
      <c r="L541" s="11" t="s">
        <v>24</v>
      </c>
      <c r="M541" s="15">
        <v>40226</v>
      </c>
      <c r="N541" s="1">
        <v>1</v>
      </c>
      <c r="O541" s="11" t="s">
        <v>25</v>
      </c>
      <c r="Q541" s="11" t="s">
        <v>27</v>
      </c>
      <c r="R541" s="11" t="s">
        <v>60</v>
      </c>
      <c r="S541" s="15">
        <f t="shared" ca="1" si="19"/>
        <v>40470.53652858796</v>
      </c>
      <c r="T541" s="8">
        <f t="shared" ca="1" si="20"/>
        <v>8</v>
      </c>
      <c r="U541" s="11" t="s">
        <v>28</v>
      </c>
      <c r="V541" s="11" t="s">
        <v>42</v>
      </c>
      <c r="W541" s="11" t="s">
        <v>28</v>
      </c>
      <c r="X541" s="25" t="s">
        <v>56</v>
      </c>
      <c r="AC541" s="12" t="s">
        <v>122</v>
      </c>
      <c r="AD541" s="25">
        <v>40331</v>
      </c>
      <c r="AH541" s="25" t="s">
        <v>122</v>
      </c>
    </row>
    <row r="542" spans="1:34">
      <c r="A542" s="1">
        <v>540</v>
      </c>
      <c r="B542" s="14">
        <v>40219</v>
      </c>
      <c r="C542" s="15">
        <v>40227</v>
      </c>
      <c r="E542" s="8" t="s">
        <v>1618</v>
      </c>
      <c r="G542" s="11" t="s">
        <v>37</v>
      </c>
      <c r="H542" s="1">
        <v>18</v>
      </c>
      <c r="I542" s="11" t="s">
        <v>1619</v>
      </c>
      <c r="J542" s="8" t="s">
        <v>1620</v>
      </c>
      <c r="L542" s="11" t="s">
        <v>24</v>
      </c>
      <c r="M542" s="15">
        <v>40227</v>
      </c>
      <c r="N542" s="1">
        <v>1</v>
      </c>
      <c r="O542" s="11" t="s">
        <v>40</v>
      </c>
      <c r="P542" s="11" t="s">
        <v>431</v>
      </c>
      <c r="Q542" s="11" t="s">
        <v>27</v>
      </c>
      <c r="R542" s="25" t="s">
        <v>42</v>
      </c>
      <c r="S542" s="15">
        <f t="shared" ca="1" si="19"/>
        <v>40470.53652858796</v>
      </c>
      <c r="T542" s="8">
        <f t="shared" ca="1" si="20"/>
        <v>8</v>
      </c>
      <c r="U542" s="11" t="s">
        <v>42</v>
      </c>
      <c r="V542" s="11" t="s">
        <v>42</v>
      </c>
      <c r="W542" s="11" t="s">
        <v>42</v>
      </c>
      <c r="X542" s="11" t="s">
        <v>42</v>
      </c>
      <c r="AC542" s="12" t="s">
        <v>785</v>
      </c>
      <c r="AD542" s="25">
        <v>40262</v>
      </c>
      <c r="AH542" s="11" t="s">
        <v>122</v>
      </c>
    </row>
    <row r="543" spans="1:34">
      <c r="A543" s="1">
        <v>541</v>
      </c>
      <c r="B543" s="14">
        <v>40220</v>
      </c>
      <c r="C543" s="15">
        <v>40227</v>
      </c>
      <c r="E543" s="8" t="s">
        <v>1621</v>
      </c>
      <c r="G543" s="11" t="s">
        <v>37</v>
      </c>
      <c r="H543" s="1">
        <v>27</v>
      </c>
      <c r="I543" s="11" t="s">
        <v>1622</v>
      </c>
      <c r="J543" s="8" t="s">
        <v>1623</v>
      </c>
      <c r="L543" s="11" t="s">
        <v>24</v>
      </c>
      <c r="M543" s="15">
        <v>40227</v>
      </c>
      <c r="N543" s="1">
        <v>1</v>
      </c>
      <c r="O543" s="11" t="s">
        <v>40</v>
      </c>
      <c r="P543" s="11" t="s">
        <v>1585</v>
      </c>
      <c r="Q543" s="11" t="s">
        <v>27</v>
      </c>
      <c r="R543" s="25" t="s">
        <v>56</v>
      </c>
      <c r="S543" s="15">
        <f t="shared" ca="1" si="19"/>
        <v>40470.53652858796</v>
      </c>
      <c r="T543" s="8">
        <f t="shared" ca="1" si="20"/>
        <v>8</v>
      </c>
      <c r="U543" s="11" t="s">
        <v>42</v>
      </c>
      <c r="V543" s="11" t="s">
        <v>42</v>
      </c>
      <c r="W543" s="11" t="s">
        <v>42</v>
      </c>
      <c r="X543" s="11" t="s">
        <v>42</v>
      </c>
      <c r="Y543" s="25" t="s">
        <v>2650</v>
      </c>
      <c r="AC543" s="12" t="s">
        <v>1416</v>
      </c>
      <c r="AH543" s="11" t="s">
        <v>1416</v>
      </c>
    </row>
    <row r="544" spans="1:34">
      <c r="A544" s="1">
        <v>542</v>
      </c>
      <c r="B544" s="14">
        <v>40221</v>
      </c>
      <c r="C544" s="15">
        <v>40231</v>
      </c>
      <c r="E544" s="8" t="s">
        <v>1624</v>
      </c>
      <c r="G544" s="11" t="s">
        <v>37</v>
      </c>
      <c r="H544" s="1">
        <v>40</v>
      </c>
      <c r="I544" s="11" t="s">
        <v>1625</v>
      </c>
      <c r="J544" s="8" t="s">
        <v>1626</v>
      </c>
      <c r="L544" s="11" t="s">
        <v>24</v>
      </c>
      <c r="M544" s="15">
        <v>40231</v>
      </c>
      <c r="N544" s="1">
        <v>1</v>
      </c>
      <c r="O544" s="11" t="s">
        <v>40</v>
      </c>
      <c r="P544" s="11" t="s">
        <v>1627</v>
      </c>
      <c r="Q544" s="11" t="s">
        <v>27</v>
      </c>
      <c r="R544" s="11" t="s">
        <v>42</v>
      </c>
      <c r="S544" s="15">
        <f t="shared" ca="1" si="19"/>
        <v>40470.53652858796</v>
      </c>
      <c r="T544" s="8">
        <f t="shared" ca="1" si="20"/>
        <v>8</v>
      </c>
      <c r="U544" s="11" t="s">
        <v>42</v>
      </c>
      <c r="V544" s="11" t="s">
        <v>42</v>
      </c>
      <c r="W544" s="11" t="s">
        <v>42</v>
      </c>
      <c r="X544" s="11" t="s">
        <v>42</v>
      </c>
      <c r="Y544" s="25" t="s">
        <v>2650</v>
      </c>
      <c r="AC544" s="12" t="s">
        <v>1416</v>
      </c>
      <c r="AH544" s="11" t="s">
        <v>1416</v>
      </c>
    </row>
    <row r="545" spans="1:34">
      <c r="A545" s="1">
        <v>543</v>
      </c>
      <c r="B545" s="14">
        <v>40222</v>
      </c>
      <c r="C545" s="15">
        <v>40232</v>
      </c>
      <c r="E545" s="8" t="s">
        <v>1628</v>
      </c>
      <c r="G545" s="11" t="s">
        <v>20</v>
      </c>
      <c r="H545" s="1">
        <v>25</v>
      </c>
      <c r="I545" s="11" t="s">
        <v>1629</v>
      </c>
      <c r="L545" s="11" t="s">
        <v>24</v>
      </c>
      <c r="M545" s="15">
        <v>40232</v>
      </c>
      <c r="N545" s="1">
        <v>1</v>
      </c>
      <c r="O545" s="11" t="s">
        <v>40</v>
      </c>
      <c r="P545" s="11" t="s">
        <v>213</v>
      </c>
      <c r="Q545" s="11" t="s">
        <v>27</v>
      </c>
      <c r="R545" s="25" t="s">
        <v>56</v>
      </c>
      <c r="S545" s="15">
        <f t="shared" ca="1" si="19"/>
        <v>40470.53652858796</v>
      </c>
      <c r="T545" s="8">
        <f t="shared" ca="1" si="20"/>
        <v>8</v>
      </c>
      <c r="U545" s="11" t="s">
        <v>42</v>
      </c>
      <c r="V545" s="11" t="s">
        <v>42</v>
      </c>
      <c r="W545" s="11" t="s">
        <v>42</v>
      </c>
      <c r="X545" s="11" t="s">
        <v>42</v>
      </c>
      <c r="Y545" s="25" t="s">
        <v>2650</v>
      </c>
      <c r="AC545" s="12" t="s">
        <v>1416</v>
      </c>
      <c r="AH545" s="11" t="s">
        <v>1416</v>
      </c>
    </row>
    <row r="546" spans="1:34" ht="12.75" customHeight="1">
      <c r="A546" s="1">
        <v>544</v>
      </c>
      <c r="B546" s="14">
        <v>40223</v>
      </c>
      <c r="C546" s="15">
        <v>40232</v>
      </c>
      <c r="E546" s="8" t="s">
        <v>1630</v>
      </c>
      <c r="G546" s="11" t="s">
        <v>37</v>
      </c>
      <c r="H546" s="1">
        <v>25</v>
      </c>
      <c r="I546" s="11" t="s">
        <v>1631</v>
      </c>
      <c r="J546" s="8" t="s">
        <v>1632</v>
      </c>
      <c r="L546" s="11" t="s">
        <v>24</v>
      </c>
      <c r="M546" s="15">
        <v>40232</v>
      </c>
      <c r="N546" s="1">
        <v>1</v>
      </c>
      <c r="O546" s="11" t="s">
        <v>25</v>
      </c>
      <c r="Q546" s="11" t="s">
        <v>27</v>
      </c>
      <c r="R546" s="11" t="s">
        <v>65</v>
      </c>
      <c r="S546" s="15">
        <f t="shared" ca="1" si="19"/>
        <v>40470.53652858796</v>
      </c>
      <c r="T546" s="8">
        <f t="shared" ca="1" si="20"/>
        <v>8</v>
      </c>
      <c r="U546" s="11" t="s">
        <v>56</v>
      </c>
      <c r="V546" s="11" t="s">
        <v>42</v>
      </c>
      <c r="W546" s="25" t="s">
        <v>56</v>
      </c>
      <c r="X546" s="11" t="s">
        <v>42</v>
      </c>
      <c r="Y546" s="25" t="s">
        <v>2650</v>
      </c>
      <c r="AC546" s="12" t="s">
        <v>1416</v>
      </c>
      <c r="AH546" s="11" t="s">
        <v>1416</v>
      </c>
    </row>
    <row r="547" spans="1:34">
      <c r="A547" s="1">
        <v>545</v>
      </c>
      <c r="B547" s="14">
        <v>40224</v>
      </c>
      <c r="C547" s="15">
        <v>40232</v>
      </c>
      <c r="E547" s="8" t="s">
        <v>1633</v>
      </c>
      <c r="G547" s="11" t="s">
        <v>37</v>
      </c>
      <c r="H547" s="1">
        <v>10</v>
      </c>
      <c r="I547" s="11" t="s">
        <v>1634</v>
      </c>
      <c r="J547" s="8" t="s">
        <v>1635</v>
      </c>
      <c r="L547" s="11" t="s">
        <v>24</v>
      </c>
      <c r="M547" s="15">
        <v>40232</v>
      </c>
      <c r="N547" s="1">
        <v>1</v>
      </c>
      <c r="O547" s="11" t="s">
        <v>40</v>
      </c>
      <c r="P547" s="11" t="s">
        <v>1636</v>
      </c>
      <c r="Q547" s="11" t="s">
        <v>27</v>
      </c>
      <c r="R547" s="25" t="s">
        <v>2729</v>
      </c>
      <c r="S547" s="15">
        <f t="shared" ca="1" si="19"/>
        <v>40470.53652858796</v>
      </c>
      <c r="T547" s="8">
        <f t="shared" ca="1" si="20"/>
        <v>8</v>
      </c>
      <c r="U547" s="11" t="s">
        <v>42</v>
      </c>
      <c r="V547" s="11" t="s">
        <v>42</v>
      </c>
      <c r="W547" s="11" t="s">
        <v>42</v>
      </c>
      <c r="X547" s="11" t="s">
        <v>42</v>
      </c>
      <c r="Y547" s="25" t="s">
        <v>2650</v>
      </c>
      <c r="AC547" s="12" t="s">
        <v>1416</v>
      </c>
      <c r="AH547" s="11" t="s">
        <v>1416</v>
      </c>
    </row>
    <row r="548" spans="1:34" ht="12.75" customHeight="1">
      <c r="A548" s="1">
        <v>546</v>
      </c>
      <c r="B548" s="14">
        <v>40225</v>
      </c>
      <c r="C548" s="15">
        <v>40232</v>
      </c>
      <c r="E548" s="8" t="s">
        <v>1637</v>
      </c>
      <c r="G548" s="11" t="s">
        <v>37</v>
      </c>
      <c r="H548" s="1">
        <v>14</v>
      </c>
      <c r="I548" s="11" t="s">
        <v>1638</v>
      </c>
      <c r="J548" s="8" t="s">
        <v>1639</v>
      </c>
      <c r="L548" s="11" t="s">
        <v>24</v>
      </c>
      <c r="M548" s="15">
        <v>40232</v>
      </c>
      <c r="N548" s="1">
        <v>1</v>
      </c>
      <c r="O548" s="11" t="s">
        <v>25</v>
      </c>
      <c r="Q548" s="11" t="s">
        <v>27</v>
      </c>
      <c r="R548" s="11" t="s">
        <v>42</v>
      </c>
      <c r="S548" s="15">
        <f t="shared" ca="1" si="19"/>
        <v>40470.53652858796</v>
      </c>
      <c r="T548" s="8">
        <f t="shared" ca="1" si="20"/>
        <v>8</v>
      </c>
      <c r="U548" s="11" t="s">
        <v>42</v>
      </c>
      <c r="V548" s="11" t="s">
        <v>42</v>
      </c>
      <c r="W548" s="11" t="s">
        <v>42</v>
      </c>
      <c r="X548" s="11" t="s">
        <v>42</v>
      </c>
      <c r="Y548" s="25" t="s">
        <v>2650</v>
      </c>
      <c r="AC548" s="12" t="s">
        <v>1416</v>
      </c>
      <c r="AH548" s="11" t="s">
        <v>1416</v>
      </c>
    </row>
    <row r="549" spans="1:34" ht="12.75" customHeight="1">
      <c r="A549" s="1">
        <v>547</v>
      </c>
      <c r="B549" s="14">
        <v>40226</v>
      </c>
      <c r="C549" s="15">
        <v>40233</v>
      </c>
      <c r="E549" s="8" t="s">
        <v>1640</v>
      </c>
      <c r="G549" s="11" t="s">
        <v>37</v>
      </c>
      <c r="H549" s="1">
        <v>13</v>
      </c>
      <c r="I549" s="11" t="s">
        <v>1641</v>
      </c>
      <c r="L549" s="11" t="s">
        <v>24</v>
      </c>
      <c r="M549" s="15">
        <v>40233</v>
      </c>
      <c r="N549" s="1">
        <v>1</v>
      </c>
      <c r="O549" s="11" t="s">
        <v>25</v>
      </c>
      <c r="Q549" s="11" t="s">
        <v>27</v>
      </c>
      <c r="R549" s="11" t="s">
        <v>60</v>
      </c>
      <c r="S549" s="15">
        <f t="shared" ca="1" si="19"/>
        <v>40470.53652858796</v>
      </c>
      <c r="T549" s="8">
        <f t="shared" ca="1" si="20"/>
        <v>8</v>
      </c>
      <c r="U549" s="25" t="s">
        <v>2752</v>
      </c>
      <c r="V549" s="25" t="s">
        <v>42</v>
      </c>
      <c r="W549" s="25" t="s">
        <v>2752</v>
      </c>
      <c r="X549" s="11" t="s">
        <v>42</v>
      </c>
      <c r="Y549" s="25" t="s">
        <v>2650</v>
      </c>
      <c r="AC549" s="12" t="s">
        <v>1416</v>
      </c>
      <c r="AH549" s="11" t="s">
        <v>1416</v>
      </c>
    </row>
    <row r="550" spans="1:34">
      <c r="A550" s="1">
        <v>548</v>
      </c>
      <c r="B550" s="14">
        <v>40227</v>
      </c>
      <c r="C550" s="15">
        <v>40233</v>
      </c>
      <c r="E550" s="8" t="s">
        <v>1642</v>
      </c>
      <c r="G550" s="11" t="s">
        <v>37</v>
      </c>
      <c r="H550" s="1">
        <v>15</v>
      </c>
      <c r="I550" s="11" t="s">
        <v>1854</v>
      </c>
      <c r="L550" s="11" t="s">
        <v>24</v>
      </c>
      <c r="M550" s="15">
        <v>40233</v>
      </c>
      <c r="N550" s="1">
        <v>1</v>
      </c>
      <c r="O550" s="11" t="s">
        <v>40</v>
      </c>
      <c r="P550" s="11" t="s">
        <v>72</v>
      </c>
      <c r="Q550" s="11" t="s">
        <v>27</v>
      </c>
      <c r="R550" s="25" t="s">
        <v>56</v>
      </c>
      <c r="S550" s="15">
        <f t="shared" ca="1" si="19"/>
        <v>40470.53652858796</v>
      </c>
      <c r="T550" s="8">
        <f t="shared" ca="1" si="20"/>
        <v>8</v>
      </c>
      <c r="U550" s="11" t="s">
        <v>42</v>
      </c>
      <c r="V550" s="11" t="s">
        <v>42</v>
      </c>
      <c r="W550" s="11" t="s">
        <v>42</v>
      </c>
      <c r="X550" s="11" t="s">
        <v>42</v>
      </c>
      <c r="Y550" s="25" t="s">
        <v>2650</v>
      </c>
      <c r="AC550" s="12" t="s">
        <v>1416</v>
      </c>
      <c r="AH550" s="11" t="s">
        <v>1416</v>
      </c>
    </row>
    <row r="551" spans="1:34" ht="12.75" customHeight="1">
      <c r="A551" s="1">
        <v>549</v>
      </c>
      <c r="B551" s="14">
        <v>40228</v>
      </c>
      <c r="C551" s="15">
        <v>40233</v>
      </c>
      <c r="E551" s="8" t="s">
        <v>1855</v>
      </c>
      <c r="G551" s="11" t="s">
        <v>37</v>
      </c>
      <c r="H551" s="1">
        <v>16</v>
      </c>
      <c r="I551" s="11" t="s">
        <v>1856</v>
      </c>
      <c r="J551" s="8" t="s">
        <v>1857</v>
      </c>
      <c r="L551" s="11" t="s">
        <v>24</v>
      </c>
      <c r="M551" s="15">
        <v>40233</v>
      </c>
      <c r="N551" s="1">
        <v>1</v>
      </c>
      <c r="O551" s="11" t="s">
        <v>25</v>
      </c>
      <c r="Q551" s="11" t="s">
        <v>27</v>
      </c>
      <c r="R551" s="11" t="s">
        <v>56</v>
      </c>
      <c r="S551" s="15">
        <f t="shared" ca="1" si="19"/>
        <v>40470.53652858796</v>
      </c>
      <c r="T551" s="8">
        <f t="shared" ca="1" si="20"/>
        <v>8</v>
      </c>
      <c r="U551" s="11" t="s">
        <v>56</v>
      </c>
      <c r="V551" s="11" t="s">
        <v>42</v>
      </c>
      <c r="W551" s="11" t="s">
        <v>42</v>
      </c>
      <c r="X551" s="11" t="s">
        <v>42</v>
      </c>
      <c r="Y551" s="25" t="s">
        <v>2650</v>
      </c>
      <c r="AC551" s="12" t="s">
        <v>1416</v>
      </c>
      <c r="AH551" s="11" t="s">
        <v>1416</v>
      </c>
    </row>
    <row r="552" spans="1:34">
      <c r="A552" s="1">
        <v>550</v>
      </c>
      <c r="B552" s="14">
        <v>40229</v>
      </c>
      <c r="C552" s="15">
        <v>40233</v>
      </c>
      <c r="E552" s="8" t="s">
        <v>1858</v>
      </c>
      <c r="G552" s="11" t="s">
        <v>20</v>
      </c>
      <c r="H552" s="1">
        <v>30</v>
      </c>
      <c r="I552" s="11" t="s">
        <v>1859</v>
      </c>
      <c r="L552" s="11" t="s">
        <v>24</v>
      </c>
      <c r="M552" s="15">
        <v>40233</v>
      </c>
      <c r="N552" s="1">
        <v>1</v>
      </c>
      <c r="O552" s="11" t="s">
        <v>40</v>
      </c>
      <c r="P552" s="11" t="s">
        <v>213</v>
      </c>
      <c r="Q552" s="11" t="s">
        <v>27</v>
      </c>
      <c r="R552" s="11" t="s">
        <v>42</v>
      </c>
      <c r="S552" s="15">
        <f t="shared" ca="1" si="19"/>
        <v>40470.53652858796</v>
      </c>
      <c r="T552" s="8">
        <f t="shared" ca="1" si="20"/>
        <v>8</v>
      </c>
      <c r="U552" s="11" t="s">
        <v>42</v>
      </c>
      <c r="V552" s="11" t="s">
        <v>42</v>
      </c>
      <c r="W552" s="11" t="s">
        <v>42</v>
      </c>
      <c r="X552" s="11" t="s">
        <v>42</v>
      </c>
      <c r="Y552" s="25" t="s">
        <v>2650</v>
      </c>
      <c r="AC552" s="12" t="s">
        <v>1416</v>
      </c>
      <c r="AH552" s="11" t="s">
        <v>1416</v>
      </c>
    </row>
    <row r="553" spans="1:34">
      <c r="A553" s="1">
        <v>551</v>
      </c>
      <c r="B553" s="14">
        <v>40230</v>
      </c>
      <c r="C553" s="15">
        <v>40233</v>
      </c>
      <c r="E553" s="8" t="s">
        <v>1860</v>
      </c>
      <c r="G553" s="11" t="s">
        <v>20</v>
      </c>
      <c r="H553" s="1">
        <v>13</v>
      </c>
      <c r="I553" s="11" t="s">
        <v>1861</v>
      </c>
      <c r="J553" s="8" t="s">
        <v>1862</v>
      </c>
      <c r="L553" s="11" t="s">
        <v>24</v>
      </c>
      <c r="M553" s="15">
        <v>40233</v>
      </c>
      <c r="N553" s="1">
        <v>1</v>
      </c>
      <c r="O553" s="11" t="s">
        <v>40</v>
      </c>
      <c r="P553" s="11" t="s">
        <v>1636</v>
      </c>
      <c r="Q553" s="11" t="s">
        <v>27</v>
      </c>
      <c r="R553" s="11" t="s">
        <v>42</v>
      </c>
      <c r="S553" s="15">
        <f t="shared" ca="1" si="19"/>
        <v>40470.53652858796</v>
      </c>
      <c r="T553" s="8">
        <f t="shared" ca="1" si="20"/>
        <v>8</v>
      </c>
      <c r="U553" s="11" t="s">
        <v>42</v>
      </c>
      <c r="V553" s="11" t="s">
        <v>42</v>
      </c>
      <c r="W553" s="11" t="s">
        <v>42</v>
      </c>
      <c r="X553" s="11" t="s">
        <v>42</v>
      </c>
      <c r="Y553" s="25" t="s">
        <v>2650</v>
      </c>
      <c r="AC553" s="12" t="s">
        <v>1416</v>
      </c>
      <c r="AH553" s="11" t="s">
        <v>1416</v>
      </c>
    </row>
    <row r="554" spans="1:34" ht="12.75" customHeight="1">
      <c r="A554" s="1">
        <v>552</v>
      </c>
      <c r="B554" s="14">
        <v>40231</v>
      </c>
      <c r="C554" s="15">
        <v>40233</v>
      </c>
      <c r="E554" s="8" t="s">
        <v>1863</v>
      </c>
      <c r="G554" s="11" t="s">
        <v>37</v>
      </c>
      <c r="H554" s="1">
        <v>29</v>
      </c>
      <c r="I554" s="11" t="s">
        <v>1864</v>
      </c>
      <c r="L554" s="11" t="s">
        <v>24</v>
      </c>
      <c r="M554" s="15">
        <v>40233</v>
      </c>
      <c r="N554" s="1">
        <v>1</v>
      </c>
      <c r="O554" s="11" t="s">
        <v>25</v>
      </c>
      <c r="Q554" s="11" t="s">
        <v>27</v>
      </c>
      <c r="R554" s="11" t="s">
        <v>56</v>
      </c>
      <c r="S554" s="15">
        <f t="shared" ca="1" si="19"/>
        <v>40470.53652858796</v>
      </c>
      <c r="T554" s="8">
        <f t="shared" ca="1" si="20"/>
        <v>8</v>
      </c>
      <c r="U554" s="11" t="s">
        <v>42</v>
      </c>
      <c r="V554" s="11" t="s">
        <v>42</v>
      </c>
      <c r="W554" s="11" t="s">
        <v>42</v>
      </c>
      <c r="X554" s="11" t="s">
        <v>42</v>
      </c>
      <c r="Y554" s="25" t="s">
        <v>2650</v>
      </c>
      <c r="AC554" s="12" t="s">
        <v>1416</v>
      </c>
      <c r="AH554" s="11" t="s">
        <v>1416</v>
      </c>
    </row>
    <row r="555" spans="1:34" ht="12.75" customHeight="1">
      <c r="A555" s="1">
        <v>553</v>
      </c>
      <c r="B555" s="14">
        <v>40232</v>
      </c>
      <c r="C555" s="15">
        <v>40233</v>
      </c>
      <c r="E555" s="8" t="s">
        <v>1686</v>
      </c>
      <c r="G555" s="11" t="s">
        <v>20</v>
      </c>
      <c r="H555" s="1">
        <v>30</v>
      </c>
      <c r="I555" s="11" t="s">
        <v>1687</v>
      </c>
      <c r="L555" s="11" t="s">
        <v>24</v>
      </c>
      <c r="M555" s="15">
        <v>40233</v>
      </c>
      <c r="N555" s="1">
        <v>1</v>
      </c>
      <c r="O555" s="11" t="s">
        <v>25</v>
      </c>
      <c r="Q555" s="11" t="s">
        <v>27</v>
      </c>
      <c r="R555" s="11" t="s">
        <v>65</v>
      </c>
      <c r="S555" s="15">
        <f t="shared" ca="1" si="19"/>
        <v>40470.53652858796</v>
      </c>
      <c r="T555" s="8">
        <f t="shared" ca="1" si="20"/>
        <v>8</v>
      </c>
      <c r="U555" s="11" t="s">
        <v>56</v>
      </c>
      <c r="V555" s="11" t="s">
        <v>42</v>
      </c>
      <c r="W555" s="11" t="s">
        <v>56</v>
      </c>
      <c r="X555" s="11" t="s">
        <v>42</v>
      </c>
      <c r="Y555" s="25" t="s">
        <v>2650</v>
      </c>
      <c r="AC555" s="12" t="s">
        <v>1416</v>
      </c>
      <c r="AH555" s="11" t="s">
        <v>1416</v>
      </c>
    </row>
    <row r="556" spans="1:34" ht="14.25" customHeight="1">
      <c r="A556" s="1">
        <v>554</v>
      </c>
      <c r="B556" s="14">
        <v>40233</v>
      </c>
      <c r="C556" s="15">
        <v>40235</v>
      </c>
      <c r="E556" s="8" t="s">
        <v>1688</v>
      </c>
      <c r="G556" s="11" t="s">
        <v>20</v>
      </c>
      <c r="H556" s="1">
        <v>27</v>
      </c>
      <c r="I556" s="11" t="s">
        <v>1689</v>
      </c>
      <c r="J556" s="8" t="s">
        <v>1690</v>
      </c>
      <c r="L556" s="11" t="s">
        <v>24</v>
      </c>
      <c r="M556" s="15">
        <v>40235</v>
      </c>
      <c r="N556" s="1">
        <v>1</v>
      </c>
      <c r="O556" s="11" t="s">
        <v>40</v>
      </c>
      <c r="P556" s="11" t="s">
        <v>1691</v>
      </c>
      <c r="Q556" s="11" t="s">
        <v>49</v>
      </c>
      <c r="R556" s="25" t="s">
        <v>56</v>
      </c>
      <c r="S556" s="15">
        <f t="shared" ca="1" si="19"/>
        <v>40470.53652858796</v>
      </c>
      <c r="T556" s="8">
        <f t="shared" ca="1" si="20"/>
        <v>8</v>
      </c>
      <c r="U556" s="11" t="s">
        <v>42</v>
      </c>
      <c r="V556" s="11" t="s">
        <v>42</v>
      </c>
      <c r="W556" s="11" t="s">
        <v>42</v>
      </c>
      <c r="X556" s="11" t="s">
        <v>42</v>
      </c>
      <c r="Y556" s="25" t="s">
        <v>2650</v>
      </c>
      <c r="AC556" s="12" t="s">
        <v>1416</v>
      </c>
      <c r="AH556" s="11" t="s">
        <v>1416</v>
      </c>
    </row>
    <row r="557" spans="1:34" ht="13.5" customHeight="1">
      <c r="A557" s="1">
        <v>555</v>
      </c>
      <c r="B557" s="14">
        <v>40234</v>
      </c>
      <c r="C557" s="15">
        <v>40235</v>
      </c>
      <c r="E557" s="8" t="s">
        <v>1692</v>
      </c>
      <c r="G557" s="11" t="s">
        <v>20</v>
      </c>
      <c r="H557" s="1">
        <v>57</v>
      </c>
      <c r="I557" s="11" t="s">
        <v>1693</v>
      </c>
      <c r="J557" s="8" t="s">
        <v>1694</v>
      </c>
      <c r="L557" s="11" t="s">
        <v>24</v>
      </c>
      <c r="M557" s="15">
        <v>40235</v>
      </c>
      <c r="N557" s="1">
        <v>1</v>
      </c>
      <c r="O557" s="11" t="s">
        <v>25</v>
      </c>
      <c r="Q557" s="11" t="s">
        <v>27</v>
      </c>
      <c r="R557" s="11" t="s">
        <v>42</v>
      </c>
      <c r="S557" s="15">
        <f t="shared" ca="1" si="19"/>
        <v>40470.53652858796</v>
      </c>
      <c r="T557" s="8">
        <f t="shared" ca="1" si="20"/>
        <v>8</v>
      </c>
      <c r="U557" s="11" t="s">
        <v>42</v>
      </c>
      <c r="V557" s="11" t="s">
        <v>42</v>
      </c>
      <c r="W557" s="11" t="s">
        <v>42</v>
      </c>
      <c r="X557" s="11" t="s">
        <v>42</v>
      </c>
      <c r="Y557" s="25" t="s">
        <v>42</v>
      </c>
      <c r="AC557" s="12" t="s">
        <v>2289</v>
      </c>
      <c r="AD557" s="25">
        <v>40276</v>
      </c>
      <c r="AH557" s="25" t="s">
        <v>2289</v>
      </c>
    </row>
    <row r="558" spans="1:34">
      <c r="A558" s="1">
        <v>556</v>
      </c>
      <c r="B558" s="14">
        <v>40263</v>
      </c>
      <c r="C558" s="15">
        <v>40238</v>
      </c>
      <c r="E558" s="8" t="s">
        <v>1695</v>
      </c>
      <c r="G558" s="11" t="s">
        <v>37</v>
      </c>
      <c r="H558" s="1">
        <v>20</v>
      </c>
      <c r="I558" s="11" t="s">
        <v>1696</v>
      </c>
      <c r="J558" s="8" t="s">
        <v>1697</v>
      </c>
      <c r="L558" s="11" t="s">
        <v>24</v>
      </c>
      <c r="M558" s="15">
        <v>40238</v>
      </c>
      <c r="N558" s="1">
        <v>1</v>
      </c>
      <c r="O558" s="11" t="s">
        <v>40</v>
      </c>
      <c r="P558" s="11" t="s">
        <v>72</v>
      </c>
      <c r="Q558" s="11" t="s">
        <v>27</v>
      </c>
      <c r="R558" s="25" t="s">
        <v>28</v>
      </c>
      <c r="S558" s="15">
        <f t="shared" ca="1" si="19"/>
        <v>40470.53652858796</v>
      </c>
      <c r="T558" s="8">
        <f t="shared" ca="1" si="20"/>
        <v>7</v>
      </c>
      <c r="U558" s="11" t="s">
        <v>42</v>
      </c>
      <c r="V558" s="11" t="s">
        <v>42</v>
      </c>
      <c r="W558" s="11" t="s">
        <v>42</v>
      </c>
      <c r="X558" s="11" t="s">
        <v>42</v>
      </c>
      <c r="Y558" s="25" t="s">
        <v>2650</v>
      </c>
      <c r="AC558" s="12" t="s">
        <v>1416</v>
      </c>
      <c r="AH558" s="11" t="s">
        <v>1416</v>
      </c>
    </row>
    <row r="559" spans="1:34">
      <c r="A559" s="1">
        <v>557</v>
      </c>
      <c r="B559" s="14">
        <v>40264</v>
      </c>
      <c r="C559" s="15">
        <v>40238</v>
      </c>
      <c r="E559" s="8" t="s">
        <v>1698</v>
      </c>
      <c r="G559" s="11" t="s">
        <v>37</v>
      </c>
      <c r="H559" s="1">
        <v>29</v>
      </c>
      <c r="I559" s="11" t="s">
        <v>1699</v>
      </c>
      <c r="J559" s="8" t="s">
        <v>1700</v>
      </c>
      <c r="L559" s="11" t="s">
        <v>24</v>
      </c>
      <c r="M559" s="15">
        <v>40238</v>
      </c>
      <c r="N559" s="1">
        <v>1</v>
      </c>
      <c r="O559" s="11" t="s">
        <v>40</v>
      </c>
      <c r="P559" s="11" t="s">
        <v>213</v>
      </c>
      <c r="Q559" s="11" t="s">
        <v>27</v>
      </c>
      <c r="R559" s="25" t="s">
        <v>56</v>
      </c>
      <c r="S559" s="15">
        <f t="shared" ca="1" si="19"/>
        <v>40470.53652858796</v>
      </c>
      <c r="T559" s="8">
        <f t="shared" ca="1" si="20"/>
        <v>7</v>
      </c>
      <c r="U559" s="11" t="s">
        <v>42</v>
      </c>
      <c r="V559" s="11" t="s">
        <v>42</v>
      </c>
      <c r="W559" s="11" t="s">
        <v>42</v>
      </c>
      <c r="X559" s="11" t="s">
        <v>42</v>
      </c>
      <c r="Y559" s="25" t="s">
        <v>2650</v>
      </c>
      <c r="AC559" s="12" t="s">
        <v>1416</v>
      </c>
      <c r="AH559" s="11" t="s">
        <v>1416</v>
      </c>
    </row>
    <row r="560" spans="1:34" ht="12.75" customHeight="1">
      <c r="A560" s="1">
        <v>558</v>
      </c>
      <c r="B560" s="14">
        <v>40265</v>
      </c>
      <c r="C560" s="15">
        <v>40239</v>
      </c>
      <c r="E560" s="8" t="s">
        <v>1701</v>
      </c>
      <c r="G560" s="11" t="s">
        <v>37</v>
      </c>
      <c r="H560" s="1">
        <v>25</v>
      </c>
      <c r="I560" s="11" t="s">
        <v>1702</v>
      </c>
      <c r="L560" s="11" t="s">
        <v>24</v>
      </c>
      <c r="M560" s="15">
        <v>40239</v>
      </c>
      <c r="N560" s="1">
        <v>2</v>
      </c>
      <c r="O560" s="11" t="s">
        <v>25</v>
      </c>
      <c r="Q560" s="11" t="s">
        <v>49</v>
      </c>
      <c r="R560" s="25" t="s">
        <v>28</v>
      </c>
      <c r="S560" s="15">
        <f t="shared" ca="1" si="19"/>
        <v>40470.53652858796</v>
      </c>
      <c r="T560" s="8">
        <f t="shared" ca="1" si="20"/>
        <v>7</v>
      </c>
      <c r="U560" s="11" t="s">
        <v>42</v>
      </c>
      <c r="V560" s="11" t="s">
        <v>42</v>
      </c>
      <c r="W560" s="11" t="s">
        <v>42</v>
      </c>
      <c r="X560" s="11" t="s">
        <v>42</v>
      </c>
      <c r="Y560" s="25" t="s">
        <v>42</v>
      </c>
      <c r="AC560" s="12" t="s">
        <v>785</v>
      </c>
      <c r="AD560" s="25">
        <v>40302</v>
      </c>
      <c r="AH560" s="11" t="s">
        <v>122</v>
      </c>
    </row>
    <row r="561" spans="1:34">
      <c r="A561" s="1">
        <v>559</v>
      </c>
      <c r="B561" s="14">
        <v>40266</v>
      </c>
      <c r="C561" s="15">
        <v>40239</v>
      </c>
      <c r="E561" s="8" t="s">
        <v>1703</v>
      </c>
      <c r="G561" s="11" t="s">
        <v>20</v>
      </c>
      <c r="H561" s="1">
        <v>45</v>
      </c>
      <c r="I561" s="11" t="s">
        <v>1704</v>
      </c>
      <c r="J561" s="8" t="s">
        <v>1705</v>
      </c>
      <c r="L561" s="11" t="s">
        <v>24</v>
      </c>
      <c r="M561" s="15">
        <v>40239</v>
      </c>
      <c r="N561" s="1">
        <v>1</v>
      </c>
      <c r="O561" s="11" t="s">
        <v>40</v>
      </c>
      <c r="P561" s="11" t="s">
        <v>1706</v>
      </c>
      <c r="Q561" s="11" t="s">
        <v>27</v>
      </c>
      <c r="R561" s="11" t="s">
        <v>42</v>
      </c>
      <c r="S561" s="15">
        <f t="shared" ca="1" si="19"/>
        <v>40470.53652858796</v>
      </c>
      <c r="T561" s="8">
        <f t="shared" ca="1" si="20"/>
        <v>7</v>
      </c>
      <c r="U561" s="11" t="s">
        <v>42</v>
      </c>
      <c r="V561" s="11" t="s">
        <v>42</v>
      </c>
      <c r="W561" s="11" t="s">
        <v>42</v>
      </c>
      <c r="X561" s="11" t="s">
        <v>42</v>
      </c>
      <c r="Y561" s="25" t="s">
        <v>2650</v>
      </c>
      <c r="AC561" s="12" t="s">
        <v>1416</v>
      </c>
      <c r="AH561" s="11" t="s">
        <v>1416</v>
      </c>
    </row>
    <row r="562" spans="1:34" ht="12.75" customHeight="1">
      <c r="A562" s="1">
        <v>560</v>
      </c>
      <c r="B562" s="14">
        <v>40267</v>
      </c>
      <c r="C562" s="15">
        <v>40240</v>
      </c>
      <c r="E562" s="8" t="s">
        <v>1707</v>
      </c>
      <c r="G562" s="11" t="s">
        <v>37</v>
      </c>
      <c r="H562" s="1">
        <v>25</v>
      </c>
      <c r="I562" s="11" t="s">
        <v>1708</v>
      </c>
      <c r="J562" s="8" t="s">
        <v>1556</v>
      </c>
      <c r="L562" s="11" t="s">
        <v>24</v>
      </c>
      <c r="M562" s="15">
        <v>40240</v>
      </c>
      <c r="N562" s="1">
        <v>1</v>
      </c>
      <c r="O562" s="11" t="s">
        <v>25</v>
      </c>
      <c r="Q562" s="11" t="s">
        <v>27</v>
      </c>
      <c r="R562" s="11" t="s">
        <v>28</v>
      </c>
      <c r="S562" s="15">
        <f t="shared" ca="1" si="19"/>
        <v>40470.53652858796</v>
      </c>
      <c r="T562" s="8">
        <f t="shared" ca="1" si="20"/>
        <v>7</v>
      </c>
      <c r="U562" s="11" t="s">
        <v>42</v>
      </c>
      <c r="V562" s="11" t="s">
        <v>42</v>
      </c>
      <c r="W562" s="11" t="s">
        <v>42</v>
      </c>
      <c r="X562" s="11" t="s">
        <v>42</v>
      </c>
      <c r="Y562" s="25" t="s">
        <v>2650</v>
      </c>
      <c r="AC562" s="12" t="s">
        <v>1416</v>
      </c>
      <c r="AH562" s="11" t="s">
        <v>1416</v>
      </c>
    </row>
    <row r="563" spans="1:34">
      <c r="A563" s="1">
        <v>561</v>
      </c>
      <c r="B563" s="14">
        <v>40268</v>
      </c>
      <c r="C563" s="15">
        <v>40241</v>
      </c>
      <c r="E563" s="8" t="s">
        <v>1709</v>
      </c>
      <c r="G563" s="11" t="s">
        <v>37</v>
      </c>
      <c r="H563" s="1">
        <v>42</v>
      </c>
      <c r="I563" s="11" t="s">
        <v>1710</v>
      </c>
      <c r="J563" s="8" t="s">
        <v>1711</v>
      </c>
      <c r="L563" s="11" t="s">
        <v>24</v>
      </c>
      <c r="M563" s="15">
        <v>40241</v>
      </c>
      <c r="N563" s="1">
        <v>1</v>
      </c>
      <c r="O563" s="11" t="s">
        <v>40</v>
      </c>
      <c r="P563" s="25" t="s">
        <v>2096</v>
      </c>
      <c r="Q563" s="11" t="s">
        <v>27</v>
      </c>
      <c r="R563" s="11" t="s">
        <v>42</v>
      </c>
      <c r="S563" s="15">
        <f t="shared" ca="1" si="19"/>
        <v>40470.53652858796</v>
      </c>
      <c r="T563" s="8">
        <f t="shared" ca="1" si="20"/>
        <v>7</v>
      </c>
      <c r="U563" s="11" t="s">
        <v>42</v>
      </c>
      <c r="V563" s="11" t="s">
        <v>42</v>
      </c>
      <c r="W563" s="11" t="s">
        <v>42</v>
      </c>
      <c r="X563" s="11" t="s">
        <v>42</v>
      </c>
      <c r="Y563" s="25" t="s">
        <v>2650</v>
      </c>
      <c r="AC563" s="12" t="s">
        <v>1416</v>
      </c>
      <c r="AH563" s="11" t="s">
        <v>1416</v>
      </c>
    </row>
    <row r="564" spans="1:34">
      <c r="A564" s="1">
        <v>562</v>
      </c>
      <c r="B564" s="14">
        <v>40268</v>
      </c>
      <c r="C564" s="15">
        <v>40245</v>
      </c>
      <c r="E564" s="8" t="s">
        <v>1712</v>
      </c>
      <c r="G564" s="11" t="s">
        <v>37</v>
      </c>
      <c r="H564" s="1">
        <v>27</v>
      </c>
      <c r="I564" s="11" t="s">
        <v>1713</v>
      </c>
      <c r="L564" s="11" t="s">
        <v>24</v>
      </c>
      <c r="M564" s="15">
        <v>40245</v>
      </c>
      <c r="N564" s="1">
        <v>1</v>
      </c>
      <c r="O564" s="11" t="s">
        <v>40</v>
      </c>
      <c r="P564" s="11" t="s">
        <v>1585</v>
      </c>
      <c r="Q564" s="11" t="s">
        <v>27</v>
      </c>
      <c r="R564" s="25" t="s">
        <v>56</v>
      </c>
      <c r="S564" s="15">
        <f t="shared" ca="1" si="19"/>
        <v>40470.53652858796</v>
      </c>
      <c r="T564" s="8">
        <f t="shared" ca="1" si="20"/>
        <v>7</v>
      </c>
      <c r="U564" s="11" t="s">
        <v>42</v>
      </c>
      <c r="V564" s="11" t="s">
        <v>42</v>
      </c>
      <c r="W564" s="11" t="s">
        <v>42</v>
      </c>
      <c r="X564" s="11" t="s">
        <v>42</v>
      </c>
      <c r="Y564" s="25" t="s">
        <v>42</v>
      </c>
      <c r="AC564" s="12" t="s">
        <v>785</v>
      </c>
      <c r="AD564" s="25">
        <v>40245</v>
      </c>
      <c r="AH564" s="11" t="s">
        <v>122</v>
      </c>
    </row>
    <row r="565" spans="1:34" ht="12.75" customHeight="1">
      <c r="A565" s="1">
        <v>563</v>
      </c>
      <c r="B565" s="14">
        <v>40268</v>
      </c>
      <c r="C565" s="15">
        <v>40245</v>
      </c>
      <c r="E565" s="8" t="s">
        <v>1714</v>
      </c>
      <c r="G565" s="11" t="s">
        <v>37</v>
      </c>
      <c r="H565" s="1">
        <v>16</v>
      </c>
      <c r="I565" s="11" t="s">
        <v>1715</v>
      </c>
      <c r="L565" s="11" t="s">
        <v>24</v>
      </c>
      <c r="M565" s="15">
        <v>40245</v>
      </c>
      <c r="N565" s="1">
        <v>1</v>
      </c>
      <c r="O565" s="11" t="s">
        <v>25</v>
      </c>
      <c r="Q565" s="11" t="s">
        <v>27</v>
      </c>
      <c r="R565" s="11" t="s">
        <v>60</v>
      </c>
      <c r="S565" s="15">
        <f t="shared" ca="1" si="19"/>
        <v>40470.53652858796</v>
      </c>
      <c r="T565" s="8">
        <f t="shared" ca="1" si="20"/>
        <v>7</v>
      </c>
      <c r="U565" s="25" t="s">
        <v>2752</v>
      </c>
      <c r="V565" s="11" t="s">
        <v>56</v>
      </c>
      <c r="W565" s="11" t="s">
        <v>42</v>
      </c>
      <c r="X565" s="11" t="s">
        <v>42</v>
      </c>
      <c r="Y565" s="25" t="s">
        <v>2650</v>
      </c>
      <c r="AC565" s="12" t="s">
        <v>1416</v>
      </c>
      <c r="AH565" s="11" t="s">
        <v>1416</v>
      </c>
    </row>
    <row r="566" spans="1:34" ht="12.75" customHeight="1">
      <c r="A566" s="1">
        <v>564</v>
      </c>
      <c r="B566" s="14">
        <v>40268</v>
      </c>
      <c r="C566" s="15">
        <v>40245</v>
      </c>
      <c r="E566" s="8" t="s">
        <v>1716</v>
      </c>
      <c r="G566" s="11" t="s">
        <v>37</v>
      </c>
      <c r="H566" s="1">
        <v>20</v>
      </c>
      <c r="I566" s="11" t="s">
        <v>1717</v>
      </c>
      <c r="L566" s="11" t="s">
        <v>24</v>
      </c>
      <c r="M566" s="15">
        <v>40245</v>
      </c>
      <c r="N566" s="1">
        <v>1</v>
      </c>
      <c r="O566" s="11" t="s">
        <v>25</v>
      </c>
      <c r="Q566" s="11" t="s">
        <v>27</v>
      </c>
      <c r="R566" s="11" t="s">
        <v>60</v>
      </c>
      <c r="S566" s="15">
        <f t="shared" ca="1" si="19"/>
        <v>40470.53652858796</v>
      </c>
      <c r="T566" s="8">
        <f t="shared" ca="1" si="20"/>
        <v>7</v>
      </c>
      <c r="U566" s="25" t="s">
        <v>2752</v>
      </c>
      <c r="V566" s="25" t="s">
        <v>56</v>
      </c>
      <c r="W566" s="25" t="s">
        <v>56</v>
      </c>
      <c r="X566" s="25" t="s">
        <v>56</v>
      </c>
      <c r="Y566" s="25" t="s">
        <v>2650</v>
      </c>
      <c r="AC566" s="12" t="s">
        <v>1416</v>
      </c>
      <c r="AH566" s="11" t="s">
        <v>1416</v>
      </c>
    </row>
    <row r="567" spans="1:34">
      <c r="A567" s="1">
        <v>565</v>
      </c>
      <c r="B567" s="14">
        <v>40268</v>
      </c>
      <c r="C567" s="15">
        <v>40245</v>
      </c>
      <c r="E567" s="8" t="s">
        <v>1718</v>
      </c>
      <c r="G567" s="11" t="s">
        <v>37</v>
      </c>
      <c r="H567" s="1">
        <v>30</v>
      </c>
      <c r="I567" s="11" t="s">
        <v>1719</v>
      </c>
      <c r="J567" s="8" t="s">
        <v>1720</v>
      </c>
      <c r="L567" s="11" t="s">
        <v>24</v>
      </c>
      <c r="M567" s="15">
        <v>40245</v>
      </c>
      <c r="N567" s="1">
        <v>1</v>
      </c>
      <c r="O567" s="11" t="s">
        <v>40</v>
      </c>
      <c r="P567" s="11" t="s">
        <v>1384</v>
      </c>
      <c r="Q567" s="11" t="s">
        <v>27</v>
      </c>
      <c r="R567" s="11" t="s">
        <v>42</v>
      </c>
      <c r="S567" s="15">
        <f t="shared" ca="1" si="19"/>
        <v>40470.53652858796</v>
      </c>
      <c r="T567" s="8">
        <f t="shared" ca="1" si="20"/>
        <v>7</v>
      </c>
      <c r="U567" s="11" t="s">
        <v>42</v>
      </c>
      <c r="V567" s="11" t="s">
        <v>42</v>
      </c>
      <c r="W567" s="11" t="s">
        <v>42</v>
      </c>
      <c r="X567" s="11" t="s">
        <v>42</v>
      </c>
      <c r="Y567" s="25" t="s">
        <v>2650</v>
      </c>
      <c r="AC567" s="12" t="s">
        <v>1416</v>
      </c>
      <c r="AH567" s="11" t="s">
        <v>1416</v>
      </c>
    </row>
    <row r="568" spans="1:34" ht="12.75" customHeight="1">
      <c r="A568" s="1">
        <v>566</v>
      </c>
      <c r="B568" s="14">
        <v>40268</v>
      </c>
      <c r="C568" s="15">
        <v>40246</v>
      </c>
      <c r="E568" s="8" t="s">
        <v>1721</v>
      </c>
      <c r="G568" s="11" t="s">
        <v>37</v>
      </c>
      <c r="H568" s="1">
        <v>40</v>
      </c>
      <c r="I568" s="11" t="s">
        <v>1722</v>
      </c>
      <c r="J568" s="8" t="s">
        <v>1723</v>
      </c>
      <c r="L568" s="11" t="s">
        <v>24</v>
      </c>
      <c r="M568" s="15">
        <v>40246</v>
      </c>
      <c r="N568" s="1">
        <v>1</v>
      </c>
      <c r="O568" s="11" t="s">
        <v>25</v>
      </c>
      <c r="Q568" s="11" t="s">
        <v>27</v>
      </c>
      <c r="R568" s="11" t="s">
        <v>60</v>
      </c>
      <c r="S568" s="15">
        <f t="shared" ca="1" si="19"/>
        <v>40470.53652858796</v>
      </c>
      <c r="T568" s="8">
        <f t="shared" ca="1" si="20"/>
        <v>7</v>
      </c>
      <c r="U568" s="11" t="s">
        <v>56</v>
      </c>
      <c r="V568" s="25" t="s">
        <v>28</v>
      </c>
      <c r="W568" s="25" t="s">
        <v>56</v>
      </c>
      <c r="X568" s="11" t="s">
        <v>42</v>
      </c>
      <c r="Y568" s="25" t="s">
        <v>42</v>
      </c>
      <c r="AC568" s="12" t="s">
        <v>132</v>
      </c>
      <c r="AD568" s="25">
        <v>40280</v>
      </c>
      <c r="AH568" s="25" t="s">
        <v>132</v>
      </c>
    </row>
    <row r="569" spans="1:34">
      <c r="A569" s="1">
        <v>567</v>
      </c>
      <c r="B569" s="14">
        <v>40268</v>
      </c>
      <c r="C569" s="15">
        <v>40246</v>
      </c>
      <c r="E569" s="8" t="s">
        <v>1724</v>
      </c>
      <c r="G569" s="11" t="s">
        <v>37</v>
      </c>
      <c r="H569" s="1">
        <v>35</v>
      </c>
      <c r="I569" s="11" t="s">
        <v>1725</v>
      </c>
      <c r="J569" s="8" t="s">
        <v>1726</v>
      </c>
      <c r="L569" s="11" t="s">
        <v>24</v>
      </c>
      <c r="M569" s="15">
        <v>40246</v>
      </c>
      <c r="N569" s="1">
        <v>1</v>
      </c>
      <c r="O569" s="11" t="s">
        <v>40</v>
      </c>
      <c r="P569" s="11" t="s">
        <v>1727</v>
      </c>
      <c r="Q569" s="11" t="s">
        <v>27</v>
      </c>
      <c r="R569" s="11" t="s">
        <v>42</v>
      </c>
      <c r="S569" s="15">
        <f t="shared" ca="1" si="19"/>
        <v>40470.53652858796</v>
      </c>
      <c r="T569" s="8">
        <f t="shared" ca="1" si="20"/>
        <v>7</v>
      </c>
      <c r="U569" s="11" t="s">
        <v>42</v>
      </c>
      <c r="V569" s="11" t="s">
        <v>42</v>
      </c>
      <c r="W569" s="11" t="s">
        <v>42</v>
      </c>
      <c r="X569" s="11" t="s">
        <v>42</v>
      </c>
      <c r="Y569" s="25" t="s">
        <v>2650</v>
      </c>
      <c r="AC569" s="12" t="s">
        <v>1416</v>
      </c>
      <c r="AH569" s="11" t="s">
        <v>1416</v>
      </c>
    </row>
    <row r="570" spans="1:34" ht="12.75" customHeight="1">
      <c r="A570" s="1">
        <v>568</v>
      </c>
      <c r="B570" s="14">
        <v>40268</v>
      </c>
      <c r="C570" s="15">
        <v>40246</v>
      </c>
      <c r="E570" s="8" t="s">
        <v>1728</v>
      </c>
      <c r="G570" s="11" t="s">
        <v>37</v>
      </c>
      <c r="H570" s="1">
        <v>24</v>
      </c>
      <c r="I570" s="11" t="s">
        <v>1729</v>
      </c>
      <c r="J570" s="8" t="s">
        <v>1730</v>
      </c>
      <c r="L570" s="11" t="s">
        <v>24</v>
      </c>
      <c r="M570" s="15">
        <v>40246</v>
      </c>
      <c r="N570" s="1">
        <v>1</v>
      </c>
      <c r="O570" s="11" t="s">
        <v>25</v>
      </c>
      <c r="Q570" s="11" t="s">
        <v>27</v>
      </c>
      <c r="R570" s="11" t="s">
        <v>56</v>
      </c>
      <c r="S570" s="15">
        <f t="shared" ca="1" si="19"/>
        <v>40470.53652858796</v>
      </c>
      <c r="T570" s="8">
        <f t="shared" ca="1" si="20"/>
        <v>7</v>
      </c>
      <c r="U570" s="11" t="s">
        <v>56</v>
      </c>
      <c r="V570" s="25" t="s">
        <v>56</v>
      </c>
      <c r="W570" s="11" t="s">
        <v>42</v>
      </c>
      <c r="X570" s="11" t="s">
        <v>42</v>
      </c>
      <c r="Y570" s="25" t="s">
        <v>2650</v>
      </c>
      <c r="AC570" s="12" t="s">
        <v>1416</v>
      </c>
      <c r="AH570" s="11" t="s">
        <v>1416</v>
      </c>
    </row>
    <row r="571" spans="1:34">
      <c r="A571" s="1">
        <v>569</v>
      </c>
      <c r="B571" s="14">
        <v>40268</v>
      </c>
      <c r="C571" s="15">
        <v>40246</v>
      </c>
      <c r="E571" s="8" t="s">
        <v>1731</v>
      </c>
      <c r="G571" s="11" t="s">
        <v>37</v>
      </c>
      <c r="H571" s="1">
        <v>20</v>
      </c>
      <c r="I571" s="11" t="s">
        <v>1732</v>
      </c>
      <c r="J571" s="8" t="s">
        <v>1733</v>
      </c>
      <c r="L571" s="11" t="s">
        <v>24</v>
      </c>
      <c r="M571" s="15">
        <v>40246</v>
      </c>
      <c r="N571" s="1">
        <v>1</v>
      </c>
      <c r="O571" s="11" t="s">
        <v>40</v>
      </c>
      <c r="P571" s="25" t="s">
        <v>2096</v>
      </c>
      <c r="Q571" s="11" t="s">
        <v>27</v>
      </c>
      <c r="R571" s="25" t="s">
        <v>56</v>
      </c>
      <c r="S571" s="15">
        <f t="shared" ca="1" si="19"/>
        <v>40470.53652858796</v>
      </c>
      <c r="T571" s="8">
        <f t="shared" ca="1" si="20"/>
        <v>7</v>
      </c>
      <c r="U571" s="11" t="s">
        <v>42</v>
      </c>
      <c r="V571" s="11" t="s">
        <v>42</v>
      </c>
      <c r="W571" s="11" t="s">
        <v>42</v>
      </c>
      <c r="X571" s="11" t="s">
        <v>42</v>
      </c>
      <c r="Y571" s="25" t="s">
        <v>2650</v>
      </c>
      <c r="AC571" s="12" t="s">
        <v>1416</v>
      </c>
      <c r="AH571" s="11" t="s">
        <v>1416</v>
      </c>
    </row>
    <row r="572" spans="1:34">
      <c r="A572" s="1">
        <v>570</v>
      </c>
      <c r="B572" s="14">
        <v>40268</v>
      </c>
      <c r="C572" s="15">
        <v>40246</v>
      </c>
      <c r="E572" s="8" t="s">
        <v>1734</v>
      </c>
      <c r="G572" s="11" t="s">
        <v>37</v>
      </c>
      <c r="H572" s="1">
        <v>15</v>
      </c>
      <c r="I572" s="11" t="s">
        <v>1735</v>
      </c>
      <c r="J572" s="8" t="s">
        <v>1736</v>
      </c>
      <c r="L572" s="11" t="s">
        <v>24</v>
      </c>
      <c r="M572" s="15">
        <v>40246</v>
      </c>
      <c r="N572" s="1">
        <v>2</v>
      </c>
      <c r="O572" s="11" t="s">
        <v>40</v>
      </c>
      <c r="P572" s="11" t="s">
        <v>213</v>
      </c>
      <c r="Q572" s="11" t="s">
        <v>477</v>
      </c>
      <c r="R572" s="11" t="s">
        <v>42</v>
      </c>
      <c r="S572" s="15">
        <f t="shared" ca="1" si="19"/>
        <v>40470.53652858796</v>
      </c>
      <c r="T572" s="8">
        <f t="shared" ca="1" si="20"/>
        <v>7</v>
      </c>
      <c r="U572" s="11" t="s">
        <v>42</v>
      </c>
      <c r="V572" s="11" t="s">
        <v>42</v>
      </c>
      <c r="W572" s="11" t="s">
        <v>42</v>
      </c>
      <c r="X572" s="11" t="s">
        <v>42</v>
      </c>
      <c r="Y572" s="25" t="s">
        <v>42</v>
      </c>
      <c r="AC572" s="12" t="s">
        <v>785</v>
      </c>
      <c r="AD572" s="25">
        <v>40266</v>
      </c>
      <c r="AH572" s="11" t="s">
        <v>122</v>
      </c>
    </row>
    <row r="573" spans="1:34" ht="12.75" customHeight="1">
      <c r="A573" s="1">
        <v>571</v>
      </c>
      <c r="B573" s="14">
        <v>40268</v>
      </c>
      <c r="C573" s="15">
        <v>40247</v>
      </c>
      <c r="E573" s="8" t="s">
        <v>1737</v>
      </c>
      <c r="G573" s="11" t="s">
        <v>37</v>
      </c>
      <c r="H573" s="1">
        <v>15</v>
      </c>
      <c r="I573" s="11" t="s">
        <v>1738</v>
      </c>
      <c r="J573" s="8" t="s">
        <v>1739</v>
      </c>
      <c r="L573" s="11" t="s">
        <v>24</v>
      </c>
      <c r="M573" s="15">
        <v>40247</v>
      </c>
      <c r="N573" s="1">
        <v>1</v>
      </c>
      <c r="O573" s="11" t="s">
        <v>25</v>
      </c>
      <c r="Q573" s="11" t="s">
        <v>27</v>
      </c>
      <c r="R573" s="11" t="s">
        <v>65</v>
      </c>
      <c r="S573" s="15">
        <f t="shared" ca="1" si="19"/>
        <v>40470.53652858796</v>
      </c>
      <c r="T573" s="8">
        <f t="shared" ca="1" si="20"/>
        <v>7</v>
      </c>
      <c r="U573" s="11" t="s">
        <v>56</v>
      </c>
      <c r="V573" s="11" t="s">
        <v>42</v>
      </c>
      <c r="W573" s="11" t="s">
        <v>42</v>
      </c>
      <c r="X573" s="11" t="s">
        <v>42</v>
      </c>
      <c r="Y573" s="25" t="s">
        <v>2650</v>
      </c>
      <c r="AC573" s="12" t="s">
        <v>1416</v>
      </c>
      <c r="AH573" s="11" t="s">
        <v>1416</v>
      </c>
    </row>
    <row r="574" spans="1:34" ht="12.75" customHeight="1">
      <c r="A574" s="1">
        <v>572</v>
      </c>
      <c r="B574" s="14">
        <v>40268</v>
      </c>
      <c r="C574" s="15">
        <v>40247</v>
      </c>
      <c r="E574" s="8" t="s">
        <v>1740</v>
      </c>
      <c r="G574" s="11" t="s">
        <v>37</v>
      </c>
      <c r="H574" s="1">
        <v>70</v>
      </c>
      <c r="I574" s="11" t="s">
        <v>1741</v>
      </c>
      <c r="J574" s="8" t="s">
        <v>1742</v>
      </c>
      <c r="L574" s="11" t="s">
        <v>24</v>
      </c>
      <c r="M574" s="15">
        <v>40247</v>
      </c>
      <c r="N574" s="1">
        <v>1</v>
      </c>
      <c r="O574" s="11" t="s">
        <v>25</v>
      </c>
      <c r="Q574" s="11" t="s">
        <v>27</v>
      </c>
      <c r="R574" s="11" t="s">
        <v>28</v>
      </c>
      <c r="S574" s="15">
        <f t="shared" ca="1" si="19"/>
        <v>40470.53652858796</v>
      </c>
      <c r="T574" s="8">
        <f t="shared" ca="1" si="20"/>
        <v>7</v>
      </c>
      <c r="U574" s="11" t="s">
        <v>56</v>
      </c>
      <c r="V574" s="11" t="s">
        <v>42</v>
      </c>
      <c r="W574" s="25" t="s">
        <v>56</v>
      </c>
      <c r="X574" s="11" t="s">
        <v>42</v>
      </c>
      <c r="Y574" s="25" t="s">
        <v>2650</v>
      </c>
      <c r="AC574" s="12" t="s">
        <v>1416</v>
      </c>
      <c r="AH574" s="11" t="s">
        <v>1416</v>
      </c>
    </row>
    <row r="575" spans="1:34" ht="12.75" customHeight="1">
      <c r="A575" s="1">
        <v>573</v>
      </c>
      <c r="B575" s="14">
        <v>40268</v>
      </c>
      <c r="C575" s="15">
        <v>40247</v>
      </c>
      <c r="E575" s="8" t="s">
        <v>1743</v>
      </c>
      <c r="G575" s="11" t="s">
        <v>37</v>
      </c>
      <c r="H575" s="1">
        <v>60</v>
      </c>
      <c r="I575" s="11" t="s">
        <v>1744</v>
      </c>
      <c r="J575" s="8" t="s">
        <v>1745</v>
      </c>
      <c r="L575" s="11" t="s">
        <v>24</v>
      </c>
      <c r="M575" s="15">
        <v>40247</v>
      </c>
      <c r="N575" s="1">
        <v>2</v>
      </c>
      <c r="O575" s="11" t="s">
        <v>25</v>
      </c>
      <c r="Q575" s="11" t="s">
        <v>477</v>
      </c>
      <c r="R575" s="11" t="s">
        <v>56</v>
      </c>
      <c r="S575" s="15">
        <f t="shared" ca="1" si="19"/>
        <v>40470.53652858796</v>
      </c>
      <c r="T575" s="8">
        <f t="shared" ca="1" si="20"/>
        <v>7</v>
      </c>
      <c r="U575" s="11" t="s">
        <v>42</v>
      </c>
      <c r="V575" s="11" t="s">
        <v>42</v>
      </c>
      <c r="W575" s="11" t="s">
        <v>42</v>
      </c>
      <c r="X575" s="11" t="s">
        <v>42</v>
      </c>
      <c r="Y575" s="25"/>
      <c r="AC575" s="12" t="s">
        <v>785</v>
      </c>
      <c r="AH575" s="11" t="s">
        <v>122</v>
      </c>
    </row>
    <row r="576" spans="1:34" ht="12.75" customHeight="1">
      <c r="A576" s="1">
        <v>574</v>
      </c>
      <c r="B576" s="14">
        <v>40268</v>
      </c>
      <c r="C576" s="15">
        <v>40247</v>
      </c>
      <c r="E576" s="8" t="s">
        <v>1746</v>
      </c>
      <c r="G576" s="11" t="s">
        <v>20</v>
      </c>
      <c r="H576" s="1">
        <v>31</v>
      </c>
      <c r="I576" s="11" t="s">
        <v>1747</v>
      </c>
      <c r="L576" s="11" t="s">
        <v>24</v>
      </c>
      <c r="M576" s="15">
        <v>40247</v>
      </c>
      <c r="N576" s="1">
        <v>1</v>
      </c>
      <c r="O576" s="11" t="s">
        <v>25</v>
      </c>
      <c r="Q576" s="11" t="s">
        <v>27</v>
      </c>
      <c r="R576" s="11" t="s">
        <v>28</v>
      </c>
      <c r="S576" s="15">
        <f t="shared" ca="1" si="19"/>
        <v>40470.53652858796</v>
      </c>
      <c r="T576" s="8">
        <f t="shared" ca="1" si="20"/>
        <v>7</v>
      </c>
      <c r="U576" s="11" t="s">
        <v>28</v>
      </c>
      <c r="V576" s="11" t="s">
        <v>56</v>
      </c>
      <c r="W576" s="25" t="s">
        <v>56</v>
      </c>
      <c r="X576" s="11" t="s">
        <v>42</v>
      </c>
      <c r="Y576" s="25" t="s">
        <v>2650</v>
      </c>
      <c r="AC576" s="12" t="s">
        <v>1416</v>
      </c>
      <c r="AH576" s="11" t="s">
        <v>1416</v>
      </c>
    </row>
    <row r="577" spans="1:34" ht="12.75" customHeight="1">
      <c r="A577" s="1">
        <v>575</v>
      </c>
      <c r="B577" s="14">
        <v>40268</v>
      </c>
      <c r="C577" s="15">
        <v>40248</v>
      </c>
      <c r="E577" s="8" t="s">
        <v>1748</v>
      </c>
      <c r="G577" s="11" t="s">
        <v>37</v>
      </c>
      <c r="H577" s="1">
        <v>18</v>
      </c>
      <c r="I577" s="11" t="s">
        <v>1780</v>
      </c>
      <c r="J577" s="8" t="s">
        <v>1663</v>
      </c>
      <c r="L577" s="11" t="s">
        <v>24</v>
      </c>
      <c r="M577" s="15">
        <v>40248</v>
      </c>
      <c r="N577" s="1">
        <v>1</v>
      </c>
      <c r="O577" s="11" t="s">
        <v>25</v>
      </c>
      <c r="Q577" s="11" t="s">
        <v>27</v>
      </c>
      <c r="R577" s="11" t="s">
        <v>65</v>
      </c>
      <c r="S577" s="15">
        <f t="shared" ca="1" si="19"/>
        <v>40470.53652858796</v>
      </c>
      <c r="T577" s="8">
        <f t="shared" ca="1" si="20"/>
        <v>7</v>
      </c>
      <c r="U577" s="11" t="s">
        <v>56</v>
      </c>
      <c r="V577" s="11" t="s">
        <v>42</v>
      </c>
      <c r="W577" s="25" t="s">
        <v>56</v>
      </c>
      <c r="X577" s="25" t="s">
        <v>56</v>
      </c>
      <c r="Y577" s="25" t="s">
        <v>2650</v>
      </c>
      <c r="AC577" s="12" t="s">
        <v>1416</v>
      </c>
      <c r="AH577" s="11" t="s">
        <v>1416</v>
      </c>
    </row>
    <row r="578" spans="1:34" ht="12.75" customHeight="1">
      <c r="A578" s="1">
        <v>576</v>
      </c>
      <c r="B578" s="14">
        <v>40268</v>
      </c>
      <c r="C578" s="15">
        <v>40248</v>
      </c>
      <c r="E578" s="8" t="s">
        <v>1781</v>
      </c>
      <c r="G578" s="11" t="s">
        <v>20</v>
      </c>
      <c r="H578" s="1">
        <v>38</v>
      </c>
      <c r="I578" s="11" t="s">
        <v>1782</v>
      </c>
      <c r="J578" s="8" t="s">
        <v>1783</v>
      </c>
      <c r="L578" s="11" t="s">
        <v>24</v>
      </c>
      <c r="M578" s="15">
        <v>40248</v>
      </c>
      <c r="N578" s="1">
        <v>2</v>
      </c>
      <c r="O578" s="11" t="s">
        <v>25</v>
      </c>
      <c r="Q578" s="11" t="s">
        <v>49</v>
      </c>
      <c r="R578" s="11" t="s">
        <v>28</v>
      </c>
      <c r="S578" s="15">
        <f t="shared" ref="S578:S641" ca="1" si="21">NOW()</f>
        <v>40470.53652858796</v>
      </c>
      <c r="T578" s="8">
        <f t="shared" ca="1" si="20"/>
        <v>7</v>
      </c>
      <c r="U578" s="11" t="s">
        <v>42</v>
      </c>
      <c r="V578" s="11" t="s">
        <v>56</v>
      </c>
      <c r="W578" s="11" t="s">
        <v>42</v>
      </c>
      <c r="X578" s="25" t="s">
        <v>56</v>
      </c>
      <c r="Y578" s="25" t="s">
        <v>2650</v>
      </c>
      <c r="AC578" s="12" t="s">
        <v>1416</v>
      </c>
      <c r="AH578" s="11" t="s">
        <v>1416</v>
      </c>
    </row>
    <row r="579" spans="1:34" ht="12.75" customHeight="1">
      <c r="A579" s="1">
        <v>577</v>
      </c>
      <c r="B579" s="14">
        <v>40268</v>
      </c>
      <c r="C579" s="15">
        <v>40249</v>
      </c>
      <c r="E579" s="8" t="s">
        <v>1784</v>
      </c>
      <c r="G579" s="11" t="s">
        <v>37</v>
      </c>
      <c r="H579" s="1">
        <v>16</v>
      </c>
      <c r="I579" s="11" t="s">
        <v>1785</v>
      </c>
      <c r="J579" s="8" t="s">
        <v>1786</v>
      </c>
      <c r="L579" s="11" t="s">
        <v>24</v>
      </c>
      <c r="M579" s="15">
        <v>40249</v>
      </c>
      <c r="N579" s="1">
        <v>1</v>
      </c>
      <c r="O579" s="11" t="s">
        <v>40</v>
      </c>
      <c r="P579" s="11" t="s">
        <v>72</v>
      </c>
      <c r="Q579" s="11" t="s">
        <v>27</v>
      </c>
      <c r="R579" s="11" t="s">
        <v>56</v>
      </c>
      <c r="S579" s="15">
        <f t="shared" ca="1" si="21"/>
        <v>40470.53652858796</v>
      </c>
      <c r="T579" s="8">
        <f t="shared" ca="1" si="20"/>
        <v>7</v>
      </c>
      <c r="U579" s="11" t="s">
        <v>42</v>
      </c>
      <c r="V579" s="11" t="s">
        <v>42</v>
      </c>
      <c r="W579" s="11" t="s">
        <v>42</v>
      </c>
      <c r="X579" s="11" t="s">
        <v>42</v>
      </c>
      <c r="Y579" s="25" t="s">
        <v>2650</v>
      </c>
      <c r="AC579" s="12" t="s">
        <v>1416</v>
      </c>
      <c r="AH579" s="11" t="s">
        <v>1416</v>
      </c>
    </row>
    <row r="580" spans="1:34">
      <c r="A580" s="1">
        <v>578</v>
      </c>
      <c r="B580" s="14">
        <v>40268</v>
      </c>
      <c r="C580" s="15">
        <v>40250</v>
      </c>
      <c r="E580" s="8" t="s">
        <v>1787</v>
      </c>
      <c r="G580" s="11" t="s">
        <v>20</v>
      </c>
      <c r="H580" s="1">
        <v>23</v>
      </c>
      <c r="I580" s="11" t="s">
        <v>1788</v>
      </c>
      <c r="L580" s="11" t="s">
        <v>24</v>
      </c>
      <c r="M580" s="15">
        <v>40250</v>
      </c>
      <c r="N580" s="1">
        <v>1</v>
      </c>
      <c r="O580" s="11" t="s">
        <v>25</v>
      </c>
      <c r="Q580" s="11" t="s">
        <v>27</v>
      </c>
      <c r="R580" s="11" t="s">
        <v>28</v>
      </c>
      <c r="S580" s="15">
        <f t="shared" ca="1" si="21"/>
        <v>40470.53652858796</v>
      </c>
      <c r="T580" s="8">
        <f t="shared" ca="1" si="20"/>
        <v>7</v>
      </c>
      <c r="U580" s="11" t="s">
        <v>56</v>
      </c>
      <c r="V580" s="11" t="s">
        <v>42</v>
      </c>
      <c r="W580" s="25" t="s">
        <v>56</v>
      </c>
      <c r="X580" s="11" t="s">
        <v>42</v>
      </c>
      <c r="Y580" s="25" t="s">
        <v>2650</v>
      </c>
      <c r="AC580" s="12" t="s">
        <v>1416</v>
      </c>
      <c r="AH580" s="11" t="s">
        <v>1416</v>
      </c>
    </row>
    <row r="581" spans="1:34">
      <c r="A581" s="1">
        <v>579</v>
      </c>
      <c r="B581" s="14">
        <v>40268</v>
      </c>
      <c r="C581" s="15">
        <v>40252</v>
      </c>
      <c r="E581" s="8" t="s">
        <v>1789</v>
      </c>
      <c r="G581" s="11" t="s">
        <v>20</v>
      </c>
      <c r="H581" s="1">
        <v>40</v>
      </c>
      <c r="I581" s="11" t="s">
        <v>1790</v>
      </c>
      <c r="L581" s="11" t="s">
        <v>24</v>
      </c>
      <c r="M581" s="15">
        <v>40252</v>
      </c>
      <c r="N581" s="1">
        <v>1</v>
      </c>
      <c r="O581" s="11" t="s">
        <v>40</v>
      </c>
      <c r="P581" s="11" t="s">
        <v>431</v>
      </c>
      <c r="Q581" s="11" t="s">
        <v>27</v>
      </c>
      <c r="R581" s="25" t="s">
        <v>2729</v>
      </c>
      <c r="S581" s="15">
        <f t="shared" ca="1" si="21"/>
        <v>40470.53652858796</v>
      </c>
      <c r="T581" s="8">
        <f t="shared" ca="1" si="20"/>
        <v>7</v>
      </c>
      <c r="U581" s="11" t="s">
        <v>42</v>
      </c>
      <c r="V581" s="11" t="s">
        <v>42</v>
      </c>
      <c r="W581" s="11" t="s">
        <v>42</v>
      </c>
      <c r="X581" s="11" t="s">
        <v>42</v>
      </c>
      <c r="AC581" s="12" t="s">
        <v>785</v>
      </c>
      <c r="AD581" s="25">
        <v>40266</v>
      </c>
      <c r="AH581" s="11" t="s">
        <v>122</v>
      </c>
    </row>
    <row r="582" spans="1:34">
      <c r="A582" s="1">
        <v>580</v>
      </c>
      <c r="B582" s="14">
        <v>40268</v>
      </c>
      <c r="C582" s="15">
        <v>40255</v>
      </c>
      <c r="E582" s="8" t="s">
        <v>1791</v>
      </c>
      <c r="G582" s="11" t="s">
        <v>37</v>
      </c>
      <c r="H582" s="1">
        <v>16</v>
      </c>
      <c r="I582" s="11" t="s">
        <v>1792</v>
      </c>
      <c r="L582" s="11" t="s">
        <v>24</v>
      </c>
      <c r="M582" s="15">
        <v>40255</v>
      </c>
      <c r="N582" s="1">
        <v>1</v>
      </c>
      <c r="O582" s="11" t="s">
        <v>40</v>
      </c>
      <c r="P582" s="11" t="s">
        <v>1384</v>
      </c>
      <c r="Q582" s="11" t="s">
        <v>27</v>
      </c>
      <c r="R582" s="25" t="s">
        <v>56</v>
      </c>
      <c r="S582" s="15">
        <f t="shared" ca="1" si="21"/>
        <v>40470.53652858796</v>
      </c>
      <c r="T582" s="8">
        <f t="shared" ca="1" si="20"/>
        <v>7</v>
      </c>
      <c r="U582" s="11" t="s">
        <v>42</v>
      </c>
      <c r="V582" s="11" t="s">
        <v>42</v>
      </c>
      <c r="W582" s="11" t="s">
        <v>42</v>
      </c>
      <c r="X582" s="11" t="s">
        <v>42</v>
      </c>
      <c r="Y582" s="25" t="s">
        <v>2650</v>
      </c>
      <c r="AC582" s="12" t="s">
        <v>1416</v>
      </c>
      <c r="AH582" s="11" t="s">
        <v>1416</v>
      </c>
    </row>
    <row r="583" spans="1:34">
      <c r="A583" s="1">
        <v>581</v>
      </c>
      <c r="B583" s="14">
        <v>40268</v>
      </c>
      <c r="C583" s="15">
        <v>40252</v>
      </c>
      <c r="E583" s="8" t="s">
        <v>1793</v>
      </c>
      <c r="G583" s="11" t="s">
        <v>37</v>
      </c>
      <c r="H583" s="1">
        <v>16</v>
      </c>
      <c r="I583" s="11" t="s">
        <v>1794</v>
      </c>
      <c r="J583" s="8" t="s">
        <v>1795</v>
      </c>
      <c r="L583" s="11" t="s">
        <v>24</v>
      </c>
      <c r="M583" s="15">
        <v>40252</v>
      </c>
      <c r="N583" s="1">
        <v>2</v>
      </c>
      <c r="O583" s="11" t="s">
        <v>25</v>
      </c>
      <c r="Q583" s="11" t="s">
        <v>407</v>
      </c>
      <c r="R583" s="11" t="s">
        <v>60</v>
      </c>
      <c r="S583" s="15">
        <f t="shared" ca="1" si="21"/>
        <v>40470.53652858796</v>
      </c>
      <c r="T583" s="8">
        <f t="shared" ca="1" si="20"/>
        <v>7</v>
      </c>
      <c r="U583" s="11" t="s">
        <v>42</v>
      </c>
      <c r="V583" s="25" t="s">
        <v>60</v>
      </c>
      <c r="W583" s="25" t="s">
        <v>56</v>
      </c>
      <c r="X583" s="11" t="s">
        <v>42</v>
      </c>
      <c r="Y583" s="25" t="s">
        <v>2650</v>
      </c>
      <c r="AC583" s="12" t="s">
        <v>132</v>
      </c>
      <c r="AD583" s="25">
        <v>40347</v>
      </c>
      <c r="AH583" s="11" t="s">
        <v>132</v>
      </c>
    </row>
    <row r="584" spans="1:34">
      <c r="A584" s="1">
        <v>582</v>
      </c>
      <c r="B584" s="14">
        <v>40268</v>
      </c>
      <c r="C584" s="15">
        <v>40253</v>
      </c>
      <c r="E584" s="8" t="s">
        <v>1796</v>
      </c>
      <c r="G584" s="11" t="s">
        <v>37</v>
      </c>
      <c r="H584" s="1">
        <v>45</v>
      </c>
      <c r="I584" s="11" t="s">
        <v>1797</v>
      </c>
      <c r="J584" s="8" t="s">
        <v>1798</v>
      </c>
      <c r="L584" s="11" t="s">
        <v>24</v>
      </c>
      <c r="M584" s="15">
        <v>40253</v>
      </c>
      <c r="N584" s="1">
        <v>1</v>
      </c>
      <c r="O584" s="11" t="s">
        <v>25</v>
      </c>
      <c r="Q584" s="11" t="s">
        <v>27</v>
      </c>
      <c r="R584" s="11" t="s">
        <v>42</v>
      </c>
      <c r="S584" s="15">
        <f t="shared" ca="1" si="21"/>
        <v>40470.53652858796</v>
      </c>
      <c r="T584" s="8">
        <f t="shared" ca="1" si="20"/>
        <v>7</v>
      </c>
      <c r="U584" s="11" t="s">
        <v>42</v>
      </c>
      <c r="V584" s="11" t="s">
        <v>42</v>
      </c>
      <c r="W584" s="11" t="s">
        <v>42</v>
      </c>
      <c r="X584" s="11" t="s">
        <v>42</v>
      </c>
      <c r="Y584" s="25" t="s">
        <v>2650</v>
      </c>
      <c r="AC584" s="12" t="s">
        <v>785</v>
      </c>
      <c r="AD584" s="25">
        <v>40253</v>
      </c>
      <c r="AH584" s="11" t="s">
        <v>122</v>
      </c>
    </row>
    <row r="585" spans="1:34">
      <c r="A585" s="1">
        <v>583</v>
      </c>
      <c r="B585" s="14">
        <v>40268</v>
      </c>
      <c r="C585" s="15">
        <v>40253</v>
      </c>
      <c r="E585" s="8" t="s">
        <v>1799</v>
      </c>
      <c r="G585" s="11" t="s">
        <v>20</v>
      </c>
      <c r="H585" s="1">
        <v>35</v>
      </c>
      <c r="I585" s="11" t="s">
        <v>1800</v>
      </c>
      <c r="J585" s="8" t="s">
        <v>1801</v>
      </c>
      <c r="L585" s="11" t="s">
        <v>24</v>
      </c>
      <c r="M585" s="15">
        <v>40253</v>
      </c>
      <c r="N585" s="1">
        <v>1</v>
      </c>
      <c r="O585" s="11" t="s">
        <v>40</v>
      </c>
      <c r="P585" s="11" t="s">
        <v>213</v>
      </c>
      <c r="Q585" s="11" t="s">
        <v>27</v>
      </c>
      <c r="R585" s="25" t="s">
        <v>2731</v>
      </c>
      <c r="S585" s="15">
        <f t="shared" ca="1" si="21"/>
        <v>40470.53652858796</v>
      </c>
      <c r="T585" s="8">
        <f t="shared" ca="1" si="20"/>
        <v>7</v>
      </c>
      <c r="U585" s="11" t="s">
        <v>42</v>
      </c>
      <c r="V585" s="11" t="s">
        <v>42</v>
      </c>
      <c r="W585" s="11" t="s">
        <v>42</v>
      </c>
      <c r="X585" s="11" t="s">
        <v>42</v>
      </c>
      <c r="Y585" s="25" t="s">
        <v>2650</v>
      </c>
      <c r="AC585" s="12" t="s">
        <v>1416</v>
      </c>
      <c r="AH585" s="11" t="s">
        <v>1416</v>
      </c>
    </row>
    <row r="586" spans="1:34">
      <c r="A586" s="1">
        <v>584</v>
      </c>
      <c r="B586" s="14">
        <v>40268</v>
      </c>
      <c r="C586" s="15">
        <v>40253</v>
      </c>
      <c r="E586" s="8" t="s">
        <v>1802</v>
      </c>
      <c r="G586" s="11" t="s">
        <v>37</v>
      </c>
      <c r="H586" s="1">
        <v>11</v>
      </c>
      <c r="I586" s="11" t="s">
        <v>814</v>
      </c>
      <c r="L586" s="11" t="s">
        <v>24</v>
      </c>
      <c r="M586" s="15">
        <v>40253</v>
      </c>
      <c r="N586" s="1">
        <v>1</v>
      </c>
      <c r="O586" s="11" t="s">
        <v>40</v>
      </c>
      <c r="P586" s="11" t="s">
        <v>72</v>
      </c>
      <c r="Q586" s="11" t="s">
        <v>27</v>
      </c>
      <c r="R586" s="25" t="s">
        <v>56</v>
      </c>
      <c r="S586" s="15">
        <f t="shared" ca="1" si="21"/>
        <v>40470.53652858796</v>
      </c>
      <c r="T586" s="8">
        <f t="shared" ca="1" si="20"/>
        <v>7</v>
      </c>
      <c r="U586" s="11" t="s">
        <v>42</v>
      </c>
      <c r="V586" s="11" t="s">
        <v>42</v>
      </c>
      <c r="W586" s="11" t="s">
        <v>42</v>
      </c>
      <c r="X586" s="11" t="s">
        <v>42</v>
      </c>
      <c r="Y586" s="25" t="s">
        <v>2650</v>
      </c>
      <c r="AC586" s="12" t="s">
        <v>1416</v>
      </c>
      <c r="AH586" s="11" t="s">
        <v>1416</v>
      </c>
    </row>
    <row r="587" spans="1:34">
      <c r="A587" s="1">
        <v>585</v>
      </c>
      <c r="B587" s="14">
        <v>40268</v>
      </c>
      <c r="C587" s="15">
        <v>40254</v>
      </c>
      <c r="E587" s="8" t="s">
        <v>1803</v>
      </c>
      <c r="G587" s="11" t="s">
        <v>37</v>
      </c>
      <c r="H587" s="1">
        <v>22</v>
      </c>
      <c r="I587" s="11" t="s">
        <v>1804</v>
      </c>
      <c r="J587" s="8" t="s">
        <v>1805</v>
      </c>
      <c r="L587" s="11" t="s">
        <v>24</v>
      </c>
      <c r="M587" s="15">
        <v>40254</v>
      </c>
      <c r="N587" s="1">
        <v>1</v>
      </c>
      <c r="O587" s="11" t="s">
        <v>25</v>
      </c>
      <c r="Q587" s="11" t="s">
        <v>27</v>
      </c>
      <c r="R587" s="25" t="s">
        <v>28</v>
      </c>
      <c r="S587" s="15">
        <f t="shared" ca="1" si="21"/>
        <v>40470.53652858796</v>
      </c>
      <c r="T587" s="8">
        <f t="shared" ca="1" si="20"/>
        <v>7</v>
      </c>
      <c r="U587" s="11" t="s">
        <v>60</v>
      </c>
      <c r="V587" s="11" t="s">
        <v>60</v>
      </c>
      <c r="W587" s="11" t="s">
        <v>42</v>
      </c>
      <c r="X587" s="25" t="s">
        <v>60</v>
      </c>
      <c r="Y587" s="25" t="s">
        <v>2650</v>
      </c>
      <c r="AC587" s="12" t="s">
        <v>132</v>
      </c>
      <c r="AD587" s="25">
        <v>40362</v>
      </c>
      <c r="AH587" s="25" t="s">
        <v>132</v>
      </c>
    </row>
    <row r="588" spans="1:34">
      <c r="A588" s="1">
        <v>586</v>
      </c>
      <c r="B588" s="14">
        <v>40268</v>
      </c>
      <c r="C588" s="15">
        <v>40256</v>
      </c>
      <c r="E588" s="8" t="s">
        <v>1806</v>
      </c>
      <c r="G588" s="11" t="s">
        <v>20</v>
      </c>
      <c r="H588" s="1">
        <v>17</v>
      </c>
      <c r="I588" s="11" t="s">
        <v>321</v>
      </c>
      <c r="J588" s="8" t="s">
        <v>1807</v>
      </c>
      <c r="L588" s="11" t="s">
        <v>24</v>
      </c>
      <c r="M588" s="15">
        <v>40256</v>
      </c>
      <c r="N588" s="1">
        <v>1</v>
      </c>
      <c r="O588" s="11" t="s">
        <v>25</v>
      </c>
      <c r="Q588" s="11" t="s">
        <v>27</v>
      </c>
      <c r="R588" s="11" t="s">
        <v>65</v>
      </c>
      <c r="S588" s="15">
        <f t="shared" ca="1" si="21"/>
        <v>40470.53652858796</v>
      </c>
      <c r="T588" s="8">
        <f t="shared" ca="1" si="20"/>
        <v>7</v>
      </c>
      <c r="U588" s="11" t="s">
        <v>56</v>
      </c>
      <c r="V588" s="11" t="s">
        <v>42</v>
      </c>
      <c r="W588" s="25" t="s">
        <v>56</v>
      </c>
      <c r="X588" s="11" t="s">
        <v>42</v>
      </c>
      <c r="Y588" s="25" t="s">
        <v>2650</v>
      </c>
      <c r="AC588" s="12" t="s">
        <v>1416</v>
      </c>
      <c r="AH588" s="11" t="s">
        <v>1416</v>
      </c>
    </row>
    <row r="589" spans="1:34">
      <c r="A589" s="1">
        <v>587</v>
      </c>
      <c r="B589" s="14">
        <v>40268</v>
      </c>
      <c r="C589" s="15">
        <v>40257</v>
      </c>
      <c r="E589" s="8" t="s">
        <v>1808</v>
      </c>
      <c r="G589" s="11" t="s">
        <v>20</v>
      </c>
      <c r="H589" s="1">
        <v>35</v>
      </c>
      <c r="I589" s="11" t="s">
        <v>1809</v>
      </c>
      <c r="J589" s="8" t="s">
        <v>1810</v>
      </c>
      <c r="L589" s="11" t="s">
        <v>24</v>
      </c>
      <c r="M589" s="15">
        <v>40257</v>
      </c>
      <c r="N589" s="1">
        <v>1</v>
      </c>
      <c r="O589" s="11" t="s">
        <v>40</v>
      </c>
      <c r="P589" s="11" t="s">
        <v>213</v>
      </c>
      <c r="Q589" s="11" t="s">
        <v>27</v>
      </c>
      <c r="R589" s="25" t="s">
        <v>56</v>
      </c>
      <c r="S589" s="15">
        <f t="shared" ca="1" si="21"/>
        <v>40470.53652858796</v>
      </c>
      <c r="T589" s="8">
        <f t="shared" ca="1" si="20"/>
        <v>7</v>
      </c>
      <c r="U589" s="11" t="s">
        <v>42</v>
      </c>
      <c r="V589" s="11" t="s">
        <v>42</v>
      </c>
      <c r="W589" s="11" t="s">
        <v>42</v>
      </c>
      <c r="X589" s="11" t="s">
        <v>42</v>
      </c>
      <c r="Y589" s="25"/>
      <c r="AC589" s="12" t="s">
        <v>785</v>
      </c>
      <c r="AD589" s="25">
        <v>40267</v>
      </c>
      <c r="AH589" s="11" t="s">
        <v>122</v>
      </c>
    </row>
    <row r="590" spans="1:34">
      <c r="A590" s="1">
        <v>588</v>
      </c>
      <c r="B590" s="14">
        <v>40268</v>
      </c>
      <c r="C590" s="15">
        <v>40259</v>
      </c>
      <c r="E590" s="8" t="s">
        <v>1811</v>
      </c>
      <c r="G590" s="11" t="s">
        <v>37</v>
      </c>
      <c r="H590" s="1">
        <v>23</v>
      </c>
      <c r="I590" s="11" t="s">
        <v>1812</v>
      </c>
      <c r="L590" s="11" t="s">
        <v>24</v>
      </c>
      <c r="M590" s="15">
        <v>40259</v>
      </c>
      <c r="N590" s="1">
        <v>1</v>
      </c>
      <c r="O590" s="11" t="s">
        <v>25</v>
      </c>
      <c r="Q590" s="11" t="s">
        <v>27</v>
      </c>
      <c r="R590" s="11" t="s">
        <v>65</v>
      </c>
      <c r="S590" s="15">
        <f t="shared" ca="1" si="21"/>
        <v>40470.53652858796</v>
      </c>
      <c r="T590" s="8">
        <f t="shared" ref="T590:T653" ca="1" si="22">(YEAR(S590)-YEAR(M590))*12+MONTH(S590)-MONTH(M590)</f>
        <v>7</v>
      </c>
      <c r="U590" s="11" t="s">
        <v>42</v>
      </c>
      <c r="V590" s="11" t="s">
        <v>42</v>
      </c>
      <c r="W590" s="11" t="s">
        <v>42</v>
      </c>
      <c r="X590" s="11" t="s">
        <v>42</v>
      </c>
      <c r="AC590" s="12" t="s">
        <v>785</v>
      </c>
      <c r="AD590" s="25">
        <v>40259</v>
      </c>
      <c r="AH590" s="11" t="s">
        <v>122</v>
      </c>
    </row>
    <row r="591" spans="1:34">
      <c r="A591" s="1">
        <v>589</v>
      </c>
      <c r="B591" s="14">
        <v>40268</v>
      </c>
      <c r="C591" s="15">
        <v>40259</v>
      </c>
      <c r="E591" s="8" t="s">
        <v>1813</v>
      </c>
      <c r="G591" s="11" t="s">
        <v>20</v>
      </c>
      <c r="H591" s="1">
        <v>54</v>
      </c>
      <c r="I591" s="11" t="s">
        <v>1814</v>
      </c>
      <c r="L591" s="11" t="s">
        <v>24</v>
      </c>
      <c r="M591" s="15">
        <v>40259</v>
      </c>
      <c r="N591" s="1">
        <v>2</v>
      </c>
      <c r="O591" s="11" t="s">
        <v>25</v>
      </c>
      <c r="Q591" s="11" t="s">
        <v>49</v>
      </c>
      <c r="R591" s="11" t="s">
        <v>60</v>
      </c>
      <c r="S591" s="15">
        <f t="shared" ca="1" si="21"/>
        <v>40470.53652858796</v>
      </c>
      <c r="T591" s="8">
        <f t="shared" ca="1" si="22"/>
        <v>7</v>
      </c>
      <c r="U591" s="11" t="s">
        <v>56</v>
      </c>
      <c r="V591" s="11" t="s">
        <v>42</v>
      </c>
      <c r="W591" s="11" t="s">
        <v>42</v>
      </c>
      <c r="X591" s="11" t="s">
        <v>42</v>
      </c>
      <c r="Y591" s="25" t="s">
        <v>2650</v>
      </c>
      <c r="AC591" s="12" t="s">
        <v>1416</v>
      </c>
      <c r="AH591" s="11" t="s">
        <v>1416</v>
      </c>
    </row>
    <row r="592" spans="1:34">
      <c r="A592" s="1">
        <v>590</v>
      </c>
      <c r="B592" s="14">
        <v>40268</v>
      </c>
      <c r="C592" s="15">
        <v>40259</v>
      </c>
      <c r="E592" s="8" t="s">
        <v>1815</v>
      </c>
      <c r="G592" s="11" t="s">
        <v>20</v>
      </c>
      <c r="H592" s="1">
        <v>18</v>
      </c>
      <c r="I592" s="11" t="s">
        <v>1816</v>
      </c>
      <c r="J592" s="8" t="s">
        <v>1817</v>
      </c>
      <c r="L592" s="11" t="s">
        <v>24</v>
      </c>
      <c r="M592" s="15">
        <v>40259</v>
      </c>
      <c r="N592" s="1">
        <v>1</v>
      </c>
      <c r="O592" s="11" t="s">
        <v>25</v>
      </c>
      <c r="Q592" s="11" t="s">
        <v>27</v>
      </c>
      <c r="R592" s="11" t="s">
        <v>60</v>
      </c>
      <c r="S592" s="15">
        <f t="shared" ca="1" si="21"/>
        <v>40470.53652858796</v>
      </c>
      <c r="T592" s="8">
        <f t="shared" ca="1" si="22"/>
        <v>7</v>
      </c>
      <c r="U592" s="11" t="s">
        <v>56</v>
      </c>
      <c r="V592" s="11" t="s">
        <v>42</v>
      </c>
      <c r="W592" s="25" t="s">
        <v>56</v>
      </c>
      <c r="X592" s="11" t="s">
        <v>42</v>
      </c>
      <c r="Y592" s="25" t="s">
        <v>2650</v>
      </c>
      <c r="AC592" s="12" t="s">
        <v>1416</v>
      </c>
      <c r="AH592" s="11" t="s">
        <v>1416</v>
      </c>
    </row>
    <row r="593" spans="1:34">
      <c r="A593" s="1">
        <v>591</v>
      </c>
      <c r="B593" s="14">
        <v>40268</v>
      </c>
      <c r="C593" s="15">
        <v>40259</v>
      </c>
      <c r="E593" s="8" t="s">
        <v>1818</v>
      </c>
      <c r="G593" s="11" t="s">
        <v>20</v>
      </c>
      <c r="H593" s="1">
        <v>16</v>
      </c>
      <c r="I593" s="11" t="s">
        <v>1819</v>
      </c>
      <c r="J593" s="8" t="s">
        <v>1820</v>
      </c>
      <c r="L593" s="11" t="s">
        <v>24</v>
      </c>
      <c r="M593" s="15">
        <v>40259</v>
      </c>
      <c r="N593" s="1">
        <v>2</v>
      </c>
      <c r="O593" s="11" t="s">
        <v>40</v>
      </c>
      <c r="P593" s="25" t="s">
        <v>176</v>
      </c>
      <c r="Q593" s="11" t="s">
        <v>477</v>
      </c>
      <c r="R593" s="25" t="s">
        <v>56</v>
      </c>
      <c r="S593" s="15">
        <f t="shared" ca="1" si="21"/>
        <v>40470.53652858796</v>
      </c>
      <c r="T593" s="8">
        <f t="shared" ca="1" si="22"/>
        <v>7</v>
      </c>
      <c r="U593" s="11" t="s">
        <v>42</v>
      </c>
      <c r="V593" s="11" t="s">
        <v>42</v>
      </c>
      <c r="W593" s="11" t="s">
        <v>42</v>
      </c>
      <c r="X593" s="11" t="s">
        <v>42</v>
      </c>
      <c r="Y593" s="25" t="s">
        <v>2650</v>
      </c>
      <c r="AC593" s="12" t="s">
        <v>1416</v>
      </c>
      <c r="AH593" s="11" t="s">
        <v>1416</v>
      </c>
    </row>
    <row r="594" spans="1:34">
      <c r="A594" s="1">
        <v>592</v>
      </c>
      <c r="B594" s="14">
        <v>40268</v>
      </c>
      <c r="C594" s="15">
        <v>40259</v>
      </c>
      <c r="E594" s="8" t="s">
        <v>1821</v>
      </c>
      <c r="G594" s="11" t="s">
        <v>37</v>
      </c>
      <c r="H594" s="1">
        <v>20</v>
      </c>
      <c r="I594" s="11" t="s">
        <v>1822</v>
      </c>
      <c r="J594" s="8" t="s">
        <v>1823</v>
      </c>
      <c r="L594" s="11" t="s">
        <v>24</v>
      </c>
      <c r="M594" s="15">
        <v>40259</v>
      </c>
      <c r="N594" s="1">
        <v>1</v>
      </c>
      <c r="O594" s="11" t="s">
        <v>25</v>
      </c>
      <c r="Q594" s="11" t="s">
        <v>27</v>
      </c>
      <c r="R594" s="11" t="s">
        <v>56</v>
      </c>
      <c r="S594" s="15">
        <f t="shared" ca="1" si="21"/>
        <v>40470.53652858796</v>
      </c>
      <c r="T594" s="8">
        <f t="shared" ca="1" si="22"/>
        <v>7</v>
      </c>
      <c r="U594" s="11" t="s">
        <v>56</v>
      </c>
      <c r="V594" s="11" t="s">
        <v>42</v>
      </c>
      <c r="W594" s="11" t="s">
        <v>42</v>
      </c>
      <c r="X594" s="11" t="s">
        <v>42</v>
      </c>
      <c r="Y594" s="25" t="s">
        <v>2650</v>
      </c>
      <c r="AC594" s="12" t="s">
        <v>1416</v>
      </c>
      <c r="AH594" s="11" t="s">
        <v>1416</v>
      </c>
    </row>
    <row r="595" spans="1:34">
      <c r="A595" s="1">
        <v>593</v>
      </c>
      <c r="B595" s="14">
        <v>40268</v>
      </c>
      <c r="C595" s="15">
        <v>40261</v>
      </c>
      <c r="E595" s="8" t="s">
        <v>1824</v>
      </c>
      <c r="G595" s="11" t="s">
        <v>37</v>
      </c>
      <c r="H595" s="1">
        <v>19</v>
      </c>
      <c r="I595" s="11" t="s">
        <v>1825</v>
      </c>
      <c r="J595" s="8" t="s">
        <v>1826</v>
      </c>
      <c r="L595" s="11" t="s">
        <v>24</v>
      </c>
      <c r="M595" s="15">
        <v>40261</v>
      </c>
      <c r="N595" s="1">
        <v>1</v>
      </c>
      <c r="O595" s="11" t="s">
        <v>25</v>
      </c>
      <c r="Q595" s="11" t="s">
        <v>27</v>
      </c>
      <c r="R595" s="11" t="s">
        <v>60</v>
      </c>
      <c r="S595" s="15">
        <f t="shared" ca="1" si="21"/>
        <v>40470.53652858796</v>
      </c>
      <c r="T595" s="8">
        <f t="shared" ca="1" si="22"/>
        <v>7</v>
      </c>
      <c r="U595" s="11" t="s">
        <v>28</v>
      </c>
      <c r="V595" s="11" t="s">
        <v>56</v>
      </c>
      <c r="W595" s="11" t="s">
        <v>42</v>
      </c>
      <c r="X595" s="11" t="s">
        <v>42</v>
      </c>
      <c r="Y595" s="25" t="s">
        <v>2650</v>
      </c>
      <c r="AC595" s="12" t="s">
        <v>1416</v>
      </c>
      <c r="AH595" s="11" t="s">
        <v>1416</v>
      </c>
    </row>
    <row r="596" spans="1:34">
      <c r="A596" s="1">
        <v>594</v>
      </c>
      <c r="B596" s="14">
        <v>40268</v>
      </c>
      <c r="C596" s="15">
        <v>40261</v>
      </c>
      <c r="E596" s="8" t="s">
        <v>1827</v>
      </c>
      <c r="G596" s="11" t="s">
        <v>37</v>
      </c>
      <c r="H596" s="1">
        <v>16</v>
      </c>
      <c r="I596" s="11" t="s">
        <v>1828</v>
      </c>
      <c r="J596" s="8" t="s">
        <v>1829</v>
      </c>
      <c r="L596" s="11" t="s">
        <v>24</v>
      </c>
      <c r="M596" s="15">
        <v>40261</v>
      </c>
      <c r="N596" s="1">
        <v>1</v>
      </c>
      <c r="O596" s="11" t="s">
        <v>25</v>
      </c>
      <c r="Q596" s="11" t="s">
        <v>27</v>
      </c>
      <c r="R596" s="11" t="s">
        <v>56</v>
      </c>
      <c r="S596" s="15">
        <f t="shared" ca="1" si="21"/>
        <v>40470.53652858796</v>
      </c>
      <c r="T596" s="8">
        <f t="shared" ca="1" si="22"/>
        <v>7</v>
      </c>
      <c r="U596" s="11" t="s">
        <v>42</v>
      </c>
      <c r="V596" s="11" t="s">
        <v>42</v>
      </c>
      <c r="W596" s="11" t="s">
        <v>42</v>
      </c>
      <c r="X596" s="11" t="s">
        <v>42</v>
      </c>
      <c r="Y596" s="25" t="s">
        <v>2650</v>
      </c>
      <c r="AC596" s="12" t="s">
        <v>1416</v>
      </c>
      <c r="AH596" s="11" t="s">
        <v>1416</v>
      </c>
    </row>
    <row r="597" spans="1:34">
      <c r="A597" s="1">
        <v>595</v>
      </c>
      <c r="B597" s="14">
        <v>40268</v>
      </c>
      <c r="C597" s="15">
        <v>40262</v>
      </c>
      <c r="E597" s="8" t="s">
        <v>1830</v>
      </c>
      <c r="G597" s="11" t="s">
        <v>37</v>
      </c>
      <c r="H597" s="1">
        <v>36</v>
      </c>
      <c r="I597" s="11" t="s">
        <v>1831</v>
      </c>
      <c r="J597" s="8" t="s">
        <v>1832</v>
      </c>
      <c r="L597" s="11" t="s">
        <v>24</v>
      </c>
      <c r="M597" s="15">
        <v>40262</v>
      </c>
      <c r="N597" s="1">
        <v>2</v>
      </c>
      <c r="O597" s="11" t="s">
        <v>25</v>
      </c>
      <c r="Q597" s="11" t="s">
        <v>407</v>
      </c>
      <c r="R597" s="25" t="s">
        <v>2752</v>
      </c>
      <c r="S597" s="15">
        <f t="shared" ca="1" si="21"/>
        <v>40470.53652858796</v>
      </c>
      <c r="T597" s="8">
        <f t="shared" ca="1" si="22"/>
        <v>7</v>
      </c>
      <c r="U597" s="11" t="s">
        <v>42</v>
      </c>
      <c r="V597" s="25" t="s">
        <v>2752</v>
      </c>
      <c r="W597" s="25" t="s">
        <v>28</v>
      </c>
      <c r="X597" s="25" t="s">
        <v>28</v>
      </c>
      <c r="Y597" s="25" t="s">
        <v>2650</v>
      </c>
      <c r="AC597" s="12" t="s">
        <v>1416</v>
      </c>
      <c r="AH597" s="11" t="s">
        <v>1416</v>
      </c>
    </row>
    <row r="598" spans="1:34">
      <c r="A598" s="1">
        <v>596</v>
      </c>
      <c r="B598" s="14">
        <v>40268</v>
      </c>
      <c r="C598" s="15">
        <v>40262</v>
      </c>
      <c r="E598" s="8" t="s">
        <v>1833</v>
      </c>
      <c r="G598" s="11" t="s">
        <v>37</v>
      </c>
      <c r="H598" s="1">
        <v>18</v>
      </c>
      <c r="I598" s="11" t="s">
        <v>1834</v>
      </c>
      <c r="J598" s="8" t="s">
        <v>1835</v>
      </c>
      <c r="L598" s="11" t="s">
        <v>24</v>
      </c>
      <c r="M598" s="15">
        <v>40262</v>
      </c>
      <c r="N598" s="1">
        <v>1</v>
      </c>
      <c r="O598" s="11" t="s">
        <v>40</v>
      </c>
      <c r="P598" s="25" t="s">
        <v>2208</v>
      </c>
      <c r="Q598" s="11" t="s">
        <v>27</v>
      </c>
      <c r="R598" s="25" t="s">
        <v>56</v>
      </c>
      <c r="S598" s="15">
        <f t="shared" ca="1" si="21"/>
        <v>40470.53652858796</v>
      </c>
      <c r="T598" s="8">
        <f t="shared" ca="1" si="22"/>
        <v>7</v>
      </c>
      <c r="U598" s="11" t="s">
        <v>42</v>
      </c>
      <c r="V598" s="11" t="s">
        <v>42</v>
      </c>
      <c r="W598" s="11" t="s">
        <v>42</v>
      </c>
      <c r="X598" s="11" t="s">
        <v>42</v>
      </c>
      <c r="AC598" s="12" t="s">
        <v>2289</v>
      </c>
      <c r="AD598" s="25">
        <v>40402</v>
      </c>
      <c r="AH598" s="25" t="s">
        <v>2289</v>
      </c>
    </row>
    <row r="599" spans="1:34">
      <c r="A599" s="1">
        <v>597</v>
      </c>
      <c r="B599" s="14">
        <v>40268</v>
      </c>
      <c r="C599" s="15">
        <v>40266</v>
      </c>
      <c r="E599" s="8" t="s">
        <v>1836</v>
      </c>
      <c r="G599" s="11" t="s">
        <v>37</v>
      </c>
      <c r="H599" s="1">
        <v>17</v>
      </c>
      <c r="I599" s="11" t="s">
        <v>1837</v>
      </c>
      <c r="L599" s="11" t="s">
        <v>24</v>
      </c>
      <c r="M599" s="15">
        <v>40266</v>
      </c>
      <c r="N599" s="1">
        <v>2</v>
      </c>
      <c r="O599" s="11" t="s">
        <v>25</v>
      </c>
      <c r="Q599" s="11" t="s">
        <v>49</v>
      </c>
      <c r="R599" s="11" t="s">
        <v>60</v>
      </c>
      <c r="S599" s="15">
        <f t="shared" ca="1" si="21"/>
        <v>40470.53652858796</v>
      </c>
      <c r="T599" s="8">
        <f t="shared" ca="1" si="22"/>
        <v>7</v>
      </c>
      <c r="U599" s="11" t="s">
        <v>42</v>
      </c>
      <c r="V599" s="11" t="s">
        <v>56</v>
      </c>
      <c r="W599" s="11" t="s">
        <v>42</v>
      </c>
      <c r="X599" s="11" t="s">
        <v>42</v>
      </c>
      <c r="Y599" s="25" t="s">
        <v>2650</v>
      </c>
      <c r="AC599" s="12" t="s">
        <v>1416</v>
      </c>
      <c r="AH599" s="11" t="s">
        <v>1416</v>
      </c>
    </row>
    <row r="600" spans="1:34">
      <c r="A600" s="1">
        <v>598</v>
      </c>
      <c r="B600" s="14">
        <v>40268</v>
      </c>
      <c r="C600" s="15">
        <v>40267</v>
      </c>
      <c r="E600" s="8" t="s">
        <v>1838</v>
      </c>
      <c r="G600" s="11" t="s">
        <v>37</v>
      </c>
      <c r="H600" s="1">
        <v>20</v>
      </c>
      <c r="I600" s="11" t="s">
        <v>1839</v>
      </c>
      <c r="J600" s="8" t="s">
        <v>1840</v>
      </c>
      <c r="L600" s="11" t="s">
        <v>24</v>
      </c>
      <c r="M600" s="15">
        <v>40267</v>
      </c>
      <c r="N600" s="1">
        <v>1</v>
      </c>
      <c r="O600" s="11" t="s">
        <v>25</v>
      </c>
      <c r="Q600" s="11" t="s">
        <v>27</v>
      </c>
      <c r="R600" s="11" t="s">
        <v>60</v>
      </c>
      <c r="S600" s="15">
        <f t="shared" ca="1" si="21"/>
        <v>40470.53652858796</v>
      </c>
      <c r="T600" s="8">
        <f t="shared" ca="1" si="22"/>
        <v>7</v>
      </c>
      <c r="U600" s="11" t="s">
        <v>56</v>
      </c>
      <c r="V600" s="11" t="s">
        <v>42</v>
      </c>
      <c r="W600" s="25" t="s">
        <v>56</v>
      </c>
      <c r="X600" s="11" t="s">
        <v>42</v>
      </c>
      <c r="Y600" s="25" t="s">
        <v>2650</v>
      </c>
      <c r="AC600" s="12" t="s">
        <v>1416</v>
      </c>
      <c r="AH600" s="11" t="s">
        <v>1416</v>
      </c>
    </row>
    <row r="601" spans="1:34">
      <c r="A601" s="1">
        <v>599</v>
      </c>
      <c r="B601" s="14">
        <v>40268</v>
      </c>
      <c r="C601" s="15">
        <v>40267</v>
      </c>
      <c r="E601" s="8" t="s">
        <v>1841</v>
      </c>
      <c r="G601" s="11" t="s">
        <v>20</v>
      </c>
      <c r="H601" s="1">
        <v>30</v>
      </c>
      <c r="I601" s="11" t="s">
        <v>1842</v>
      </c>
      <c r="J601" s="8" t="s">
        <v>1843</v>
      </c>
      <c r="L601" s="11" t="s">
        <v>24</v>
      </c>
      <c r="M601" s="15">
        <v>40267</v>
      </c>
      <c r="N601" s="1">
        <v>1</v>
      </c>
      <c r="O601" s="11" t="s">
        <v>25</v>
      </c>
      <c r="Q601" s="11" t="s">
        <v>27</v>
      </c>
      <c r="R601" s="11" t="s">
        <v>42</v>
      </c>
      <c r="S601" s="15">
        <f t="shared" ca="1" si="21"/>
        <v>40470.53652858796</v>
      </c>
      <c r="T601" s="8">
        <f t="shared" ca="1" si="22"/>
        <v>7</v>
      </c>
      <c r="U601" s="11" t="s">
        <v>42</v>
      </c>
      <c r="V601" s="11" t="s">
        <v>42</v>
      </c>
      <c r="W601" s="11" t="s">
        <v>42</v>
      </c>
      <c r="X601" s="11" t="s">
        <v>42</v>
      </c>
      <c r="Y601" s="25" t="s">
        <v>2650</v>
      </c>
      <c r="AC601" s="12" t="s">
        <v>1416</v>
      </c>
      <c r="AH601" s="11" t="s">
        <v>1416</v>
      </c>
    </row>
    <row r="602" spans="1:34">
      <c r="A602" s="1">
        <v>600</v>
      </c>
      <c r="B602" s="14">
        <v>40268</v>
      </c>
      <c r="C602" s="15">
        <v>40268</v>
      </c>
      <c r="E602" s="8" t="s">
        <v>1844</v>
      </c>
      <c r="G602" s="11" t="s">
        <v>20</v>
      </c>
      <c r="H602" s="1">
        <v>17</v>
      </c>
      <c r="I602" s="11" t="s">
        <v>1845</v>
      </c>
      <c r="J602" s="8" t="s">
        <v>1846</v>
      </c>
      <c r="L602" s="11" t="s">
        <v>24</v>
      </c>
      <c r="M602" s="15">
        <v>40268</v>
      </c>
      <c r="N602" s="1">
        <v>1</v>
      </c>
      <c r="O602" s="11" t="s">
        <v>25</v>
      </c>
      <c r="Q602" s="11" t="s">
        <v>27</v>
      </c>
      <c r="R602" s="11" t="s">
        <v>65</v>
      </c>
      <c r="S602" s="15">
        <f t="shared" ca="1" si="21"/>
        <v>40470.53652858796</v>
      </c>
      <c r="T602" s="8">
        <f t="shared" ca="1" si="22"/>
        <v>7</v>
      </c>
      <c r="U602" s="11" t="s">
        <v>28</v>
      </c>
      <c r="V602" s="25" t="s">
        <v>56</v>
      </c>
      <c r="W602" s="25" t="s">
        <v>56</v>
      </c>
      <c r="X602" s="11" t="s">
        <v>42</v>
      </c>
      <c r="Y602" s="25" t="s">
        <v>2650</v>
      </c>
      <c r="AC602" s="12" t="s">
        <v>1416</v>
      </c>
      <c r="AH602" s="11" t="s">
        <v>1416</v>
      </c>
    </row>
    <row r="603" spans="1:34">
      <c r="A603" s="1">
        <v>601</v>
      </c>
      <c r="B603" s="14">
        <v>40268</v>
      </c>
      <c r="C603" s="15">
        <v>40268</v>
      </c>
      <c r="E603" s="8" t="s">
        <v>1847</v>
      </c>
      <c r="G603" s="11" t="s">
        <v>20</v>
      </c>
      <c r="H603" s="1">
        <v>18</v>
      </c>
      <c r="I603" s="11" t="s">
        <v>1848</v>
      </c>
      <c r="J603" s="8" t="s">
        <v>1849</v>
      </c>
      <c r="L603" s="11" t="s">
        <v>24</v>
      </c>
      <c r="M603" s="15">
        <v>40268</v>
      </c>
      <c r="N603" s="1">
        <v>1</v>
      </c>
      <c r="O603" s="11" t="s">
        <v>25</v>
      </c>
      <c r="Q603" s="11" t="s">
        <v>27</v>
      </c>
      <c r="R603" s="11" t="s">
        <v>28</v>
      </c>
      <c r="S603" s="15">
        <f t="shared" ca="1" si="21"/>
        <v>40470.53652858796</v>
      </c>
      <c r="T603" s="8">
        <f t="shared" ca="1" si="22"/>
        <v>7</v>
      </c>
      <c r="U603" s="11" t="s">
        <v>42</v>
      </c>
      <c r="V603" s="11" t="s">
        <v>56</v>
      </c>
      <c r="W603" s="25" t="s">
        <v>56</v>
      </c>
      <c r="X603" s="11" t="s">
        <v>42</v>
      </c>
      <c r="Y603" s="25" t="s">
        <v>2650</v>
      </c>
      <c r="AC603" s="12" t="s">
        <v>1416</v>
      </c>
      <c r="AH603" s="11" t="s">
        <v>1416</v>
      </c>
    </row>
    <row r="604" spans="1:34">
      <c r="A604" s="1">
        <v>602</v>
      </c>
      <c r="B604" s="14">
        <v>40269</v>
      </c>
      <c r="C604" s="15">
        <v>40269</v>
      </c>
      <c r="E604" s="8" t="s">
        <v>1850</v>
      </c>
      <c r="G604" s="11" t="s">
        <v>37</v>
      </c>
      <c r="H604" s="1">
        <v>26</v>
      </c>
      <c r="I604" s="11" t="s">
        <v>1851</v>
      </c>
      <c r="J604" s="8" t="s">
        <v>1852</v>
      </c>
      <c r="L604" s="11" t="s">
        <v>24</v>
      </c>
      <c r="M604" s="15">
        <v>40269</v>
      </c>
      <c r="N604" s="1">
        <v>2</v>
      </c>
      <c r="O604" s="11" t="s">
        <v>25</v>
      </c>
      <c r="Q604" s="11" t="s">
        <v>49</v>
      </c>
      <c r="R604" s="11" t="s">
        <v>56</v>
      </c>
      <c r="S604" s="15">
        <f t="shared" ca="1" si="21"/>
        <v>40470.53652858796</v>
      </c>
      <c r="T604" s="8">
        <f t="shared" ca="1" si="22"/>
        <v>6</v>
      </c>
      <c r="U604" s="11" t="s">
        <v>42</v>
      </c>
      <c r="V604" s="25" t="s">
        <v>56</v>
      </c>
      <c r="W604" s="11" t="s">
        <v>42</v>
      </c>
      <c r="X604" s="11" t="s">
        <v>42</v>
      </c>
      <c r="AC604" s="12" t="s">
        <v>2289</v>
      </c>
      <c r="AD604" s="25">
        <v>40400</v>
      </c>
      <c r="AH604" s="25" t="s">
        <v>2289</v>
      </c>
    </row>
    <row r="605" spans="1:34">
      <c r="A605" s="1">
        <v>603</v>
      </c>
      <c r="B605" s="14">
        <v>40269</v>
      </c>
      <c r="C605" s="15">
        <v>40270</v>
      </c>
      <c r="E605" s="8" t="s">
        <v>1853</v>
      </c>
      <c r="G605" s="11" t="s">
        <v>37</v>
      </c>
      <c r="H605" s="1">
        <v>23</v>
      </c>
      <c r="I605" s="11" t="s">
        <v>1890</v>
      </c>
      <c r="L605" s="11" t="s">
        <v>24</v>
      </c>
      <c r="M605" s="15">
        <v>40270</v>
      </c>
      <c r="N605" s="1">
        <v>1</v>
      </c>
      <c r="O605" s="11" t="s">
        <v>25</v>
      </c>
      <c r="Q605" s="11" t="s">
        <v>27</v>
      </c>
      <c r="R605" s="25" t="s">
        <v>2752</v>
      </c>
      <c r="S605" s="15">
        <f t="shared" ca="1" si="21"/>
        <v>40470.53652858796</v>
      </c>
      <c r="T605" s="8">
        <f t="shared" ca="1" si="22"/>
        <v>6</v>
      </c>
      <c r="U605" s="11" t="s">
        <v>56</v>
      </c>
      <c r="V605" s="11" t="s">
        <v>42</v>
      </c>
      <c r="W605" s="11" t="s">
        <v>42</v>
      </c>
      <c r="X605" s="11" t="s">
        <v>42</v>
      </c>
      <c r="Y605" s="25" t="s">
        <v>2650</v>
      </c>
      <c r="AC605" s="12" t="s">
        <v>1416</v>
      </c>
      <c r="AH605" s="11" t="s">
        <v>1416</v>
      </c>
    </row>
    <row r="606" spans="1:34">
      <c r="A606" s="1">
        <v>604</v>
      </c>
      <c r="B606" s="14">
        <v>40269</v>
      </c>
      <c r="C606" s="15">
        <v>40273</v>
      </c>
      <c r="E606" s="8" t="s">
        <v>1891</v>
      </c>
      <c r="G606" s="11" t="s">
        <v>20</v>
      </c>
      <c r="H606" s="1">
        <v>30</v>
      </c>
      <c r="I606" s="11" t="s">
        <v>1892</v>
      </c>
      <c r="J606" s="8" t="s">
        <v>1893</v>
      </c>
      <c r="L606" s="11" t="s">
        <v>24</v>
      </c>
      <c r="M606" s="15">
        <v>40273</v>
      </c>
      <c r="N606" s="1">
        <v>1</v>
      </c>
      <c r="O606" s="11" t="s">
        <v>40</v>
      </c>
      <c r="P606" s="11" t="s">
        <v>109</v>
      </c>
      <c r="Q606" s="11" t="s">
        <v>27</v>
      </c>
      <c r="R606" s="25" t="s">
        <v>56</v>
      </c>
      <c r="S606" s="15">
        <f t="shared" ca="1" si="21"/>
        <v>40470.53652858796</v>
      </c>
      <c r="T606" s="8">
        <f t="shared" ca="1" si="22"/>
        <v>6</v>
      </c>
      <c r="U606" s="11" t="s">
        <v>42</v>
      </c>
      <c r="V606" s="11" t="s">
        <v>42</v>
      </c>
      <c r="W606" s="11" t="s">
        <v>42</v>
      </c>
      <c r="X606" s="11" t="s">
        <v>42</v>
      </c>
      <c r="Y606" s="25" t="s">
        <v>2650</v>
      </c>
      <c r="AC606" s="12" t="s">
        <v>1416</v>
      </c>
      <c r="AH606" s="11" t="s">
        <v>1416</v>
      </c>
    </row>
    <row r="607" spans="1:34">
      <c r="A607" s="1">
        <v>605</v>
      </c>
      <c r="B607" s="14">
        <v>40269</v>
      </c>
      <c r="C607" s="15">
        <v>40273</v>
      </c>
      <c r="E607" s="8" t="s">
        <v>1894</v>
      </c>
      <c r="G607" s="11" t="s">
        <v>37</v>
      </c>
      <c r="H607" s="1">
        <v>18</v>
      </c>
      <c r="I607" s="11" t="s">
        <v>1195</v>
      </c>
      <c r="L607" s="11" t="s">
        <v>24</v>
      </c>
      <c r="M607" s="15">
        <v>40273</v>
      </c>
      <c r="N607" s="1">
        <v>2</v>
      </c>
      <c r="O607" s="11" t="s">
        <v>25</v>
      </c>
      <c r="Q607" s="11" t="s">
        <v>49</v>
      </c>
      <c r="R607" s="25" t="s">
        <v>28</v>
      </c>
      <c r="S607" s="15">
        <f t="shared" ca="1" si="21"/>
        <v>40470.53652858796</v>
      </c>
      <c r="T607" s="8">
        <f t="shared" ca="1" si="22"/>
        <v>6</v>
      </c>
      <c r="U607" s="25" t="s">
        <v>2752</v>
      </c>
      <c r="V607" s="25" t="s">
        <v>56</v>
      </c>
      <c r="W607" s="25" t="s">
        <v>56</v>
      </c>
      <c r="X607" s="11" t="s">
        <v>42</v>
      </c>
      <c r="AC607" s="12" t="s">
        <v>132</v>
      </c>
      <c r="AD607" s="25">
        <v>40309</v>
      </c>
      <c r="AH607" s="25" t="s">
        <v>132</v>
      </c>
    </row>
    <row r="608" spans="1:34">
      <c r="A608" s="1">
        <v>606</v>
      </c>
      <c r="B608" s="14">
        <v>40269</v>
      </c>
      <c r="C608" s="15">
        <v>40274</v>
      </c>
      <c r="E608" s="8" t="s">
        <v>1895</v>
      </c>
      <c r="G608" s="11" t="s">
        <v>37</v>
      </c>
      <c r="H608" s="1">
        <v>18</v>
      </c>
      <c r="I608" s="11" t="s">
        <v>1896</v>
      </c>
      <c r="J608" s="8" t="s">
        <v>1897</v>
      </c>
      <c r="L608" s="11" t="s">
        <v>24</v>
      </c>
      <c r="M608" s="15">
        <v>40274</v>
      </c>
      <c r="N608" s="1">
        <v>1</v>
      </c>
      <c r="O608" s="11" t="s">
        <v>25</v>
      </c>
      <c r="Q608" s="11" t="s">
        <v>27</v>
      </c>
      <c r="R608" s="11" t="s">
        <v>65</v>
      </c>
      <c r="S608" s="15">
        <f t="shared" ca="1" si="21"/>
        <v>40470.53652858796</v>
      </c>
      <c r="T608" s="8">
        <f t="shared" ca="1" si="22"/>
        <v>6</v>
      </c>
      <c r="U608" s="11" t="s">
        <v>28</v>
      </c>
      <c r="V608" s="11" t="s">
        <v>42</v>
      </c>
      <c r="W608" s="25" t="s">
        <v>56</v>
      </c>
      <c r="X608" s="11" t="s">
        <v>42</v>
      </c>
      <c r="Y608" s="25" t="s">
        <v>2650</v>
      </c>
      <c r="AC608" s="12" t="s">
        <v>1416</v>
      </c>
      <c r="AH608" s="11" t="s">
        <v>1416</v>
      </c>
    </row>
    <row r="609" spans="1:34">
      <c r="A609" s="1">
        <v>607</v>
      </c>
      <c r="B609" s="14">
        <v>40269</v>
      </c>
      <c r="C609" s="15">
        <v>40274</v>
      </c>
      <c r="E609" s="8" t="s">
        <v>1898</v>
      </c>
      <c r="G609" s="11" t="s">
        <v>37</v>
      </c>
      <c r="H609" s="1">
        <v>16</v>
      </c>
      <c r="I609" s="11" t="s">
        <v>1899</v>
      </c>
      <c r="J609" s="8" t="s">
        <v>1900</v>
      </c>
      <c r="L609" s="11" t="s">
        <v>24</v>
      </c>
      <c r="M609" s="15">
        <v>40274</v>
      </c>
      <c r="N609" s="1">
        <v>1</v>
      </c>
      <c r="O609" s="11" t="s">
        <v>25</v>
      </c>
      <c r="Q609" s="11" t="s">
        <v>27</v>
      </c>
      <c r="R609" s="25" t="s">
        <v>2752</v>
      </c>
      <c r="S609" s="15">
        <f t="shared" ca="1" si="21"/>
        <v>40470.53652858796</v>
      </c>
      <c r="T609" s="8">
        <f t="shared" ca="1" si="22"/>
        <v>6</v>
      </c>
      <c r="U609" s="11" t="s">
        <v>56</v>
      </c>
      <c r="V609" s="11" t="s">
        <v>42</v>
      </c>
      <c r="W609" s="25" t="s">
        <v>56</v>
      </c>
      <c r="X609" s="11" t="s">
        <v>42</v>
      </c>
      <c r="Y609" s="25" t="s">
        <v>2650</v>
      </c>
      <c r="AC609" s="12" t="s">
        <v>1416</v>
      </c>
      <c r="AH609" s="11" t="s">
        <v>1416</v>
      </c>
    </row>
    <row r="610" spans="1:34">
      <c r="A610" s="1">
        <v>608</v>
      </c>
      <c r="B610" s="14">
        <v>40269</v>
      </c>
      <c r="C610" s="15">
        <v>40274</v>
      </c>
      <c r="E610" s="8" t="s">
        <v>1901</v>
      </c>
      <c r="G610" s="11" t="s">
        <v>20</v>
      </c>
      <c r="H610" s="1">
        <v>9</v>
      </c>
      <c r="I610" s="11" t="s">
        <v>1902</v>
      </c>
      <c r="J610" s="8" t="s">
        <v>1903</v>
      </c>
      <c r="L610" s="11" t="s">
        <v>24</v>
      </c>
      <c r="M610" s="15">
        <v>40274</v>
      </c>
      <c r="N610" s="1">
        <v>1</v>
      </c>
      <c r="O610" s="11" t="s">
        <v>25</v>
      </c>
      <c r="Q610" s="11" t="s">
        <v>27</v>
      </c>
      <c r="R610" s="25" t="s">
        <v>2752</v>
      </c>
      <c r="S610" s="15">
        <f t="shared" ca="1" si="21"/>
        <v>40470.53652858796</v>
      </c>
      <c r="T610" s="8">
        <f t="shared" ca="1" si="22"/>
        <v>6</v>
      </c>
      <c r="U610" s="11" t="s">
        <v>56</v>
      </c>
      <c r="V610" s="11" t="s">
        <v>42</v>
      </c>
      <c r="W610" s="25" t="s">
        <v>56</v>
      </c>
      <c r="X610" s="11" t="s">
        <v>42</v>
      </c>
      <c r="Y610" s="25" t="s">
        <v>2650</v>
      </c>
      <c r="AC610" s="12" t="s">
        <v>1416</v>
      </c>
      <c r="AH610" s="11" t="s">
        <v>1416</v>
      </c>
    </row>
    <row r="611" spans="1:34">
      <c r="A611" s="1">
        <v>609</v>
      </c>
      <c r="B611" s="14">
        <v>40269</v>
      </c>
      <c r="C611" s="15">
        <v>40275</v>
      </c>
      <c r="E611" s="8" t="s">
        <v>1904</v>
      </c>
      <c r="G611" s="11" t="s">
        <v>20</v>
      </c>
      <c r="H611" s="1">
        <v>34</v>
      </c>
      <c r="I611" s="11" t="s">
        <v>1905</v>
      </c>
      <c r="J611" s="8" t="s">
        <v>1906</v>
      </c>
      <c r="L611" s="11" t="s">
        <v>24</v>
      </c>
      <c r="M611" s="15">
        <v>40275</v>
      </c>
      <c r="N611" s="1">
        <v>2</v>
      </c>
      <c r="O611" s="11" t="s">
        <v>40</v>
      </c>
      <c r="P611" s="11" t="s">
        <v>109</v>
      </c>
      <c r="Q611" s="11" t="s">
        <v>477</v>
      </c>
      <c r="R611" s="25" t="s">
        <v>56</v>
      </c>
      <c r="S611" s="15">
        <f t="shared" ca="1" si="21"/>
        <v>40470.53652858796</v>
      </c>
      <c r="T611" s="8">
        <f t="shared" ca="1" si="22"/>
        <v>6</v>
      </c>
      <c r="U611" s="11" t="s">
        <v>42</v>
      </c>
      <c r="V611" s="11" t="s">
        <v>42</v>
      </c>
      <c r="W611" s="11" t="s">
        <v>42</v>
      </c>
      <c r="X611" s="11" t="s">
        <v>42</v>
      </c>
      <c r="Y611" s="25" t="s">
        <v>2650</v>
      </c>
      <c r="AC611" s="12" t="s">
        <v>1416</v>
      </c>
      <c r="AH611" s="11" t="s">
        <v>1416</v>
      </c>
    </row>
    <row r="612" spans="1:34">
      <c r="A612" s="1">
        <v>610</v>
      </c>
      <c r="B612" s="14">
        <v>40269</v>
      </c>
      <c r="C612" s="15">
        <v>40275</v>
      </c>
      <c r="E612" s="8" t="s">
        <v>1907</v>
      </c>
      <c r="G612" s="11" t="s">
        <v>37</v>
      </c>
      <c r="H612" s="1">
        <v>16</v>
      </c>
      <c r="I612" s="11" t="s">
        <v>1908</v>
      </c>
      <c r="J612" s="8" t="s">
        <v>1909</v>
      </c>
      <c r="L612" s="11" t="s">
        <v>24</v>
      </c>
      <c r="M612" s="15">
        <v>40275</v>
      </c>
      <c r="N612" s="1">
        <v>1</v>
      </c>
      <c r="O612" s="11" t="s">
        <v>25</v>
      </c>
      <c r="Q612" s="11" t="s">
        <v>27</v>
      </c>
      <c r="R612" s="25" t="s">
        <v>60</v>
      </c>
      <c r="S612" s="15">
        <f t="shared" ca="1" si="21"/>
        <v>40470.53652858796</v>
      </c>
      <c r="T612" s="8">
        <f t="shared" ca="1" si="22"/>
        <v>6</v>
      </c>
      <c r="U612" s="25" t="s">
        <v>56</v>
      </c>
      <c r="V612" s="11" t="s">
        <v>42</v>
      </c>
      <c r="W612" s="11" t="s">
        <v>42</v>
      </c>
      <c r="X612" s="11" t="s">
        <v>42</v>
      </c>
      <c r="Y612" s="25" t="s">
        <v>2650</v>
      </c>
      <c r="AC612" s="12" t="s">
        <v>1416</v>
      </c>
      <c r="AH612" s="11" t="s">
        <v>1416</v>
      </c>
    </row>
    <row r="613" spans="1:34">
      <c r="A613" s="1">
        <v>611</v>
      </c>
      <c r="B613" s="14">
        <v>40269</v>
      </c>
      <c r="C613" s="15">
        <v>40275</v>
      </c>
      <c r="E613" s="8" t="s">
        <v>1910</v>
      </c>
      <c r="G613" s="11" t="s">
        <v>37</v>
      </c>
      <c r="H613" s="1">
        <v>16</v>
      </c>
      <c r="I613" s="11" t="s">
        <v>1911</v>
      </c>
      <c r="J613" s="8" t="s">
        <v>2746</v>
      </c>
      <c r="L613" s="11" t="s">
        <v>24</v>
      </c>
      <c r="M613" s="15">
        <v>40275</v>
      </c>
      <c r="N613" s="1">
        <v>1</v>
      </c>
      <c r="O613" s="11" t="s">
        <v>25</v>
      </c>
      <c r="Q613" s="11" t="s">
        <v>27</v>
      </c>
      <c r="R613" s="11" t="s">
        <v>60</v>
      </c>
      <c r="S613" s="15">
        <f t="shared" ca="1" si="21"/>
        <v>40470.53652858796</v>
      </c>
      <c r="T613" s="8">
        <f t="shared" ca="1" si="22"/>
        <v>6</v>
      </c>
      <c r="U613" s="11" t="s">
        <v>42</v>
      </c>
      <c r="V613" s="11" t="s">
        <v>42</v>
      </c>
      <c r="W613" s="11" t="s">
        <v>42</v>
      </c>
      <c r="X613" s="11" t="s">
        <v>42</v>
      </c>
      <c r="Y613" s="25" t="s">
        <v>2649</v>
      </c>
      <c r="AC613" s="12" t="s">
        <v>122</v>
      </c>
      <c r="AD613" s="25">
        <v>40304</v>
      </c>
      <c r="AH613" s="25" t="s">
        <v>122</v>
      </c>
    </row>
    <row r="614" spans="1:34">
      <c r="A614" s="1">
        <v>612</v>
      </c>
      <c r="B614" s="14">
        <v>40269</v>
      </c>
      <c r="C614" s="15">
        <v>40275</v>
      </c>
      <c r="E614" s="8" t="s">
        <v>1912</v>
      </c>
      <c r="G614" s="11" t="s">
        <v>37</v>
      </c>
      <c r="H614" s="1">
        <v>25</v>
      </c>
      <c r="I614" s="11" t="s">
        <v>1913</v>
      </c>
      <c r="J614" s="8" t="s">
        <v>1914</v>
      </c>
      <c r="L614" s="11" t="s">
        <v>24</v>
      </c>
      <c r="M614" s="15">
        <v>40275</v>
      </c>
      <c r="N614" s="1">
        <v>1</v>
      </c>
      <c r="O614" s="11" t="s">
        <v>25</v>
      </c>
      <c r="Q614" s="11" t="s">
        <v>27</v>
      </c>
      <c r="R614" s="25" t="s">
        <v>60</v>
      </c>
      <c r="S614" s="15">
        <f t="shared" ca="1" si="21"/>
        <v>40470.53652858796</v>
      </c>
      <c r="T614" s="8">
        <f t="shared" ca="1" si="22"/>
        <v>6</v>
      </c>
      <c r="U614" s="11" t="s">
        <v>56</v>
      </c>
      <c r="V614" s="11" t="s">
        <v>42</v>
      </c>
      <c r="W614" s="25" t="s">
        <v>56</v>
      </c>
      <c r="X614" s="11" t="s">
        <v>42</v>
      </c>
      <c r="Y614" s="25" t="s">
        <v>2650</v>
      </c>
      <c r="AC614" s="12" t="s">
        <v>1416</v>
      </c>
      <c r="AH614" s="11" t="s">
        <v>1416</v>
      </c>
    </row>
    <row r="615" spans="1:34">
      <c r="A615" s="1">
        <v>613</v>
      </c>
      <c r="B615" s="14">
        <v>40269</v>
      </c>
      <c r="C615" s="15">
        <v>40275</v>
      </c>
      <c r="E615" s="8" t="s">
        <v>1915</v>
      </c>
      <c r="G615" s="11" t="s">
        <v>20</v>
      </c>
      <c r="H615" s="1">
        <v>21</v>
      </c>
      <c r="I615" s="11" t="s">
        <v>1916</v>
      </c>
      <c r="L615" s="11" t="s">
        <v>24</v>
      </c>
      <c r="M615" s="15">
        <v>40275</v>
      </c>
      <c r="N615" s="1">
        <v>2</v>
      </c>
      <c r="O615" s="11" t="s">
        <v>25</v>
      </c>
      <c r="Q615" s="11" t="s">
        <v>49</v>
      </c>
      <c r="R615" s="11" t="s">
        <v>60</v>
      </c>
      <c r="S615" s="15">
        <f t="shared" ca="1" si="21"/>
        <v>40470.53652858796</v>
      </c>
      <c r="T615" s="8">
        <f t="shared" ca="1" si="22"/>
        <v>6</v>
      </c>
      <c r="U615" s="25" t="s">
        <v>56</v>
      </c>
      <c r="V615" s="25" t="s">
        <v>56</v>
      </c>
      <c r="W615" s="11" t="s">
        <v>42</v>
      </c>
      <c r="X615" s="11" t="s">
        <v>42</v>
      </c>
      <c r="Y615" s="25" t="s">
        <v>42</v>
      </c>
      <c r="AC615" s="12" t="s">
        <v>67</v>
      </c>
      <c r="AD615" s="25">
        <v>40309</v>
      </c>
      <c r="AH615" s="25" t="s">
        <v>67</v>
      </c>
    </row>
    <row r="616" spans="1:34">
      <c r="A616" s="1">
        <v>614</v>
      </c>
      <c r="B616" s="14">
        <v>40269</v>
      </c>
      <c r="C616" s="15">
        <v>40277</v>
      </c>
      <c r="E616" s="8" t="s">
        <v>1917</v>
      </c>
      <c r="G616" s="11" t="s">
        <v>20</v>
      </c>
      <c r="H616" s="1">
        <v>57</v>
      </c>
      <c r="I616" s="11" t="s">
        <v>1918</v>
      </c>
      <c r="J616" s="8" t="s">
        <v>1919</v>
      </c>
      <c r="L616" s="11" t="s">
        <v>24</v>
      </c>
      <c r="M616" s="15">
        <v>40277</v>
      </c>
      <c r="N616" s="1">
        <v>1</v>
      </c>
      <c r="O616" s="11" t="s">
        <v>25</v>
      </c>
      <c r="Q616" s="11" t="s">
        <v>27</v>
      </c>
      <c r="R616" s="25" t="s">
        <v>56</v>
      </c>
      <c r="S616" s="15">
        <f t="shared" ca="1" si="21"/>
        <v>40470.53652858796</v>
      </c>
      <c r="T616" s="8">
        <f t="shared" ca="1" si="22"/>
        <v>6</v>
      </c>
      <c r="U616" s="11" t="s">
        <v>42</v>
      </c>
      <c r="V616" s="11" t="s">
        <v>42</v>
      </c>
      <c r="W616" s="11" t="s">
        <v>42</v>
      </c>
      <c r="X616" s="11" t="s">
        <v>42</v>
      </c>
      <c r="Y616" s="25" t="s">
        <v>2650</v>
      </c>
      <c r="AC616" s="12" t="s">
        <v>1416</v>
      </c>
      <c r="AH616" s="11" t="s">
        <v>1416</v>
      </c>
    </row>
    <row r="617" spans="1:34">
      <c r="A617" s="1">
        <v>615</v>
      </c>
      <c r="B617" s="14">
        <v>40269</v>
      </c>
      <c r="C617" s="15">
        <v>40277</v>
      </c>
      <c r="E617" s="8" t="s">
        <v>1920</v>
      </c>
      <c r="G617" s="11" t="s">
        <v>20</v>
      </c>
      <c r="H617" s="1">
        <v>29</v>
      </c>
      <c r="I617" s="11" t="s">
        <v>1921</v>
      </c>
      <c r="L617" s="11" t="s">
        <v>24</v>
      </c>
      <c r="M617" s="15">
        <v>40277</v>
      </c>
      <c r="N617" s="1">
        <v>1</v>
      </c>
      <c r="O617" s="11" t="s">
        <v>40</v>
      </c>
      <c r="P617" s="11" t="s">
        <v>72</v>
      </c>
      <c r="Q617" s="11" t="s">
        <v>27</v>
      </c>
      <c r="R617" s="25" t="s">
        <v>56</v>
      </c>
      <c r="S617" s="15">
        <f t="shared" ca="1" si="21"/>
        <v>40470.53652858796</v>
      </c>
      <c r="T617" s="8">
        <f t="shared" ca="1" si="22"/>
        <v>6</v>
      </c>
      <c r="U617" s="11" t="s">
        <v>42</v>
      </c>
      <c r="V617" s="11" t="s">
        <v>42</v>
      </c>
      <c r="W617" s="11" t="s">
        <v>42</v>
      </c>
      <c r="X617" s="11" t="s">
        <v>42</v>
      </c>
      <c r="Y617" s="25" t="s">
        <v>2650</v>
      </c>
      <c r="AC617" s="12" t="s">
        <v>1416</v>
      </c>
      <c r="AH617" s="11" t="s">
        <v>1416</v>
      </c>
    </row>
    <row r="618" spans="1:34">
      <c r="A618" s="1">
        <v>616</v>
      </c>
      <c r="B618" s="14">
        <v>40269</v>
      </c>
      <c r="C618" s="15">
        <v>40277</v>
      </c>
      <c r="E618" s="8" t="s">
        <v>1922</v>
      </c>
      <c r="G618" s="11" t="s">
        <v>20</v>
      </c>
      <c r="H618" s="1">
        <v>35</v>
      </c>
      <c r="I618" s="11" t="s">
        <v>1923</v>
      </c>
      <c r="J618" s="8" t="s">
        <v>1924</v>
      </c>
      <c r="L618" s="11" t="s">
        <v>24</v>
      </c>
      <c r="M618" s="15">
        <v>40277</v>
      </c>
      <c r="N618" s="1">
        <v>1</v>
      </c>
      <c r="O618" s="11" t="s">
        <v>40</v>
      </c>
      <c r="P618" s="11" t="s">
        <v>1925</v>
      </c>
      <c r="Q618" s="11" t="s">
        <v>27</v>
      </c>
      <c r="R618" s="25" t="s">
        <v>56</v>
      </c>
      <c r="S618" s="15">
        <f t="shared" ca="1" si="21"/>
        <v>40470.53652858796</v>
      </c>
      <c r="T618" s="8">
        <f t="shared" ca="1" si="22"/>
        <v>6</v>
      </c>
      <c r="U618" s="11" t="s">
        <v>42</v>
      </c>
      <c r="V618" s="11" t="s">
        <v>42</v>
      </c>
      <c r="W618" s="11" t="s">
        <v>42</v>
      </c>
      <c r="X618" s="11" t="s">
        <v>42</v>
      </c>
      <c r="Y618" s="25" t="s">
        <v>2650</v>
      </c>
      <c r="AC618" s="12" t="s">
        <v>1416</v>
      </c>
      <c r="AH618" s="11" t="s">
        <v>1416</v>
      </c>
    </row>
    <row r="619" spans="1:34">
      <c r="A619" s="1">
        <v>617</v>
      </c>
      <c r="B619" s="14">
        <v>40269</v>
      </c>
      <c r="C619" s="15">
        <v>40280</v>
      </c>
      <c r="E619" s="8" t="s">
        <v>1926</v>
      </c>
      <c r="G619" s="11" t="s">
        <v>20</v>
      </c>
      <c r="H619" s="1">
        <v>26</v>
      </c>
      <c r="I619" s="11" t="s">
        <v>1927</v>
      </c>
      <c r="L619" s="11" t="s">
        <v>24</v>
      </c>
      <c r="M619" s="15">
        <v>40280</v>
      </c>
      <c r="N619" s="1">
        <v>1</v>
      </c>
      <c r="O619" s="11" t="s">
        <v>25</v>
      </c>
      <c r="P619" s="11" t="s">
        <v>26</v>
      </c>
      <c r="Q619" s="11" t="s">
        <v>27</v>
      </c>
      <c r="R619" s="11" t="s">
        <v>42</v>
      </c>
      <c r="S619" s="15">
        <f t="shared" ca="1" si="21"/>
        <v>40470.53652858796</v>
      </c>
      <c r="T619" s="8">
        <f t="shared" ca="1" si="22"/>
        <v>6</v>
      </c>
      <c r="U619" s="11" t="s">
        <v>42</v>
      </c>
      <c r="V619" s="11" t="s">
        <v>42</v>
      </c>
      <c r="W619" s="11" t="s">
        <v>42</v>
      </c>
      <c r="X619" s="11" t="s">
        <v>42</v>
      </c>
      <c r="Y619" s="25" t="s">
        <v>2650</v>
      </c>
      <c r="AC619" s="12" t="s">
        <v>1416</v>
      </c>
      <c r="AH619" s="11" t="s">
        <v>1416</v>
      </c>
    </row>
    <row r="620" spans="1:34">
      <c r="A620" s="1">
        <v>618</v>
      </c>
      <c r="B620" s="14">
        <v>40269</v>
      </c>
      <c r="C620" s="15">
        <v>40281</v>
      </c>
      <c r="E620" s="8" t="s">
        <v>1928</v>
      </c>
      <c r="G620" s="11" t="s">
        <v>37</v>
      </c>
      <c r="H620" s="1">
        <v>35</v>
      </c>
      <c r="I620" s="11" t="s">
        <v>1929</v>
      </c>
      <c r="J620" s="8" t="s">
        <v>1930</v>
      </c>
      <c r="L620" s="11" t="s">
        <v>24</v>
      </c>
      <c r="M620" s="15">
        <v>40281</v>
      </c>
      <c r="N620" s="1">
        <v>2</v>
      </c>
      <c r="O620" s="11" t="s">
        <v>25</v>
      </c>
      <c r="Q620" s="11" t="s">
        <v>407</v>
      </c>
      <c r="R620" s="11" t="s">
        <v>65</v>
      </c>
      <c r="S620" s="15">
        <f t="shared" ca="1" si="21"/>
        <v>40470.53652858796</v>
      </c>
      <c r="T620" s="8">
        <f t="shared" ca="1" si="22"/>
        <v>6</v>
      </c>
      <c r="U620" s="11" t="s">
        <v>42</v>
      </c>
      <c r="V620" s="11" t="s">
        <v>42</v>
      </c>
      <c r="W620" s="11" t="s">
        <v>42</v>
      </c>
      <c r="X620" s="11" t="s">
        <v>42</v>
      </c>
      <c r="Y620" s="25" t="s">
        <v>2649</v>
      </c>
      <c r="AC620" s="12" t="s">
        <v>122</v>
      </c>
      <c r="AD620" s="25">
        <v>40281</v>
      </c>
      <c r="AH620" s="11" t="s">
        <v>122</v>
      </c>
    </row>
    <row r="621" spans="1:34">
      <c r="A621" s="1">
        <v>619</v>
      </c>
      <c r="B621" s="14">
        <v>40269</v>
      </c>
      <c r="C621" s="15">
        <v>40281</v>
      </c>
      <c r="E621" s="8" t="s">
        <v>1931</v>
      </c>
      <c r="G621" s="11" t="s">
        <v>37</v>
      </c>
      <c r="H621" s="1">
        <v>28</v>
      </c>
      <c r="I621" s="11" t="s">
        <v>1932</v>
      </c>
      <c r="L621" s="11" t="s">
        <v>24</v>
      </c>
      <c r="M621" s="15">
        <v>40281</v>
      </c>
      <c r="N621" s="1">
        <v>1</v>
      </c>
      <c r="O621" s="11" t="s">
        <v>25</v>
      </c>
      <c r="Q621" s="11" t="s">
        <v>27</v>
      </c>
      <c r="R621" s="11" t="s">
        <v>60</v>
      </c>
      <c r="S621" s="15">
        <f t="shared" ca="1" si="21"/>
        <v>40470.53652858796</v>
      </c>
      <c r="T621" s="8">
        <f t="shared" ca="1" si="22"/>
        <v>6</v>
      </c>
      <c r="U621" s="11" t="s">
        <v>56</v>
      </c>
      <c r="V621" s="11" t="s">
        <v>42</v>
      </c>
      <c r="W621" s="11" t="s">
        <v>42</v>
      </c>
      <c r="X621" s="11" t="s">
        <v>42</v>
      </c>
      <c r="Y621" s="25" t="s">
        <v>2650</v>
      </c>
      <c r="AC621" s="12" t="s">
        <v>1416</v>
      </c>
      <c r="AH621" s="11" t="s">
        <v>1416</v>
      </c>
    </row>
    <row r="622" spans="1:34">
      <c r="A622" s="1">
        <v>620</v>
      </c>
      <c r="B622" s="14">
        <v>40269</v>
      </c>
      <c r="C622" s="15">
        <v>40281</v>
      </c>
      <c r="E622" s="8" t="s">
        <v>1933</v>
      </c>
      <c r="G622" s="11" t="s">
        <v>37</v>
      </c>
      <c r="H622" s="1">
        <v>18</v>
      </c>
      <c r="I622" s="11" t="s">
        <v>1934</v>
      </c>
      <c r="J622" s="8" t="s">
        <v>1935</v>
      </c>
      <c r="L622" s="11" t="s">
        <v>24</v>
      </c>
      <c r="M622" s="15">
        <v>40281</v>
      </c>
      <c r="N622" s="1">
        <v>2</v>
      </c>
      <c r="O622" s="11" t="s">
        <v>25</v>
      </c>
      <c r="Q622" s="11" t="s">
        <v>381</v>
      </c>
      <c r="R622" s="11" t="s">
        <v>60</v>
      </c>
      <c r="S622" s="15">
        <f t="shared" ca="1" si="21"/>
        <v>40470.53652858796</v>
      </c>
      <c r="T622" s="8">
        <f t="shared" ca="1" si="22"/>
        <v>6</v>
      </c>
      <c r="U622" s="11" t="s">
        <v>42</v>
      </c>
      <c r="V622" s="25" t="s">
        <v>56</v>
      </c>
      <c r="W622" s="25" t="s">
        <v>56</v>
      </c>
      <c r="X622" s="11" t="s">
        <v>42</v>
      </c>
      <c r="Y622" s="25" t="s">
        <v>42</v>
      </c>
      <c r="AC622" s="12" t="s">
        <v>132</v>
      </c>
      <c r="AD622" s="25">
        <v>40351</v>
      </c>
      <c r="AH622" s="25" t="s">
        <v>132</v>
      </c>
    </row>
    <row r="623" spans="1:34">
      <c r="A623" s="1">
        <v>621</v>
      </c>
      <c r="B623" s="14">
        <v>40269</v>
      </c>
      <c r="C623" s="15">
        <v>40282</v>
      </c>
      <c r="E623" s="8" t="s">
        <v>1936</v>
      </c>
      <c r="G623" s="11" t="s">
        <v>37</v>
      </c>
      <c r="H623" s="1">
        <v>13</v>
      </c>
      <c r="I623" s="11" t="s">
        <v>1937</v>
      </c>
      <c r="J623" s="8" t="s">
        <v>1938</v>
      </c>
      <c r="L623" s="11" t="s">
        <v>24</v>
      </c>
      <c r="M623" s="15">
        <v>40282</v>
      </c>
      <c r="N623" s="1">
        <v>1</v>
      </c>
      <c r="O623" s="11" t="s">
        <v>25</v>
      </c>
      <c r="Q623" s="11" t="s">
        <v>110</v>
      </c>
      <c r="R623" s="11" t="s">
        <v>42</v>
      </c>
      <c r="S623" s="15">
        <f t="shared" ca="1" si="21"/>
        <v>40470.53652858796</v>
      </c>
      <c r="T623" s="8">
        <f t="shared" ca="1" si="22"/>
        <v>6</v>
      </c>
      <c r="U623" s="25" t="s">
        <v>56</v>
      </c>
      <c r="V623" s="11" t="s">
        <v>42</v>
      </c>
      <c r="W623" s="11" t="s">
        <v>42</v>
      </c>
      <c r="X623" s="11" t="s">
        <v>42</v>
      </c>
      <c r="Y623" s="25" t="s">
        <v>2650</v>
      </c>
      <c r="AC623" s="12" t="s">
        <v>1416</v>
      </c>
      <c r="AH623" s="11" t="s">
        <v>1416</v>
      </c>
    </row>
    <row r="624" spans="1:34">
      <c r="A624" s="1">
        <v>622</v>
      </c>
      <c r="B624" s="14">
        <v>40269</v>
      </c>
      <c r="C624" s="15">
        <v>40282</v>
      </c>
      <c r="E624" s="8" t="s">
        <v>1939</v>
      </c>
      <c r="G624" s="11" t="s">
        <v>20</v>
      </c>
      <c r="H624" s="1">
        <v>26</v>
      </c>
      <c r="I624" s="11" t="s">
        <v>1940</v>
      </c>
      <c r="L624" s="11" t="s">
        <v>24</v>
      </c>
      <c r="M624" s="15">
        <v>40282</v>
      </c>
      <c r="N624" s="1">
        <v>1</v>
      </c>
      <c r="O624" s="11" t="s">
        <v>25</v>
      </c>
      <c r="Q624" s="11" t="s">
        <v>27</v>
      </c>
      <c r="R624" s="11" t="s">
        <v>42</v>
      </c>
      <c r="S624" s="15">
        <f t="shared" ca="1" si="21"/>
        <v>40470.53652858796</v>
      </c>
      <c r="T624" s="8">
        <f t="shared" ca="1" si="22"/>
        <v>6</v>
      </c>
      <c r="U624" s="11" t="s">
        <v>42</v>
      </c>
      <c r="V624" s="11" t="s">
        <v>42</v>
      </c>
      <c r="W624" s="11" t="s">
        <v>42</v>
      </c>
      <c r="X624" s="11" t="s">
        <v>42</v>
      </c>
      <c r="Y624" s="25" t="s">
        <v>2650</v>
      </c>
      <c r="AC624" s="12" t="s">
        <v>1416</v>
      </c>
      <c r="AH624" s="11" t="s">
        <v>1416</v>
      </c>
    </row>
    <row r="625" spans="1:34">
      <c r="A625" s="1">
        <v>623</v>
      </c>
      <c r="B625" s="14">
        <v>40269</v>
      </c>
      <c r="C625" s="15">
        <v>40282</v>
      </c>
      <c r="E625" s="8" t="s">
        <v>1941</v>
      </c>
      <c r="G625" s="11" t="s">
        <v>20</v>
      </c>
      <c r="H625" s="1">
        <v>45</v>
      </c>
      <c r="I625" s="11" t="s">
        <v>1942</v>
      </c>
      <c r="J625" s="8" t="s">
        <v>1943</v>
      </c>
      <c r="L625" s="11" t="s">
        <v>24</v>
      </c>
      <c r="M625" s="15">
        <v>40282</v>
      </c>
      <c r="N625" s="1">
        <v>1</v>
      </c>
      <c r="O625" s="11" t="s">
        <v>25</v>
      </c>
      <c r="Q625" s="11" t="s">
        <v>27</v>
      </c>
      <c r="R625" s="11" t="s">
        <v>28</v>
      </c>
      <c r="S625" s="15">
        <f t="shared" ca="1" si="21"/>
        <v>40470.53652858796</v>
      </c>
      <c r="T625" s="8">
        <f t="shared" ca="1" si="22"/>
        <v>6</v>
      </c>
      <c r="U625" s="25" t="s">
        <v>56</v>
      </c>
      <c r="V625" s="11" t="s">
        <v>42</v>
      </c>
      <c r="W625" s="11" t="s">
        <v>42</v>
      </c>
      <c r="X625" s="11" t="s">
        <v>42</v>
      </c>
      <c r="Y625" s="25" t="s">
        <v>2650</v>
      </c>
      <c r="AC625" s="12" t="s">
        <v>1416</v>
      </c>
      <c r="AH625" s="11" t="s">
        <v>1416</v>
      </c>
    </row>
    <row r="626" spans="1:34">
      <c r="A626" s="1">
        <v>624</v>
      </c>
      <c r="B626" s="14">
        <v>40269</v>
      </c>
      <c r="C626" s="15">
        <v>40282</v>
      </c>
      <c r="E626" s="8" t="s">
        <v>1944</v>
      </c>
      <c r="G626" s="11" t="s">
        <v>37</v>
      </c>
      <c r="H626" s="1">
        <v>20</v>
      </c>
      <c r="I626" s="11" t="s">
        <v>1945</v>
      </c>
      <c r="J626" s="8" t="s">
        <v>1946</v>
      </c>
      <c r="L626" s="11" t="s">
        <v>24</v>
      </c>
      <c r="M626" s="15">
        <v>40282</v>
      </c>
      <c r="N626" s="1">
        <v>1</v>
      </c>
      <c r="O626" s="11" t="s">
        <v>25</v>
      </c>
      <c r="Q626" s="11" t="s">
        <v>27</v>
      </c>
      <c r="R626" s="11" t="s">
        <v>42</v>
      </c>
      <c r="S626" s="15">
        <f t="shared" ca="1" si="21"/>
        <v>40470.53652858796</v>
      </c>
      <c r="T626" s="8">
        <f t="shared" ca="1" si="22"/>
        <v>6</v>
      </c>
      <c r="U626" s="25" t="s">
        <v>56</v>
      </c>
      <c r="V626" s="11" t="s">
        <v>42</v>
      </c>
      <c r="W626" s="11" t="s">
        <v>42</v>
      </c>
      <c r="X626" s="11" t="s">
        <v>42</v>
      </c>
      <c r="Y626" s="25" t="s">
        <v>2650</v>
      </c>
      <c r="AC626" s="12" t="s">
        <v>1416</v>
      </c>
      <c r="AH626" s="11" t="s">
        <v>1416</v>
      </c>
    </row>
    <row r="627" spans="1:34">
      <c r="A627" s="1">
        <v>625</v>
      </c>
      <c r="B627" s="14">
        <v>40269</v>
      </c>
      <c r="C627" s="15">
        <v>40282</v>
      </c>
      <c r="E627" s="8" t="s">
        <v>1947</v>
      </c>
      <c r="G627" s="11" t="s">
        <v>20</v>
      </c>
      <c r="H627" s="1">
        <v>21</v>
      </c>
      <c r="I627" s="11" t="s">
        <v>1948</v>
      </c>
      <c r="J627" s="8" t="s">
        <v>1949</v>
      </c>
      <c r="L627" s="11" t="s">
        <v>24</v>
      </c>
      <c r="M627" s="15">
        <v>40282</v>
      </c>
      <c r="N627" s="1">
        <v>1</v>
      </c>
      <c r="O627" s="11" t="s">
        <v>40</v>
      </c>
      <c r="P627" s="11" t="s">
        <v>1950</v>
      </c>
      <c r="Q627" s="11" t="s">
        <v>27</v>
      </c>
      <c r="R627" s="25" t="s">
        <v>2731</v>
      </c>
      <c r="S627" s="15">
        <f t="shared" ca="1" si="21"/>
        <v>40470.53652858796</v>
      </c>
      <c r="T627" s="8">
        <f t="shared" ca="1" si="22"/>
        <v>6</v>
      </c>
      <c r="U627" s="11" t="s">
        <v>42</v>
      </c>
      <c r="V627" s="11" t="s">
        <v>42</v>
      </c>
      <c r="W627" s="11" t="s">
        <v>42</v>
      </c>
      <c r="X627" s="11" t="s">
        <v>42</v>
      </c>
      <c r="Y627" s="25" t="s">
        <v>2650</v>
      </c>
      <c r="AC627" s="12" t="s">
        <v>1416</v>
      </c>
      <c r="AH627" s="11" t="s">
        <v>1416</v>
      </c>
    </row>
    <row r="628" spans="1:34">
      <c r="A628" s="1">
        <v>626</v>
      </c>
      <c r="B628" s="14">
        <v>40269</v>
      </c>
      <c r="C628" s="15">
        <v>40282</v>
      </c>
      <c r="E628" s="8" t="s">
        <v>1951</v>
      </c>
      <c r="G628" s="11" t="s">
        <v>20</v>
      </c>
      <c r="H628" s="1">
        <v>45</v>
      </c>
      <c r="I628" s="11" t="s">
        <v>1952</v>
      </c>
      <c r="J628" s="8" t="s">
        <v>1774</v>
      </c>
      <c r="L628" s="11" t="s">
        <v>24</v>
      </c>
      <c r="M628" s="15">
        <v>40282</v>
      </c>
      <c r="N628" s="1">
        <v>1</v>
      </c>
      <c r="O628" s="11" t="s">
        <v>40</v>
      </c>
      <c r="P628" s="11" t="s">
        <v>431</v>
      </c>
      <c r="Q628" s="11" t="s">
        <v>27</v>
      </c>
      <c r="R628" s="25" t="s">
        <v>56</v>
      </c>
      <c r="S628" s="15">
        <f t="shared" ca="1" si="21"/>
        <v>40470.53652858796</v>
      </c>
      <c r="T628" s="8">
        <f t="shared" ca="1" si="22"/>
        <v>6</v>
      </c>
      <c r="U628" s="11" t="s">
        <v>42</v>
      </c>
      <c r="V628" s="11" t="s">
        <v>42</v>
      </c>
      <c r="W628" s="11" t="s">
        <v>42</v>
      </c>
      <c r="X628" s="11" t="s">
        <v>42</v>
      </c>
      <c r="Y628" s="25" t="s">
        <v>2650</v>
      </c>
      <c r="AC628" s="12" t="s">
        <v>1416</v>
      </c>
      <c r="AH628" s="11" t="s">
        <v>1416</v>
      </c>
    </row>
    <row r="629" spans="1:34">
      <c r="A629" s="1">
        <v>627</v>
      </c>
      <c r="B629" s="14">
        <v>40269</v>
      </c>
      <c r="C629" s="15">
        <v>40283</v>
      </c>
      <c r="E629" s="8" t="s">
        <v>1775</v>
      </c>
      <c r="G629" s="11" t="s">
        <v>20</v>
      </c>
      <c r="H629" s="1">
        <v>23</v>
      </c>
      <c r="I629" s="11" t="s">
        <v>1776</v>
      </c>
      <c r="J629" s="8" t="s">
        <v>1777</v>
      </c>
      <c r="L629" s="11" t="s">
        <v>24</v>
      </c>
      <c r="M629" s="15">
        <v>40283</v>
      </c>
      <c r="N629" s="1">
        <v>1</v>
      </c>
      <c r="O629" s="11" t="s">
        <v>25</v>
      </c>
      <c r="Q629" s="11" t="s">
        <v>27</v>
      </c>
      <c r="R629" s="11" t="s">
        <v>56</v>
      </c>
      <c r="S629" s="15">
        <f t="shared" ca="1" si="21"/>
        <v>40470.53652858796</v>
      </c>
      <c r="T629" s="8">
        <f t="shared" ca="1" si="22"/>
        <v>6</v>
      </c>
      <c r="U629" s="11" t="s">
        <v>42</v>
      </c>
      <c r="V629" s="11" t="s">
        <v>42</v>
      </c>
      <c r="W629" s="11" t="s">
        <v>42</v>
      </c>
      <c r="X629" s="11" t="s">
        <v>42</v>
      </c>
      <c r="Y629" s="25" t="s">
        <v>2650</v>
      </c>
      <c r="AC629" s="12" t="s">
        <v>1416</v>
      </c>
      <c r="AH629" s="11" t="s">
        <v>1416</v>
      </c>
    </row>
    <row r="630" spans="1:34">
      <c r="A630" s="1">
        <v>628</v>
      </c>
      <c r="B630" s="14">
        <v>40269</v>
      </c>
      <c r="C630" s="15">
        <v>40284</v>
      </c>
      <c r="E630" s="8" t="s">
        <v>1778</v>
      </c>
      <c r="G630" s="11" t="s">
        <v>20</v>
      </c>
      <c r="H630" s="1">
        <v>20</v>
      </c>
      <c r="I630" s="11" t="s">
        <v>1779</v>
      </c>
      <c r="J630" s="8" t="s">
        <v>1993</v>
      </c>
      <c r="L630" s="11" t="s">
        <v>24</v>
      </c>
      <c r="M630" s="15">
        <v>40283</v>
      </c>
      <c r="N630" s="1">
        <v>1</v>
      </c>
      <c r="O630" s="11" t="s">
        <v>40</v>
      </c>
      <c r="P630" s="25" t="s">
        <v>2096</v>
      </c>
      <c r="Q630" s="11" t="s">
        <v>27</v>
      </c>
      <c r="R630" s="25" t="s">
        <v>56</v>
      </c>
      <c r="S630" s="15">
        <f t="shared" ca="1" si="21"/>
        <v>40470.53652858796</v>
      </c>
      <c r="T630" s="8">
        <f t="shared" ca="1" si="22"/>
        <v>6</v>
      </c>
      <c r="U630" s="11" t="s">
        <v>42</v>
      </c>
      <c r="V630" s="11" t="s">
        <v>42</v>
      </c>
      <c r="W630" s="11" t="s">
        <v>42</v>
      </c>
      <c r="X630" s="11" t="s">
        <v>42</v>
      </c>
      <c r="Y630" s="25" t="s">
        <v>2650</v>
      </c>
      <c r="AC630" s="12" t="s">
        <v>1416</v>
      </c>
      <c r="AH630" s="11" t="s">
        <v>1416</v>
      </c>
    </row>
    <row r="631" spans="1:34">
      <c r="A631" s="1">
        <v>629</v>
      </c>
      <c r="B631" s="14">
        <v>40269</v>
      </c>
      <c r="C631" s="15">
        <v>40284</v>
      </c>
      <c r="E631" s="8" t="s">
        <v>1994</v>
      </c>
      <c r="G631" s="11" t="s">
        <v>20</v>
      </c>
      <c r="H631" s="1">
        <v>30</v>
      </c>
      <c r="I631" s="11" t="s">
        <v>1995</v>
      </c>
      <c r="J631" s="8" t="s">
        <v>1996</v>
      </c>
      <c r="L631" s="11" t="s">
        <v>24</v>
      </c>
      <c r="M631" s="15">
        <v>40284</v>
      </c>
      <c r="N631" s="1">
        <v>1</v>
      </c>
      <c r="O631" s="11" t="s">
        <v>40</v>
      </c>
      <c r="P631" s="11" t="s">
        <v>72</v>
      </c>
      <c r="Q631" s="11" t="s">
        <v>27</v>
      </c>
      <c r="R631" s="25" t="s">
        <v>56</v>
      </c>
      <c r="S631" s="15">
        <f t="shared" ca="1" si="21"/>
        <v>40470.53652858796</v>
      </c>
      <c r="T631" s="8">
        <f t="shared" ca="1" si="22"/>
        <v>6</v>
      </c>
      <c r="U631" s="11" t="s">
        <v>42</v>
      </c>
      <c r="V631" s="11" t="s">
        <v>42</v>
      </c>
      <c r="W631" s="11" t="s">
        <v>42</v>
      </c>
      <c r="X631" s="11" t="s">
        <v>42</v>
      </c>
      <c r="Y631" s="25" t="s">
        <v>2650</v>
      </c>
      <c r="AC631" s="12" t="s">
        <v>1416</v>
      </c>
      <c r="AH631" s="11" t="s">
        <v>1416</v>
      </c>
    </row>
    <row r="632" spans="1:34">
      <c r="A632" s="1">
        <v>630</v>
      </c>
      <c r="B632" s="14">
        <v>40269</v>
      </c>
      <c r="C632" s="15">
        <v>40288</v>
      </c>
      <c r="E632" s="8" t="s">
        <v>1997</v>
      </c>
      <c r="G632" s="11" t="s">
        <v>37</v>
      </c>
      <c r="H632" s="1">
        <v>14</v>
      </c>
      <c r="I632" s="11" t="s">
        <v>1998</v>
      </c>
      <c r="J632" s="8" t="s">
        <v>1999</v>
      </c>
      <c r="L632" s="11" t="s">
        <v>24</v>
      </c>
      <c r="M632" s="15">
        <v>40288</v>
      </c>
      <c r="N632" s="1">
        <v>1</v>
      </c>
      <c r="O632" s="11" t="s">
        <v>40</v>
      </c>
      <c r="P632" s="11" t="s">
        <v>213</v>
      </c>
      <c r="Q632" s="11" t="s">
        <v>27</v>
      </c>
      <c r="R632" s="11" t="s">
        <v>42</v>
      </c>
      <c r="S632" s="15">
        <f t="shared" ca="1" si="21"/>
        <v>40470.53652858796</v>
      </c>
      <c r="T632" s="8">
        <f t="shared" ca="1" si="22"/>
        <v>6</v>
      </c>
      <c r="U632" s="11" t="s">
        <v>42</v>
      </c>
      <c r="V632" s="11" t="s">
        <v>42</v>
      </c>
      <c r="W632" s="11" t="s">
        <v>42</v>
      </c>
      <c r="X632" s="11" t="s">
        <v>42</v>
      </c>
      <c r="Y632" s="25" t="s">
        <v>2650</v>
      </c>
      <c r="AC632" s="12" t="s">
        <v>1416</v>
      </c>
      <c r="AH632" s="11" t="s">
        <v>1416</v>
      </c>
    </row>
    <row r="633" spans="1:34">
      <c r="A633" s="1">
        <v>631</v>
      </c>
      <c r="B633" s="14">
        <v>40269</v>
      </c>
      <c r="C633" s="15">
        <v>40288</v>
      </c>
      <c r="E633" s="8" t="s">
        <v>2000</v>
      </c>
      <c r="G633" s="11" t="s">
        <v>20</v>
      </c>
      <c r="H633" s="1">
        <v>27</v>
      </c>
      <c r="I633" s="11" t="s">
        <v>2001</v>
      </c>
      <c r="J633" s="8" t="s">
        <v>2002</v>
      </c>
      <c r="L633" s="11" t="s">
        <v>24</v>
      </c>
      <c r="M633" s="15">
        <v>40288</v>
      </c>
      <c r="N633" s="1">
        <v>1</v>
      </c>
      <c r="O633" s="11" t="s">
        <v>25</v>
      </c>
      <c r="Q633" s="11" t="s">
        <v>27</v>
      </c>
      <c r="R633" s="11" t="s">
        <v>60</v>
      </c>
      <c r="S633" s="15">
        <f t="shared" ca="1" si="21"/>
        <v>40470.53652858796</v>
      </c>
      <c r="T633" s="8">
        <f t="shared" ca="1" si="22"/>
        <v>6</v>
      </c>
      <c r="U633" s="11" t="s">
        <v>42</v>
      </c>
      <c r="V633" s="11" t="s">
        <v>42</v>
      </c>
      <c r="W633" s="11" t="s">
        <v>42</v>
      </c>
      <c r="X633" s="11" t="s">
        <v>42</v>
      </c>
      <c r="AC633" s="12" t="s">
        <v>122</v>
      </c>
      <c r="AD633" s="25">
        <v>40288</v>
      </c>
      <c r="AH633" s="11" t="s">
        <v>122</v>
      </c>
    </row>
    <row r="634" spans="1:34">
      <c r="A634" s="1">
        <v>632</v>
      </c>
      <c r="B634" s="14">
        <v>40269</v>
      </c>
      <c r="C634" s="15">
        <v>40288</v>
      </c>
      <c r="E634" s="8" t="s">
        <v>2003</v>
      </c>
      <c r="G634" s="11" t="s">
        <v>37</v>
      </c>
      <c r="H634" s="1">
        <v>17</v>
      </c>
      <c r="I634" s="11" t="s">
        <v>2004</v>
      </c>
      <c r="J634" s="8" t="s">
        <v>2005</v>
      </c>
      <c r="L634" s="11" t="s">
        <v>24</v>
      </c>
      <c r="M634" s="15">
        <v>40288</v>
      </c>
      <c r="N634" s="1">
        <v>1</v>
      </c>
      <c r="O634" s="11" t="s">
        <v>25</v>
      </c>
      <c r="Q634" s="11" t="s">
        <v>27</v>
      </c>
      <c r="R634" s="11" t="s">
        <v>28</v>
      </c>
      <c r="S634" s="15">
        <f t="shared" ca="1" si="21"/>
        <v>40470.53652858796</v>
      </c>
      <c r="T634" s="8">
        <f t="shared" ca="1" si="22"/>
        <v>6</v>
      </c>
      <c r="U634" s="25" t="s">
        <v>56</v>
      </c>
      <c r="V634" s="11" t="s">
        <v>42</v>
      </c>
      <c r="W634" s="25" t="s">
        <v>56</v>
      </c>
      <c r="X634" s="11" t="s">
        <v>42</v>
      </c>
      <c r="Y634" s="25" t="s">
        <v>2650</v>
      </c>
      <c r="AC634" s="12" t="s">
        <v>1416</v>
      </c>
      <c r="AH634" s="11" t="s">
        <v>1416</v>
      </c>
    </row>
    <row r="635" spans="1:34" s="11" customFormat="1">
      <c r="A635" s="1">
        <v>633</v>
      </c>
      <c r="B635" s="14">
        <v>40269</v>
      </c>
      <c r="C635" s="15">
        <v>40289</v>
      </c>
      <c r="D635" s="15"/>
      <c r="E635" s="40" t="s">
        <v>2006</v>
      </c>
      <c r="F635" s="40"/>
      <c r="G635" s="40" t="s">
        <v>37</v>
      </c>
      <c r="H635" s="1">
        <v>18</v>
      </c>
      <c r="I635" s="11" t="s">
        <v>2007</v>
      </c>
      <c r="J635" s="8"/>
      <c r="K635" s="8"/>
      <c r="L635" s="11" t="s">
        <v>24</v>
      </c>
      <c r="M635" s="15">
        <v>40289</v>
      </c>
      <c r="N635" s="1">
        <v>1</v>
      </c>
      <c r="O635" s="11" t="s">
        <v>40</v>
      </c>
      <c r="P635" s="11" t="s">
        <v>72</v>
      </c>
      <c r="Q635" s="11" t="s">
        <v>27</v>
      </c>
      <c r="R635" s="25" t="s">
        <v>28</v>
      </c>
      <c r="S635" s="15">
        <f t="shared" ca="1" si="21"/>
        <v>40470.53652858796</v>
      </c>
      <c r="T635" s="8">
        <f t="shared" ca="1" si="22"/>
        <v>6</v>
      </c>
      <c r="U635" s="11" t="s">
        <v>42</v>
      </c>
      <c r="V635" s="11" t="s">
        <v>42</v>
      </c>
      <c r="W635" s="11" t="s">
        <v>42</v>
      </c>
      <c r="X635" s="11" t="s">
        <v>42</v>
      </c>
      <c r="Y635" s="25" t="s">
        <v>2650</v>
      </c>
      <c r="Z635" s="19"/>
      <c r="AA635" s="19"/>
      <c r="AC635" s="12" t="s">
        <v>1416</v>
      </c>
      <c r="AD635" s="25"/>
      <c r="AE635" s="25"/>
      <c r="AF635" s="25"/>
      <c r="AG635" s="25"/>
      <c r="AH635" s="11" t="s">
        <v>1416</v>
      </c>
    </row>
    <row r="636" spans="1:34" s="11" customFormat="1">
      <c r="A636" s="1">
        <v>634</v>
      </c>
      <c r="B636" s="14">
        <v>40269</v>
      </c>
      <c r="C636" s="15">
        <v>40289</v>
      </c>
      <c r="D636" s="15"/>
      <c r="E636" s="41" t="s">
        <v>2008</v>
      </c>
      <c r="F636" s="41"/>
      <c r="G636" s="40" t="s">
        <v>37</v>
      </c>
      <c r="H636" s="1">
        <v>17</v>
      </c>
      <c r="I636" s="11" t="s">
        <v>2009</v>
      </c>
      <c r="J636" s="8"/>
      <c r="K636" s="8"/>
      <c r="L636" s="11" t="s">
        <v>24</v>
      </c>
      <c r="M636" s="15">
        <v>40289</v>
      </c>
      <c r="N636" s="1">
        <v>1</v>
      </c>
      <c r="O636" s="11" t="s">
        <v>25</v>
      </c>
      <c r="Q636" s="11" t="s">
        <v>27</v>
      </c>
      <c r="R636" s="25" t="s">
        <v>28</v>
      </c>
      <c r="S636" s="15">
        <f t="shared" ca="1" si="21"/>
        <v>40470.53652858796</v>
      </c>
      <c r="T636" s="8">
        <f t="shared" ca="1" si="22"/>
        <v>6</v>
      </c>
      <c r="U636" s="25" t="s">
        <v>56</v>
      </c>
      <c r="V636" s="25" t="s">
        <v>42</v>
      </c>
      <c r="W636" s="25" t="s">
        <v>56</v>
      </c>
      <c r="X636" s="11" t="s">
        <v>42</v>
      </c>
      <c r="Y636" s="25" t="s">
        <v>2650</v>
      </c>
      <c r="Z636" s="19"/>
      <c r="AA636" s="19"/>
      <c r="AC636" s="12" t="s">
        <v>1416</v>
      </c>
      <c r="AD636" s="25"/>
      <c r="AE636" s="25"/>
      <c r="AF636" s="25"/>
      <c r="AG636" s="25"/>
      <c r="AH636" s="11" t="s">
        <v>1416</v>
      </c>
    </row>
    <row r="637" spans="1:34" s="11" customFormat="1">
      <c r="A637" s="1">
        <v>635</v>
      </c>
      <c r="B637" s="14">
        <v>40269</v>
      </c>
      <c r="C637" s="15">
        <v>40289</v>
      </c>
      <c r="D637" s="15"/>
      <c r="E637" s="41" t="s">
        <v>2010</v>
      </c>
      <c r="F637" s="41"/>
      <c r="G637" s="40" t="s">
        <v>37</v>
      </c>
      <c r="H637" s="1">
        <v>20</v>
      </c>
      <c r="I637" s="11" t="s">
        <v>2011</v>
      </c>
      <c r="J637" s="8"/>
      <c r="K637" s="8"/>
      <c r="L637" s="11" t="s">
        <v>24</v>
      </c>
      <c r="M637" s="15">
        <v>40289</v>
      </c>
      <c r="N637" s="1">
        <v>2</v>
      </c>
      <c r="O637" s="11" t="s">
        <v>40</v>
      </c>
      <c r="P637" s="11" t="s">
        <v>72</v>
      </c>
      <c r="Q637" s="11" t="s">
        <v>477</v>
      </c>
      <c r="R637" s="25" t="s">
        <v>56</v>
      </c>
      <c r="S637" s="15">
        <f t="shared" ca="1" si="21"/>
        <v>40470.53652858796</v>
      </c>
      <c r="T637" s="8">
        <f t="shared" ca="1" si="22"/>
        <v>6</v>
      </c>
      <c r="U637" s="11" t="s">
        <v>42</v>
      </c>
      <c r="V637" s="11" t="s">
        <v>42</v>
      </c>
      <c r="W637" s="11" t="s">
        <v>42</v>
      </c>
      <c r="X637" s="11" t="s">
        <v>42</v>
      </c>
      <c r="Y637" s="25" t="s">
        <v>2649</v>
      </c>
      <c r="Z637" s="19"/>
      <c r="AA637" s="19"/>
      <c r="AC637" s="12" t="s">
        <v>1416</v>
      </c>
      <c r="AD637" s="25"/>
      <c r="AE637" s="25"/>
      <c r="AF637" s="25"/>
      <c r="AG637" s="25"/>
      <c r="AH637" s="25" t="s">
        <v>1416</v>
      </c>
    </row>
    <row r="638" spans="1:34" s="11" customFormat="1">
      <c r="A638" s="1">
        <v>636</v>
      </c>
      <c r="B638" s="14">
        <v>40269</v>
      </c>
      <c r="C638" s="15">
        <v>40220</v>
      </c>
      <c r="D638" s="15"/>
      <c r="E638" s="41" t="s">
        <v>2012</v>
      </c>
      <c r="F638" s="41"/>
      <c r="G638" s="40" t="s">
        <v>37</v>
      </c>
      <c r="H638" s="1">
        <v>24</v>
      </c>
      <c r="I638" s="11" t="s">
        <v>2013</v>
      </c>
      <c r="J638" s="8"/>
      <c r="K638" s="8"/>
      <c r="L638" s="11" t="s">
        <v>24</v>
      </c>
      <c r="M638" s="15">
        <v>40220</v>
      </c>
      <c r="N638" s="1">
        <v>1</v>
      </c>
      <c r="O638" s="11" t="s">
        <v>40</v>
      </c>
      <c r="P638" s="11" t="s">
        <v>72</v>
      </c>
      <c r="Q638" s="11" t="s">
        <v>110</v>
      </c>
      <c r="R638" s="11" t="s">
        <v>42</v>
      </c>
      <c r="S638" s="15">
        <f t="shared" ca="1" si="21"/>
        <v>40470.53652858796</v>
      </c>
      <c r="T638" s="8">
        <f t="shared" ca="1" si="22"/>
        <v>8</v>
      </c>
      <c r="U638" s="11" t="s">
        <v>42</v>
      </c>
      <c r="V638" s="11" t="s">
        <v>42</v>
      </c>
      <c r="W638" s="11" t="s">
        <v>42</v>
      </c>
      <c r="X638" s="11" t="s">
        <v>42</v>
      </c>
      <c r="Y638" s="25" t="s">
        <v>2650</v>
      </c>
      <c r="Z638" s="19"/>
      <c r="AA638" s="19"/>
      <c r="AC638" s="12" t="s">
        <v>1416</v>
      </c>
      <c r="AD638" s="25"/>
      <c r="AE638" s="25"/>
      <c r="AF638" s="25"/>
      <c r="AG638" s="25"/>
      <c r="AH638" s="11" t="s">
        <v>1416</v>
      </c>
    </row>
    <row r="639" spans="1:34" s="11" customFormat="1">
      <c r="A639" s="1">
        <v>637</v>
      </c>
      <c r="B639" s="14">
        <v>40269</v>
      </c>
      <c r="C639" s="15">
        <v>40290</v>
      </c>
      <c r="D639" s="15"/>
      <c r="E639" s="41" t="s">
        <v>2014</v>
      </c>
      <c r="F639" s="41"/>
      <c r="G639" s="40" t="s">
        <v>20</v>
      </c>
      <c r="H639" s="1">
        <v>34</v>
      </c>
      <c r="I639" s="11" t="s">
        <v>2015</v>
      </c>
      <c r="J639" s="8" t="s">
        <v>2016</v>
      </c>
      <c r="K639" s="8"/>
      <c r="L639" s="11" t="s">
        <v>24</v>
      </c>
      <c r="M639" s="15">
        <v>40290</v>
      </c>
      <c r="N639" s="1">
        <v>1</v>
      </c>
      <c r="O639" s="11" t="s">
        <v>40</v>
      </c>
      <c r="P639" s="11" t="s">
        <v>1527</v>
      </c>
      <c r="Q639" s="11" t="s">
        <v>27</v>
      </c>
      <c r="R639" s="25" t="s">
        <v>56</v>
      </c>
      <c r="S639" s="15">
        <f t="shared" ca="1" si="21"/>
        <v>40470.53652858796</v>
      </c>
      <c r="T639" s="8">
        <f t="shared" ca="1" si="22"/>
        <v>6</v>
      </c>
      <c r="U639" s="11" t="s">
        <v>42</v>
      </c>
      <c r="V639" s="11" t="s">
        <v>42</v>
      </c>
      <c r="W639" s="11" t="s">
        <v>42</v>
      </c>
      <c r="X639" s="11" t="s">
        <v>42</v>
      </c>
      <c r="Y639" s="25" t="s">
        <v>2650</v>
      </c>
      <c r="Z639" s="19"/>
      <c r="AA639" s="19"/>
      <c r="AC639" s="12" t="s">
        <v>1416</v>
      </c>
      <c r="AD639" s="25"/>
      <c r="AE639" s="25"/>
      <c r="AF639" s="25"/>
      <c r="AG639" s="25"/>
      <c r="AH639" s="11" t="s">
        <v>1416</v>
      </c>
    </row>
    <row r="640" spans="1:34" s="11" customFormat="1">
      <c r="A640" s="1">
        <v>638</v>
      </c>
      <c r="B640" s="14">
        <v>40269</v>
      </c>
      <c r="C640" s="15">
        <v>40290</v>
      </c>
      <c r="D640" s="15"/>
      <c r="E640" s="41" t="s">
        <v>2017</v>
      </c>
      <c r="F640" s="41"/>
      <c r="G640" s="40" t="s">
        <v>20</v>
      </c>
      <c r="H640" s="1">
        <v>61</v>
      </c>
      <c r="I640" s="11" t="s">
        <v>2018</v>
      </c>
      <c r="J640" s="8" t="s">
        <v>2019</v>
      </c>
      <c r="K640" s="8"/>
      <c r="L640" s="11" t="s">
        <v>24</v>
      </c>
      <c r="M640" s="15">
        <v>40290</v>
      </c>
      <c r="N640" s="1">
        <v>1</v>
      </c>
      <c r="O640" s="11" t="s">
        <v>25</v>
      </c>
      <c r="Q640" s="11" t="s">
        <v>27</v>
      </c>
      <c r="R640" s="11" t="s">
        <v>28</v>
      </c>
      <c r="S640" s="15">
        <f t="shared" ca="1" si="21"/>
        <v>40470.53652858796</v>
      </c>
      <c r="T640" s="8">
        <f t="shared" ca="1" si="22"/>
        <v>6</v>
      </c>
      <c r="U640" s="11" t="s">
        <v>42</v>
      </c>
      <c r="V640" s="11" t="s">
        <v>42</v>
      </c>
      <c r="W640" s="11" t="s">
        <v>42</v>
      </c>
      <c r="X640" s="11" t="s">
        <v>42</v>
      </c>
      <c r="Y640" s="25" t="s">
        <v>2650</v>
      </c>
      <c r="Z640" s="19"/>
      <c r="AA640" s="19"/>
      <c r="AC640" s="12" t="s">
        <v>122</v>
      </c>
      <c r="AD640" s="25"/>
      <c r="AE640" s="25"/>
      <c r="AF640" s="25"/>
      <c r="AG640" s="25"/>
      <c r="AH640" s="11" t="s">
        <v>122</v>
      </c>
    </row>
    <row r="641" spans="1:34" s="11" customFormat="1">
      <c r="A641" s="1">
        <v>639</v>
      </c>
      <c r="B641" s="14">
        <v>40269</v>
      </c>
      <c r="C641" s="15">
        <v>40287</v>
      </c>
      <c r="D641" s="15"/>
      <c r="E641" s="41" t="s">
        <v>2020</v>
      </c>
      <c r="F641" s="41"/>
      <c r="G641" s="40" t="s">
        <v>20</v>
      </c>
      <c r="H641" s="1">
        <v>25</v>
      </c>
      <c r="I641" s="11" t="s">
        <v>2021</v>
      </c>
      <c r="J641" s="8"/>
      <c r="K641" s="8"/>
      <c r="L641" s="11" t="s">
        <v>24</v>
      </c>
      <c r="M641" s="15">
        <v>40287</v>
      </c>
      <c r="N641" s="1">
        <v>1</v>
      </c>
      <c r="O641" s="11" t="s">
        <v>40</v>
      </c>
      <c r="P641" s="11" t="s">
        <v>1527</v>
      </c>
      <c r="Q641" s="11" t="s">
        <v>27</v>
      </c>
      <c r="R641" s="25" t="s">
        <v>56</v>
      </c>
      <c r="S641" s="15">
        <f t="shared" ca="1" si="21"/>
        <v>40470.53652858796</v>
      </c>
      <c r="T641" s="8">
        <f t="shared" ca="1" si="22"/>
        <v>6</v>
      </c>
      <c r="U641" s="11" t="s">
        <v>42</v>
      </c>
      <c r="V641" s="11" t="s">
        <v>42</v>
      </c>
      <c r="W641" s="11" t="s">
        <v>42</v>
      </c>
      <c r="X641" s="11" t="s">
        <v>42</v>
      </c>
      <c r="Y641" s="25" t="s">
        <v>2650</v>
      </c>
      <c r="Z641" s="19"/>
      <c r="AA641" s="19"/>
      <c r="AC641" s="12" t="s">
        <v>1416</v>
      </c>
      <c r="AD641" s="25"/>
      <c r="AE641" s="25"/>
      <c r="AF641" s="25"/>
      <c r="AG641" s="25"/>
      <c r="AH641" s="11" t="s">
        <v>1416</v>
      </c>
    </row>
    <row r="642" spans="1:34" s="11" customFormat="1">
      <c r="A642" s="1">
        <v>640</v>
      </c>
      <c r="B642" s="14">
        <v>40269</v>
      </c>
      <c r="C642" s="15">
        <v>40291</v>
      </c>
      <c r="D642" s="15"/>
      <c r="E642" s="40" t="s">
        <v>2022</v>
      </c>
      <c r="F642" s="40"/>
      <c r="G642" s="40" t="s">
        <v>37</v>
      </c>
      <c r="H642" s="1">
        <v>25</v>
      </c>
      <c r="I642" s="11" t="s">
        <v>2023</v>
      </c>
      <c r="J642" s="8"/>
      <c r="K642" s="8"/>
      <c r="L642" s="11" t="s">
        <v>24</v>
      </c>
      <c r="M642" s="15">
        <v>40291</v>
      </c>
      <c r="N642" s="1">
        <v>1</v>
      </c>
      <c r="O642" s="11" t="s">
        <v>40</v>
      </c>
      <c r="P642" s="11" t="s">
        <v>72</v>
      </c>
      <c r="Q642" s="11" t="s">
        <v>27</v>
      </c>
      <c r="R642" s="25" t="s">
        <v>56</v>
      </c>
      <c r="S642" s="15">
        <f t="shared" ref="S642:S705" ca="1" si="23">NOW()</f>
        <v>40470.53652858796</v>
      </c>
      <c r="T642" s="8">
        <f t="shared" ca="1" si="22"/>
        <v>6</v>
      </c>
      <c r="U642" s="11" t="s">
        <v>42</v>
      </c>
      <c r="V642" s="11" t="s">
        <v>42</v>
      </c>
      <c r="W642" s="11" t="s">
        <v>42</v>
      </c>
      <c r="X642" s="11" t="s">
        <v>42</v>
      </c>
      <c r="Y642" s="25" t="s">
        <v>2650</v>
      </c>
      <c r="Z642" s="19"/>
      <c r="AA642" s="19"/>
      <c r="AC642" s="12" t="s">
        <v>1416</v>
      </c>
      <c r="AD642" s="25"/>
      <c r="AE642" s="25"/>
      <c r="AF642" s="25"/>
      <c r="AG642" s="25"/>
      <c r="AH642" s="11" t="s">
        <v>1416</v>
      </c>
    </row>
    <row r="643" spans="1:34" s="11" customFormat="1">
      <c r="A643" s="1">
        <v>641</v>
      </c>
      <c r="B643" s="14">
        <v>40269</v>
      </c>
      <c r="C643" s="15">
        <v>40291</v>
      </c>
      <c r="D643" s="15"/>
      <c r="E643" s="40" t="s">
        <v>2024</v>
      </c>
      <c r="F643" s="40"/>
      <c r="G643" s="42" t="s">
        <v>20</v>
      </c>
      <c r="H643" s="1">
        <v>21</v>
      </c>
      <c r="I643" s="11" t="s">
        <v>2025</v>
      </c>
      <c r="J643" s="8" t="s">
        <v>2026</v>
      </c>
      <c r="K643" s="8"/>
      <c r="L643" s="11" t="s">
        <v>24</v>
      </c>
      <c r="M643" s="15">
        <v>40291</v>
      </c>
      <c r="N643" s="1">
        <v>1</v>
      </c>
      <c r="O643" s="11" t="s">
        <v>25</v>
      </c>
      <c r="Q643" s="11" t="s">
        <v>27</v>
      </c>
      <c r="R643" s="11" t="s">
        <v>28</v>
      </c>
      <c r="S643" s="15">
        <f t="shared" ca="1" si="23"/>
        <v>40470.53652858796</v>
      </c>
      <c r="T643" s="8">
        <f t="shared" ca="1" si="22"/>
        <v>6</v>
      </c>
      <c r="U643" s="25" t="s">
        <v>56</v>
      </c>
      <c r="V643" s="25" t="s">
        <v>42</v>
      </c>
      <c r="W643" s="25" t="s">
        <v>56</v>
      </c>
      <c r="X643" s="11" t="s">
        <v>42</v>
      </c>
      <c r="Y643" s="25" t="s">
        <v>2650</v>
      </c>
      <c r="Z643" s="19"/>
      <c r="AA643" s="19"/>
      <c r="AC643" s="12" t="s">
        <v>1416</v>
      </c>
      <c r="AD643" s="25"/>
      <c r="AE643" s="25"/>
      <c r="AF643" s="25"/>
      <c r="AG643" s="25"/>
      <c r="AH643" s="11" t="s">
        <v>1416</v>
      </c>
    </row>
    <row r="644" spans="1:34" s="11" customFormat="1">
      <c r="A644" s="1">
        <v>642</v>
      </c>
      <c r="B644" s="14">
        <v>40269</v>
      </c>
      <c r="C644" s="15">
        <v>40291</v>
      </c>
      <c r="D644" s="15"/>
      <c r="E644" s="40" t="s">
        <v>2027</v>
      </c>
      <c r="F644" s="40"/>
      <c r="G644" s="40" t="s">
        <v>20</v>
      </c>
      <c r="H644" s="1">
        <v>30</v>
      </c>
      <c r="I644" s="11" t="s">
        <v>2028</v>
      </c>
      <c r="J644" s="8" t="s">
        <v>2029</v>
      </c>
      <c r="K644" s="8"/>
      <c r="L644" s="11" t="s">
        <v>24</v>
      </c>
      <c r="M644" s="15">
        <v>40291</v>
      </c>
      <c r="N644" s="1">
        <v>2</v>
      </c>
      <c r="O644" s="11" t="s">
        <v>25</v>
      </c>
      <c r="Q644" s="11" t="s">
        <v>49</v>
      </c>
      <c r="R644" s="11" t="s">
        <v>42</v>
      </c>
      <c r="S644" s="15">
        <f t="shared" ca="1" si="23"/>
        <v>40470.53652858796</v>
      </c>
      <c r="T644" s="8">
        <f t="shared" ca="1" si="22"/>
        <v>6</v>
      </c>
      <c r="U644" s="11" t="s">
        <v>42</v>
      </c>
      <c r="V644" s="11" t="s">
        <v>42</v>
      </c>
      <c r="W644" s="11" t="s">
        <v>42</v>
      </c>
      <c r="X644" s="11" t="s">
        <v>42</v>
      </c>
      <c r="Z644" s="19"/>
      <c r="AA644" s="19"/>
      <c r="AC644" s="12" t="s">
        <v>122</v>
      </c>
      <c r="AD644" s="25">
        <v>40291</v>
      </c>
      <c r="AE644" s="25"/>
      <c r="AF644" s="25"/>
      <c r="AG644" s="25"/>
      <c r="AH644" s="11" t="s">
        <v>122</v>
      </c>
    </row>
    <row r="645" spans="1:34" s="11" customFormat="1">
      <c r="A645" s="1">
        <v>643</v>
      </c>
      <c r="B645" s="14">
        <v>40269</v>
      </c>
      <c r="C645" s="15">
        <v>40291</v>
      </c>
      <c r="D645" s="15"/>
      <c r="E645" s="41" t="s">
        <v>2030</v>
      </c>
      <c r="F645" s="41"/>
      <c r="G645" s="40" t="s">
        <v>20</v>
      </c>
      <c r="H645" s="1">
        <v>20</v>
      </c>
      <c r="I645" s="11" t="s">
        <v>2031</v>
      </c>
      <c r="J645" s="8" t="s">
        <v>2032</v>
      </c>
      <c r="K645" s="8"/>
      <c r="L645" s="11" t="s">
        <v>24</v>
      </c>
      <c r="M645" s="15">
        <v>40291</v>
      </c>
      <c r="N645" s="1">
        <v>1</v>
      </c>
      <c r="O645" s="11" t="s">
        <v>25</v>
      </c>
      <c r="Q645" s="11" t="s">
        <v>27</v>
      </c>
      <c r="R645" s="11" t="s">
        <v>65</v>
      </c>
      <c r="S645" s="15">
        <f t="shared" ca="1" si="23"/>
        <v>40470.53652858796</v>
      </c>
      <c r="T645" s="8">
        <f t="shared" ca="1" si="22"/>
        <v>6</v>
      </c>
      <c r="U645" s="11" t="s">
        <v>56</v>
      </c>
      <c r="V645" s="11" t="s">
        <v>42</v>
      </c>
      <c r="W645" s="11" t="s">
        <v>42</v>
      </c>
      <c r="X645" s="11" t="s">
        <v>42</v>
      </c>
      <c r="Z645" s="19"/>
      <c r="AA645" s="19"/>
      <c r="AC645" s="12" t="s">
        <v>1416</v>
      </c>
      <c r="AD645" s="25"/>
      <c r="AE645" s="25"/>
      <c r="AF645" s="25"/>
      <c r="AG645" s="25"/>
      <c r="AH645" s="11" t="s">
        <v>1416</v>
      </c>
    </row>
    <row r="646" spans="1:34" s="11" customFormat="1">
      <c r="A646" s="1">
        <v>644</v>
      </c>
      <c r="B646" s="14">
        <v>40269</v>
      </c>
      <c r="C646" s="15">
        <v>40291</v>
      </c>
      <c r="D646" s="15"/>
      <c r="E646" s="41" t="s">
        <v>2033</v>
      </c>
      <c r="F646" s="41"/>
      <c r="G646" s="40" t="s">
        <v>20</v>
      </c>
      <c r="H646" s="1">
        <v>44</v>
      </c>
      <c r="I646" s="11" t="s">
        <v>2034</v>
      </c>
      <c r="J646" s="8" t="s">
        <v>2035</v>
      </c>
      <c r="K646" s="8"/>
      <c r="L646" s="11" t="s">
        <v>24</v>
      </c>
      <c r="M646" s="15">
        <v>40291</v>
      </c>
      <c r="N646" s="1">
        <v>1</v>
      </c>
      <c r="O646" s="11" t="s">
        <v>40</v>
      </c>
      <c r="P646" s="11" t="s">
        <v>72</v>
      </c>
      <c r="Q646" s="11" t="s">
        <v>27</v>
      </c>
      <c r="R646" s="25" t="s">
        <v>2729</v>
      </c>
      <c r="S646" s="15">
        <f t="shared" ca="1" si="23"/>
        <v>40470.53652858796</v>
      </c>
      <c r="T646" s="8">
        <f t="shared" ca="1" si="22"/>
        <v>6</v>
      </c>
      <c r="U646" s="11" t="s">
        <v>42</v>
      </c>
      <c r="V646" s="11" t="s">
        <v>42</v>
      </c>
      <c r="W646" s="11" t="s">
        <v>42</v>
      </c>
      <c r="X646" s="11" t="s">
        <v>42</v>
      </c>
      <c r="Y646" s="25" t="s">
        <v>2650</v>
      </c>
      <c r="Z646" s="19"/>
      <c r="AA646" s="19"/>
      <c r="AC646" s="12" t="s">
        <v>1416</v>
      </c>
      <c r="AD646" s="25"/>
      <c r="AE646" s="25"/>
      <c r="AF646" s="25"/>
      <c r="AG646" s="25"/>
      <c r="AH646" s="11" t="s">
        <v>1416</v>
      </c>
    </row>
    <row r="647" spans="1:34" s="11" customFormat="1">
      <c r="A647" s="1">
        <v>645</v>
      </c>
      <c r="B647" s="14">
        <v>40269</v>
      </c>
      <c r="C647" s="15">
        <v>40294</v>
      </c>
      <c r="D647" s="15"/>
      <c r="E647" s="41" t="s">
        <v>2036</v>
      </c>
      <c r="F647" s="41"/>
      <c r="G647" s="40" t="s">
        <v>20</v>
      </c>
      <c r="H647" s="1">
        <v>55</v>
      </c>
      <c r="I647" s="11" t="s">
        <v>2037</v>
      </c>
      <c r="J647" s="8" t="s">
        <v>2038</v>
      </c>
      <c r="K647" s="8"/>
      <c r="L647" s="11" t="s">
        <v>24</v>
      </c>
      <c r="M647" s="15">
        <v>40294</v>
      </c>
      <c r="N647" s="1">
        <v>1</v>
      </c>
      <c r="O647" s="11" t="s">
        <v>40</v>
      </c>
      <c r="P647" s="11" t="s">
        <v>213</v>
      </c>
      <c r="Q647" s="11" t="s">
        <v>27</v>
      </c>
      <c r="R647" s="11" t="s">
        <v>42</v>
      </c>
      <c r="S647" s="15">
        <f t="shared" ca="1" si="23"/>
        <v>40470.53652858796</v>
      </c>
      <c r="T647" s="8">
        <f t="shared" ca="1" si="22"/>
        <v>6</v>
      </c>
      <c r="U647" s="11" t="s">
        <v>42</v>
      </c>
      <c r="V647" s="11" t="s">
        <v>42</v>
      </c>
      <c r="W647" s="11" t="s">
        <v>42</v>
      </c>
      <c r="X647" s="11" t="s">
        <v>42</v>
      </c>
      <c r="Y647" s="25" t="s">
        <v>2650</v>
      </c>
      <c r="Z647" s="19"/>
      <c r="AA647" s="19"/>
      <c r="AC647" s="12" t="s">
        <v>1416</v>
      </c>
      <c r="AD647" s="25"/>
      <c r="AE647" s="25"/>
      <c r="AF647" s="25"/>
      <c r="AG647" s="25"/>
      <c r="AH647" s="11" t="s">
        <v>1416</v>
      </c>
    </row>
    <row r="648" spans="1:34" s="11" customFormat="1">
      <c r="A648" s="1">
        <v>646</v>
      </c>
      <c r="B648" s="14">
        <v>40269</v>
      </c>
      <c r="C648" s="15">
        <v>40294</v>
      </c>
      <c r="D648" s="15"/>
      <c r="E648" s="41" t="s">
        <v>2039</v>
      </c>
      <c r="F648" s="41"/>
      <c r="G648" s="40" t="s">
        <v>37</v>
      </c>
      <c r="H648" s="1">
        <v>15</v>
      </c>
      <c r="I648" s="11" t="s">
        <v>2040</v>
      </c>
      <c r="J648" s="8"/>
      <c r="K648" s="8"/>
      <c r="L648" s="11" t="s">
        <v>24</v>
      </c>
      <c r="M648" s="15">
        <v>40294</v>
      </c>
      <c r="N648" s="1">
        <v>1</v>
      </c>
      <c r="O648" s="25" t="s">
        <v>40</v>
      </c>
      <c r="P648" s="25" t="s">
        <v>2096</v>
      </c>
      <c r="Q648" s="11" t="s">
        <v>27</v>
      </c>
      <c r="R648" s="25" t="s">
        <v>2729</v>
      </c>
      <c r="S648" s="15">
        <f t="shared" ca="1" si="23"/>
        <v>40470.53652858796</v>
      </c>
      <c r="T648" s="8">
        <f t="shared" ca="1" si="22"/>
        <v>6</v>
      </c>
      <c r="U648" s="11" t="s">
        <v>42</v>
      </c>
      <c r="V648" s="11" t="s">
        <v>42</v>
      </c>
      <c r="W648" s="11" t="s">
        <v>42</v>
      </c>
      <c r="X648" s="11" t="s">
        <v>42</v>
      </c>
      <c r="Y648" s="25" t="s">
        <v>2650</v>
      </c>
      <c r="Z648" s="19"/>
      <c r="AA648" s="19"/>
      <c r="AC648" s="12" t="s">
        <v>1416</v>
      </c>
      <c r="AD648" s="25"/>
      <c r="AE648" s="25"/>
      <c r="AF648" s="25"/>
      <c r="AG648" s="25"/>
      <c r="AH648" s="11" t="s">
        <v>1416</v>
      </c>
    </row>
    <row r="649" spans="1:34" s="11" customFormat="1">
      <c r="A649" s="1">
        <v>647</v>
      </c>
      <c r="B649" s="14">
        <v>40269</v>
      </c>
      <c r="C649" s="15">
        <v>40294</v>
      </c>
      <c r="D649" s="15"/>
      <c r="E649" s="41" t="s">
        <v>2041</v>
      </c>
      <c r="F649" s="41"/>
      <c r="G649" s="40" t="s">
        <v>37</v>
      </c>
      <c r="H649" s="1">
        <v>25</v>
      </c>
      <c r="I649" s="11" t="s">
        <v>2042</v>
      </c>
      <c r="J649" s="8" t="s">
        <v>1427</v>
      </c>
      <c r="K649" s="8"/>
      <c r="L649" s="11" t="s">
        <v>24</v>
      </c>
      <c r="M649" s="15">
        <v>40294</v>
      </c>
      <c r="N649" s="1">
        <v>1</v>
      </c>
      <c r="O649" s="11" t="s">
        <v>40</v>
      </c>
      <c r="P649" s="11" t="s">
        <v>213</v>
      </c>
      <c r="Q649" s="11" t="s">
        <v>27</v>
      </c>
      <c r="R649" s="11" t="s">
        <v>42</v>
      </c>
      <c r="S649" s="15">
        <f t="shared" ca="1" si="23"/>
        <v>40470.53652858796</v>
      </c>
      <c r="T649" s="8">
        <f t="shared" ca="1" si="22"/>
        <v>6</v>
      </c>
      <c r="U649" s="11" t="s">
        <v>42</v>
      </c>
      <c r="V649" s="11" t="s">
        <v>42</v>
      </c>
      <c r="W649" s="11" t="s">
        <v>42</v>
      </c>
      <c r="X649" s="11" t="s">
        <v>42</v>
      </c>
      <c r="Y649" s="25" t="s">
        <v>2650</v>
      </c>
      <c r="Z649" s="19"/>
      <c r="AA649" s="19"/>
      <c r="AC649" s="12" t="s">
        <v>1416</v>
      </c>
      <c r="AD649" s="25"/>
      <c r="AE649" s="25"/>
      <c r="AF649" s="25"/>
      <c r="AG649" s="25"/>
      <c r="AH649" s="11" t="s">
        <v>1416</v>
      </c>
    </row>
    <row r="650" spans="1:34" s="11" customFormat="1">
      <c r="A650" s="1">
        <v>648</v>
      </c>
      <c r="B650" s="14">
        <v>40269</v>
      </c>
      <c r="C650" s="15">
        <v>40295</v>
      </c>
      <c r="D650" s="15"/>
      <c r="E650" s="41" t="s">
        <v>2043</v>
      </c>
      <c r="F650" s="41"/>
      <c r="G650" s="40" t="s">
        <v>20</v>
      </c>
      <c r="H650" s="1">
        <v>21</v>
      </c>
      <c r="I650" s="11" t="s">
        <v>1865</v>
      </c>
      <c r="J650" s="8" t="s">
        <v>1866</v>
      </c>
      <c r="K650" s="8"/>
      <c r="L650" s="11" t="s">
        <v>24</v>
      </c>
      <c r="M650" s="15">
        <v>40295</v>
      </c>
      <c r="N650" s="1">
        <v>1</v>
      </c>
      <c r="O650" s="11" t="s">
        <v>25</v>
      </c>
      <c r="Q650" s="11" t="s">
        <v>27</v>
      </c>
      <c r="R650" s="25" t="s">
        <v>56</v>
      </c>
      <c r="S650" s="15">
        <f t="shared" ca="1" si="23"/>
        <v>40470.53652858796</v>
      </c>
      <c r="T650" s="8">
        <f t="shared" ca="1" si="22"/>
        <v>6</v>
      </c>
      <c r="U650" s="25" t="s">
        <v>42</v>
      </c>
      <c r="V650" s="11" t="s">
        <v>42</v>
      </c>
      <c r="W650" s="11" t="s">
        <v>42</v>
      </c>
      <c r="X650" s="11" t="s">
        <v>42</v>
      </c>
      <c r="Y650" s="25" t="s">
        <v>2650</v>
      </c>
      <c r="Z650" s="19"/>
      <c r="AA650" s="19"/>
      <c r="AC650" s="12" t="s">
        <v>1416</v>
      </c>
      <c r="AD650" s="25"/>
      <c r="AE650" s="25"/>
      <c r="AF650" s="25"/>
      <c r="AG650" s="25"/>
      <c r="AH650" s="11" t="s">
        <v>1416</v>
      </c>
    </row>
    <row r="651" spans="1:34" s="11" customFormat="1">
      <c r="A651" s="1">
        <v>649</v>
      </c>
      <c r="B651" s="14">
        <v>40269</v>
      </c>
      <c r="C651" s="15">
        <v>40295</v>
      </c>
      <c r="D651" s="15"/>
      <c r="E651" s="40" t="s">
        <v>1867</v>
      </c>
      <c r="F651" s="40"/>
      <c r="G651" s="40" t="s">
        <v>37</v>
      </c>
      <c r="H651" s="1">
        <v>21</v>
      </c>
      <c r="I651" s="11" t="s">
        <v>1868</v>
      </c>
      <c r="J651" s="8" t="s">
        <v>1869</v>
      </c>
      <c r="K651" s="8"/>
      <c r="L651" s="11" t="s">
        <v>24</v>
      </c>
      <c r="M651" s="15">
        <v>40295</v>
      </c>
      <c r="N651" s="1">
        <v>1</v>
      </c>
      <c r="O651" s="11" t="s">
        <v>40</v>
      </c>
      <c r="P651" s="11" t="s">
        <v>1384</v>
      </c>
      <c r="Q651" s="11" t="s">
        <v>27</v>
      </c>
      <c r="R651" s="25" t="s">
        <v>56</v>
      </c>
      <c r="S651" s="15">
        <f t="shared" ca="1" si="23"/>
        <v>40470.53652858796</v>
      </c>
      <c r="T651" s="8">
        <f t="shared" ca="1" si="22"/>
        <v>6</v>
      </c>
      <c r="U651" s="11" t="s">
        <v>42</v>
      </c>
      <c r="V651" s="11" t="s">
        <v>42</v>
      </c>
      <c r="W651" s="11" t="s">
        <v>42</v>
      </c>
      <c r="X651" s="11" t="s">
        <v>42</v>
      </c>
      <c r="Y651" s="25" t="s">
        <v>2650</v>
      </c>
      <c r="Z651" s="19"/>
      <c r="AA651" s="19"/>
      <c r="AC651" s="12" t="s">
        <v>1416</v>
      </c>
      <c r="AD651" s="25"/>
      <c r="AE651" s="25"/>
      <c r="AF651" s="25"/>
      <c r="AG651" s="25"/>
      <c r="AH651" s="11" t="s">
        <v>1416</v>
      </c>
    </row>
    <row r="652" spans="1:34" s="11" customFormat="1">
      <c r="A652" s="1">
        <v>650</v>
      </c>
      <c r="B652" s="14">
        <v>40269</v>
      </c>
      <c r="C652" s="15">
        <v>40296</v>
      </c>
      <c r="D652" s="15"/>
      <c r="E652" s="40" t="s">
        <v>1870</v>
      </c>
      <c r="F652" s="40"/>
      <c r="G652" s="42" t="s">
        <v>37</v>
      </c>
      <c r="H652" s="1">
        <v>30</v>
      </c>
      <c r="I652" s="11" t="s">
        <v>1871</v>
      </c>
      <c r="J652" s="8" t="s">
        <v>1872</v>
      </c>
      <c r="K652" s="8"/>
      <c r="L652" s="11" t="s">
        <v>24</v>
      </c>
      <c r="M652" s="15">
        <v>40296</v>
      </c>
      <c r="N652" s="1">
        <v>1</v>
      </c>
      <c r="O652" s="11" t="s">
        <v>40</v>
      </c>
      <c r="P652" s="11" t="s">
        <v>1873</v>
      </c>
      <c r="Q652" s="11" t="s">
        <v>27</v>
      </c>
      <c r="R652" s="25" t="s">
        <v>56</v>
      </c>
      <c r="S652" s="15">
        <f t="shared" ca="1" si="23"/>
        <v>40470.53652858796</v>
      </c>
      <c r="T652" s="8">
        <f t="shared" ca="1" si="22"/>
        <v>6</v>
      </c>
      <c r="U652" s="11" t="s">
        <v>42</v>
      </c>
      <c r="V652" s="11" t="s">
        <v>42</v>
      </c>
      <c r="W652" s="11" t="s">
        <v>42</v>
      </c>
      <c r="X652" s="11" t="s">
        <v>42</v>
      </c>
      <c r="Y652" s="25" t="s">
        <v>2650</v>
      </c>
      <c r="Z652" s="19"/>
      <c r="AA652" s="19"/>
      <c r="AC652" s="12" t="s">
        <v>1416</v>
      </c>
      <c r="AD652" s="25"/>
      <c r="AE652" s="25"/>
      <c r="AF652" s="25"/>
      <c r="AG652" s="25"/>
      <c r="AH652" s="11" t="s">
        <v>1416</v>
      </c>
    </row>
    <row r="653" spans="1:34" s="11" customFormat="1">
      <c r="A653" s="1">
        <v>651</v>
      </c>
      <c r="B653" s="14">
        <v>40269</v>
      </c>
      <c r="C653" s="15">
        <v>40296</v>
      </c>
      <c r="D653" s="15"/>
      <c r="E653" s="40" t="s">
        <v>1874</v>
      </c>
      <c r="F653" s="40"/>
      <c r="G653" s="42" t="s">
        <v>37</v>
      </c>
      <c r="H653" s="1">
        <v>11</v>
      </c>
      <c r="I653" s="11" t="s">
        <v>1875</v>
      </c>
      <c r="J653" s="8" t="s">
        <v>1876</v>
      </c>
      <c r="K653" s="8"/>
      <c r="L653" s="11" t="s">
        <v>24</v>
      </c>
      <c r="M653" s="15">
        <v>40296</v>
      </c>
      <c r="N653" s="1">
        <v>1</v>
      </c>
      <c r="O653" s="11" t="s">
        <v>40</v>
      </c>
      <c r="P653" s="11" t="s">
        <v>213</v>
      </c>
      <c r="Q653" s="11" t="s">
        <v>27</v>
      </c>
      <c r="R653" s="11" t="s">
        <v>42</v>
      </c>
      <c r="S653" s="15">
        <f t="shared" ca="1" si="23"/>
        <v>40470.53652858796</v>
      </c>
      <c r="T653" s="8">
        <f t="shared" ca="1" si="22"/>
        <v>6</v>
      </c>
      <c r="U653" s="11" t="s">
        <v>42</v>
      </c>
      <c r="V653" s="11" t="s">
        <v>42</v>
      </c>
      <c r="W653" s="11" t="s">
        <v>42</v>
      </c>
      <c r="X653" s="11" t="s">
        <v>42</v>
      </c>
      <c r="Y653" s="25" t="s">
        <v>2650</v>
      </c>
      <c r="Z653" s="19"/>
      <c r="AA653" s="19"/>
      <c r="AC653" s="12" t="s">
        <v>35</v>
      </c>
      <c r="AD653" s="25">
        <v>40450</v>
      </c>
      <c r="AE653" s="25"/>
      <c r="AF653" s="25"/>
      <c r="AG653" s="25"/>
      <c r="AH653" s="25" t="s">
        <v>35</v>
      </c>
    </row>
    <row r="654" spans="1:34" s="11" customFormat="1">
      <c r="A654" s="1">
        <v>652</v>
      </c>
      <c r="B654" s="14">
        <v>40269</v>
      </c>
      <c r="C654" s="15">
        <v>40296</v>
      </c>
      <c r="D654" s="15"/>
      <c r="E654" s="20" t="s">
        <v>1877</v>
      </c>
      <c r="F654" s="20"/>
      <c r="G654" s="17" t="s">
        <v>37</v>
      </c>
      <c r="H654" s="1">
        <v>66</v>
      </c>
      <c r="I654" s="11" t="s">
        <v>1878</v>
      </c>
      <c r="J654" s="8"/>
      <c r="K654" s="8"/>
      <c r="L654" s="11" t="s">
        <v>24</v>
      </c>
      <c r="M654" s="15">
        <v>40296</v>
      </c>
      <c r="N654" s="1">
        <v>1</v>
      </c>
      <c r="O654" s="11" t="s">
        <v>25</v>
      </c>
      <c r="Q654" s="11" t="s">
        <v>27</v>
      </c>
      <c r="R654" s="11" t="s">
        <v>28</v>
      </c>
      <c r="S654" s="15">
        <f t="shared" ca="1" si="23"/>
        <v>40470.53652858796</v>
      </c>
      <c r="T654" s="8">
        <f t="shared" ref="T654:T717" ca="1" si="24">(YEAR(S654)-YEAR(M654))*12+MONTH(S654)-MONTH(M654)</f>
        <v>6</v>
      </c>
      <c r="U654" s="11" t="s">
        <v>28</v>
      </c>
      <c r="V654" s="25" t="s">
        <v>56</v>
      </c>
      <c r="Y654" s="25" t="s">
        <v>2650</v>
      </c>
      <c r="Z654" s="19"/>
      <c r="AA654" s="19"/>
      <c r="AC654" s="12" t="s">
        <v>1416</v>
      </c>
      <c r="AD654" s="25"/>
      <c r="AE654" s="25"/>
      <c r="AF654" s="25"/>
      <c r="AG654" s="25"/>
      <c r="AH654" s="11" t="s">
        <v>1416</v>
      </c>
    </row>
    <row r="655" spans="1:34" s="11" customFormat="1">
      <c r="A655" s="1">
        <v>653</v>
      </c>
      <c r="B655" s="14">
        <v>40269</v>
      </c>
      <c r="C655" s="15">
        <v>40297</v>
      </c>
      <c r="D655" s="15"/>
      <c r="E655" s="20" t="s">
        <v>1879</v>
      </c>
      <c r="F655" s="20"/>
      <c r="G655" s="17" t="s">
        <v>37</v>
      </c>
      <c r="H655" s="1">
        <v>35</v>
      </c>
      <c r="I655" s="11" t="s">
        <v>1880</v>
      </c>
      <c r="J655" s="8" t="s">
        <v>1881</v>
      </c>
      <c r="K655" s="8"/>
      <c r="L655" s="11" t="s">
        <v>24</v>
      </c>
      <c r="M655" s="15">
        <v>40297</v>
      </c>
      <c r="N655" s="1">
        <v>1</v>
      </c>
      <c r="O655" s="11" t="s">
        <v>40</v>
      </c>
      <c r="P655" s="11" t="s">
        <v>1527</v>
      </c>
      <c r="Q655" s="11" t="s">
        <v>27</v>
      </c>
      <c r="R655" s="11" t="s">
        <v>42</v>
      </c>
      <c r="S655" s="15">
        <f t="shared" ca="1" si="23"/>
        <v>40470.53652858796</v>
      </c>
      <c r="T655" s="8">
        <f t="shared" ca="1" si="24"/>
        <v>6</v>
      </c>
      <c r="U655" s="11" t="s">
        <v>42</v>
      </c>
      <c r="V655" s="11" t="s">
        <v>42</v>
      </c>
      <c r="W655" s="11" t="s">
        <v>42</v>
      </c>
      <c r="X655" s="11" t="s">
        <v>42</v>
      </c>
      <c r="Y655" s="25" t="s">
        <v>2649</v>
      </c>
      <c r="Z655" s="19"/>
      <c r="AA655" s="19"/>
      <c r="AC655" s="12" t="s">
        <v>122</v>
      </c>
      <c r="AD655" s="25">
        <v>40330</v>
      </c>
      <c r="AE655" s="25"/>
      <c r="AF655" s="25"/>
      <c r="AG655" s="25"/>
      <c r="AH655" s="25" t="s">
        <v>122</v>
      </c>
    </row>
    <row r="656" spans="1:34" s="11" customFormat="1">
      <c r="A656" s="1">
        <v>654</v>
      </c>
      <c r="B656" s="14">
        <v>40299</v>
      </c>
      <c r="C656" s="15">
        <v>40301</v>
      </c>
      <c r="D656" s="15"/>
      <c r="E656" s="20" t="s">
        <v>1882</v>
      </c>
      <c r="F656" s="20"/>
      <c r="G656" s="17" t="s">
        <v>37</v>
      </c>
      <c r="H656" s="1">
        <v>25</v>
      </c>
      <c r="I656" s="11" t="s">
        <v>1883</v>
      </c>
      <c r="J656" s="8" t="s">
        <v>1884</v>
      </c>
      <c r="K656" s="8"/>
      <c r="L656" s="11" t="s">
        <v>24</v>
      </c>
      <c r="M656" s="15">
        <v>40301</v>
      </c>
      <c r="N656" s="1">
        <v>1</v>
      </c>
      <c r="O656" s="11" t="s">
        <v>25</v>
      </c>
      <c r="Q656" s="11" t="s">
        <v>27</v>
      </c>
      <c r="R656" s="11" t="s">
        <v>60</v>
      </c>
      <c r="S656" s="15">
        <f t="shared" ca="1" si="23"/>
        <v>40470.53652858796</v>
      </c>
      <c r="T656" s="8">
        <f t="shared" ca="1" si="24"/>
        <v>5</v>
      </c>
      <c r="U656" s="25" t="s">
        <v>56</v>
      </c>
      <c r="V656" s="25" t="s">
        <v>2729</v>
      </c>
      <c r="Y656" s="25" t="s">
        <v>2650</v>
      </c>
      <c r="Z656" s="19"/>
      <c r="AA656" s="19"/>
      <c r="AC656" s="12" t="s">
        <v>1416</v>
      </c>
      <c r="AD656" s="25"/>
      <c r="AE656" s="25"/>
      <c r="AF656" s="25"/>
      <c r="AG656" s="25"/>
      <c r="AH656" s="11" t="s">
        <v>1416</v>
      </c>
    </row>
    <row r="657" spans="1:34" s="11" customFormat="1">
      <c r="A657" s="1">
        <v>655</v>
      </c>
      <c r="B657" s="14">
        <v>40269</v>
      </c>
      <c r="C657" s="15">
        <v>40282</v>
      </c>
      <c r="D657" s="15"/>
      <c r="E657" s="8" t="s">
        <v>1885</v>
      </c>
      <c r="F657" s="8"/>
      <c r="G657" s="11" t="s">
        <v>37</v>
      </c>
      <c r="H657" s="1">
        <v>40</v>
      </c>
      <c r="I657" s="11" t="s">
        <v>1886</v>
      </c>
      <c r="J657" s="8" t="s">
        <v>1887</v>
      </c>
      <c r="K657" s="8"/>
      <c r="L657" s="11" t="s">
        <v>24</v>
      </c>
      <c r="M657" s="15">
        <v>40282</v>
      </c>
      <c r="N657" s="1">
        <v>1</v>
      </c>
      <c r="O657" s="11" t="s">
        <v>40</v>
      </c>
      <c r="P657" s="11" t="s">
        <v>109</v>
      </c>
      <c r="Q657" s="11" t="s">
        <v>27</v>
      </c>
      <c r="R657" s="25" t="s">
        <v>2729</v>
      </c>
      <c r="S657" s="15">
        <f t="shared" ca="1" si="23"/>
        <v>40470.53652858796</v>
      </c>
      <c r="T657" s="8">
        <f t="shared" ca="1" si="24"/>
        <v>6</v>
      </c>
      <c r="U657" s="11" t="s">
        <v>42</v>
      </c>
      <c r="V657" s="11" t="s">
        <v>42</v>
      </c>
      <c r="W657" s="11" t="s">
        <v>42</v>
      </c>
      <c r="X657" s="11" t="s">
        <v>42</v>
      </c>
      <c r="Z657" s="19"/>
      <c r="AA657" s="19"/>
      <c r="AC657" s="12" t="s">
        <v>35</v>
      </c>
      <c r="AD657" s="25">
        <v>40302</v>
      </c>
      <c r="AE657" s="25"/>
      <c r="AF657" s="25"/>
      <c r="AG657" s="25"/>
      <c r="AH657" s="25" t="s">
        <v>35</v>
      </c>
    </row>
    <row r="658" spans="1:34" s="11" customFormat="1">
      <c r="A658" s="1">
        <v>656</v>
      </c>
      <c r="B658" s="14">
        <v>40299</v>
      </c>
      <c r="C658" s="15">
        <v>40302</v>
      </c>
      <c r="D658" s="15"/>
      <c r="E658" s="8" t="s">
        <v>1888</v>
      </c>
      <c r="F658" s="8"/>
      <c r="G658" s="11" t="s">
        <v>20</v>
      </c>
      <c r="H658" s="1">
        <v>25</v>
      </c>
      <c r="I658" s="11" t="s">
        <v>1889</v>
      </c>
      <c r="J658" s="8" t="s">
        <v>2101</v>
      </c>
      <c r="K658" s="8"/>
      <c r="L658" s="11" t="s">
        <v>24</v>
      </c>
      <c r="M658" s="15">
        <v>40302</v>
      </c>
      <c r="N658" s="1">
        <v>2</v>
      </c>
      <c r="O658" s="11" t="s">
        <v>40</v>
      </c>
      <c r="P658" s="11" t="s">
        <v>2102</v>
      </c>
      <c r="Q658" s="11" t="s">
        <v>407</v>
      </c>
      <c r="R658" s="25" t="s">
        <v>56</v>
      </c>
      <c r="S658" s="15">
        <f t="shared" ca="1" si="23"/>
        <v>40470.53652858796</v>
      </c>
      <c r="T658" s="8">
        <f t="shared" ca="1" si="24"/>
        <v>5</v>
      </c>
      <c r="U658" s="11" t="s">
        <v>42</v>
      </c>
      <c r="V658" s="11" t="s">
        <v>42</v>
      </c>
      <c r="W658" s="11" t="s">
        <v>42</v>
      </c>
      <c r="X658" s="11" t="s">
        <v>42</v>
      </c>
      <c r="Y658" s="25" t="s">
        <v>2649</v>
      </c>
      <c r="Z658" s="19"/>
      <c r="AA658" s="19"/>
      <c r="AC658" s="12" t="s">
        <v>122</v>
      </c>
      <c r="AD658" s="25">
        <v>40367</v>
      </c>
      <c r="AE658" s="25"/>
      <c r="AF658" s="25"/>
      <c r="AG658" s="25"/>
      <c r="AH658" s="11" t="s">
        <v>1416</v>
      </c>
    </row>
    <row r="659" spans="1:34" s="11" customFormat="1">
      <c r="A659" s="1">
        <v>657</v>
      </c>
      <c r="B659" s="14">
        <v>40299</v>
      </c>
      <c r="C659" s="15">
        <v>40302</v>
      </c>
      <c r="D659" s="15"/>
      <c r="E659" s="8" t="s">
        <v>2103</v>
      </c>
      <c r="F659" s="8"/>
      <c r="G659" s="11" t="s">
        <v>37</v>
      </c>
      <c r="H659" s="1">
        <v>45</v>
      </c>
      <c r="I659" s="11" t="s">
        <v>2104</v>
      </c>
      <c r="J659" s="8"/>
      <c r="K659" s="8"/>
      <c r="L659" s="11" t="s">
        <v>24</v>
      </c>
      <c r="M659" s="15">
        <v>40302</v>
      </c>
      <c r="N659" s="1">
        <v>2</v>
      </c>
      <c r="O659" s="11" t="s">
        <v>25</v>
      </c>
      <c r="Q659" s="11" t="s">
        <v>49</v>
      </c>
      <c r="R659" s="25" t="s">
        <v>56</v>
      </c>
      <c r="S659" s="15">
        <f t="shared" ca="1" si="23"/>
        <v>40470.53652858796</v>
      </c>
      <c r="T659" s="8">
        <f t="shared" ca="1" si="24"/>
        <v>5</v>
      </c>
      <c r="V659" s="25" t="s">
        <v>56</v>
      </c>
      <c r="W659" s="25" t="s">
        <v>2729</v>
      </c>
      <c r="X659" s="11" t="s">
        <v>42</v>
      </c>
      <c r="Y659" s="25" t="s">
        <v>2650</v>
      </c>
      <c r="Z659" s="19"/>
      <c r="AA659" s="19"/>
      <c r="AC659" s="12" t="s">
        <v>1416</v>
      </c>
      <c r="AD659" s="25"/>
      <c r="AE659" s="25"/>
      <c r="AF659" s="25"/>
      <c r="AG659" s="25"/>
      <c r="AH659" s="11" t="s">
        <v>1416</v>
      </c>
    </row>
    <row r="660" spans="1:34" s="11" customFormat="1">
      <c r="A660" s="1">
        <v>658</v>
      </c>
      <c r="B660" s="14">
        <v>40299</v>
      </c>
      <c r="C660" s="15">
        <v>40303</v>
      </c>
      <c r="D660" s="15"/>
      <c r="E660" s="8" t="s">
        <v>2105</v>
      </c>
      <c r="F660" s="8"/>
      <c r="G660" s="11" t="s">
        <v>20</v>
      </c>
      <c r="H660" s="1">
        <v>24</v>
      </c>
      <c r="I660" s="11" t="s">
        <v>2106</v>
      </c>
      <c r="J660" s="8" t="s">
        <v>2107</v>
      </c>
      <c r="K660" s="8"/>
      <c r="L660" s="11" t="s">
        <v>24</v>
      </c>
      <c r="M660" s="15">
        <v>40303</v>
      </c>
      <c r="N660" s="1">
        <v>2</v>
      </c>
      <c r="O660" s="11" t="s">
        <v>40</v>
      </c>
      <c r="P660" s="11" t="s">
        <v>109</v>
      </c>
      <c r="Q660" s="11" t="s">
        <v>477</v>
      </c>
      <c r="R660" s="11" t="s">
        <v>42</v>
      </c>
      <c r="S660" s="15">
        <f t="shared" ca="1" si="23"/>
        <v>40470.53652858796</v>
      </c>
      <c r="T660" s="8">
        <f t="shared" ca="1" si="24"/>
        <v>5</v>
      </c>
      <c r="U660" s="11" t="s">
        <v>42</v>
      </c>
      <c r="V660" s="11" t="s">
        <v>42</v>
      </c>
      <c r="W660" s="11" t="s">
        <v>42</v>
      </c>
      <c r="X660" s="11" t="s">
        <v>42</v>
      </c>
      <c r="Z660" s="19"/>
      <c r="AA660" s="19"/>
      <c r="AC660" s="12" t="s">
        <v>122</v>
      </c>
      <c r="AD660" s="25">
        <v>40303</v>
      </c>
      <c r="AE660" s="25"/>
      <c r="AF660" s="25"/>
      <c r="AG660" s="25"/>
      <c r="AH660" s="11" t="s">
        <v>122</v>
      </c>
    </row>
    <row r="661" spans="1:34" s="11" customFormat="1">
      <c r="A661" s="1">
        <v>659</v>
      </c>
      <c r="B661" s="14">
        <v>40299</v>
      </c>
      <c r="C661" s="15">
        <v>40303</v>
      </c>
      <c r="D661" s="15"/>
      <c r="E661" s="8" t="s">
        <v>2108</v>
      </c>
      <c r="F661" s="8"/>
      <c r="G661" s="11" t="s">
        <v>20</v>
      </c>
      <c r="H661" s="1">
        <v>40</v>
      </c>
      <c r="I661" s="11" t="s">
        <v>2109</v>
      </c>
      <c r="J661" s="8" t="s">
        <v>2110</v>
      </c>
      <c r="K661" s="8"/>
      <c r="L661" s="11" t="s">
        <v>24</v>
      </c>
      <c r="M661" s="15">
        <v>40303</v>
      </c>
      <c r="N661" s="1">
        <v>1</v>
      </c>
      <c r="O661" s="11" t="s">
        <v>40</v>
      </c>
      <c r="P661" s="11" t="s">
        <v>109</v>
      </c>
      <c r="Q661" s="11" t="s">
        <v>27</v>
      </c>
      <c r="R661" s="11" t="s">
        <v>42</v>
      </c>
      <c r="S661" s="15">
        <f t="shared" ca="1" si="23"/>
        <v>40470.53652858796</v>
      </c>
      <c r="T661" s="8">
        <f t="shared" ca="1" si="24"/>
        <v>5</v>
      </c>
      <c r="U661" s="11" t="s">
        <v>42</v>
      </c>
      <c r="V661" s="11" t="s">
        <v>42</v>
      </c>
      <c r="W661" s="11" t="s">
        <v>42</v>
      </c>
      <c r="X661" s="11" t="s">
        <v>42</v>
      </c>
      <c r="Y661" s="25" t="s">
        <v>2650</v>
      </c>
      <c r="Z661" s="19"/>
      <c r="AA661" s="19"/>
      <c r="AC661" s="12" t="s">
        <v>1416</v>
      </c>
      <c r="AD661" s="25"/>
      <c r="AE661" s="25"/>
      <c r="AF661" s="25"/>
      <c r="AG661" s="25"/>
      <c r="AH661" s="11" t="s">
        <v>1416</v>
      </c>
    </row>
    <row r="662" spans="1:34">
      <c r="A662" s="1">
        <v>660</v>
      </c>
      <c r="B662" s="14">
        <v>40299</v>
      </c>
      <c r="C662" s="15">
        <v>40303</v>
      </c>
      <c r="E662" s="8" t="s">
        <v>2111</v>
      </c>
      <c r="G662" s="11" t="s">
        <v>37</v>
      </c>
      <c r="H662" s="1">
        <v>34</v>
      </c>
      <c r="I662" s="11" t="s">
        <v>2112</v>
      </c>
      <c r="J662" s="8" t="s">
        <v>2113</v>
      </c>
      <c r="L662" s="11" t="s">
        <v>24</v>
      </c>
      <c r="M662" s="15">
        <v>40303</v>
      </c>
      <c r="N662" s="1">
        <v>1</v>
      </c>
      <c r="O662" s="11" t="s">
        <v>40</v>
      </c>
      <c r="P662" s="11" t="s">
        <v>72</v>
      </c>
      <c r="Q662" s="11" t="s">
        <v>27</v>
      </c>
      <c r="R662" s="25" t="s">
        <v>2731</v>
      </c>
      <c r="S662" s="15">
        <f t="shared" ca="1" si="23"/>
        <v>40470.53652858796</v>
      </c>
      <c r="T662" s="8">
        <f t="shared" ca="1" si="24"/>
        <v>5</v>
      </c>
      <c r="U662" s="11" t="s">
        <v>42</v>
      </c>
      <c r="V662" s="11" t="s">
        <v>42</v>
      </c>
      <c r="W662" s="11" t="s">
        <v>42</v>
      </c>
      <c r="X662" s="11" t="s">
        <v>42</v>
      </c>
      <c r="Y662" s="25" t="s">
        <v>2650</v>
      </c>
      <c r="AC662" s="12" t="s">
        <v>1416</v>
      </c>
      <c r="AH662" s="11" t="s">
        <v>1416</v>
      </c>
    </row>
    <row r="663" spans="1:34">
      <c r="A663" s="1">
        <v>661</v>
      </c>
      <c r="B663" s="14">
        <v>40299</v>
      </c>
      <c r="C663" s="15">
        <v>40290</v>
      </c>
      <c r="E663" s="8" t="s">
        <v>2114</v>
      </c>
      <c r="G663" s="11" t="s">
        <v>37</v>
      </c>
      <c r="H663" s="1">
        <v>35</v>
      </c>
      <c r="I663" s="11" t="s">
        <v>2115</v>
      </c>
      <c r="L663" s="11" t="s">
        <v>24</v>
      </c>
      <c r="M663" s="15">
        <v>40290</v>
      </c>
      <c r="N663" s="1">
        <v>1</v>
      </c>
      <c r="O663" s="11" t="s">
        <v>40</v>
      </c>
      <c r="P663" s="11" t="s">
        <v>72</v>
      </c>
      <c r="Q663" s="11" t="s">
        <v>27</v>
      </c>
      <c r="R663" s="25" t="s">
        <v>2729</v>
      </c>
      <c r="S663" s="15">
        <f t="shared" ca="1" si="23"/>
        <v>40470.53652858796</v>
      </c>
      <c r="T663" s="8">
        <f t="shared" ca="1" si="24"/>
        <v>6</v>
      </c>
      <c r="U663" s="11" t="s">
        <v>42</v>
      </c>
      <c r="V663" s="11" t="s">
        <v>42</v>
      </c>
      <c r="W663" s="11" t="s">
        <v>42</v>
      </c>
      <c r="X663" s="11" t="s">
        <v>42</v>
      </c>
      <c r="Y663" s="25" t="s">
        <v>2650</v>
      </c>
      <c r="AC663" s="12" t="s">
        <v>1416</v>
      </c>
      <c r="AH663" s="11" t="s">
        <v>1416</v>
      </c>
    </row>
    <row r="664" spans="1:34">
      <c r="A664" s="1">
        <v>662</v>
      </c>
      <c r="B664" s="14">
        <v>40299</v>
      </c>
      <c r="C664" s="15">
        <v>40304</v>
      </c>
      <c r="E664" s="8" t="s">
        <v>2116</v>
      </c>
      <c r="G664" s="11" t="s">
        <v>20</v>
      </c>
      <c r="H664" s="1">
        <v>25</v>
      </c>
      <c r="I664" s="11" t="s">
        <v>2117</v>
      </c>
      <c r="J664" s="8" t="s">
        <v>2118</v>
      </c>
      <c r="L664" s="11" t="s">
        <v>24</v>
      </c>
      <c r="M664" s="15">
        <v>40304</v>
      </c>
      <c r="N664" s="1">
        <v>1</v>
      </c>
      <c r="O664" s="11" t="s">
        <v>40</v>
      </c>
      <c r="P664" s="11" t="s">
        <v>26</v>
      </c>
      <c r="Q664" s="11" t="s">
        <v>27</v>
      </c>
      <c r="R664" s="25" t="s">
        <v>2729</v>
      </c>
      <c r="S664" s="15">
        <f t="shared" ca="1" si="23"/>
        <v>40470.53652858796</v>
      </c>
      <c r="T664" s="8">
        <f t="shared" ca="1" si="24"/>
        <v>5</v>
      </c>
      <c r="U664" s="11" t="s">
        <v>42</v>
      </c>
      <c r="V664" s="11" t="s">
        <v>42</v>
      </c>
      <c r="W664" s="11" t="s">
        <v>42</v>
      </c>
      <c r="X664" s="11" t="s">
        <v>42</v>
      </c>
      <c r="AC664" s="12" t="s">
        <v>122</v>
      </c>
      <c r="AD664" s="25">
        <v>40423</v>
      </c>
      <c r="AH664" s="11" t="s">
        <v>122</v>
      </c>
    </row>
    <row r="665" spans="1:34">
      <c r="A665" s="1">
        <v>663</v>
      </c>
      <c r="B665" s="14">
        <v>40299</v>
      </c>
      <c r="C665" s="15">
        <v>40304</v>
      </c>
      <c r="E665" s="8" t="s">
        <v>2119</v>
      </c>
      <c r="G665" s="11" t="s">
        <v>20</v>
      </c>
      <c r="H665" s="1">
        <v>14</v>
      </c>
      <c r="I665" s="11" t="s">
        <v>2120</v>
      </c>
      <c r="J665" s="8" t="s">
        <v>2121</v>
      </c>
      <c r="L665" s="11" t="s">
        <v>24</v>
      </c>
      <c r="M665" s="15">
        <v>40304</v>
      </c>
      <c r="N665" s="1">
        <v>1</v>
      </c>
      <c r="O665" s="11" t="s">
        <v>40</v>
      </c>
      <c r="P665" s="11" t="s">
        <v>109</v>
      </c>
      <c r="Q665" s="11" t="s">
        <v>27</v>
      </c>
      <c r="R665" s="25" t="s">
        <v>56</v>
      </c>
      <c r="S665" s="15">
        <f t="shared" ca="1" si="23"/>
        <v>40470.53652858796</v>
      </c>
      <c r="T665" s="8">
        <f t="shared" ca="1" si="24"/>
        <v>5</v>
      </c>
      <c r="U665" s="11" t="s">
        <v>42</v>
      </c>
      <c r="V665" s="11" t="s">
        <v>42</v>
      </c>
      <c r="W665" s="11" t="s">
        <v>42</v>
      </c>
      <c r="X665" s="11" t="s">
        <v>42</v>
      </c>
      <c r="AC665" s="12" t="s">
        <v>122</v>
      </c>
      <c r="AD665" s="25">
        <v>40337</v>
      </c>
      <c r="AH665" s="11" t="s">
        <v>122</v>
      </c>
    </row>
    <row r="666" spans="1:34">
      <c r="A666" s="1">
        <v>664</v>
      </c>
      <c r="B666" s="14">
        <v>40299</v>
      </c>
      <c r="C666" s="15">
        <v>40305</v>
      </c>
      <c r="E666" s="8" t="s">
        <v>2122</v>
      </c>
      <c r="G666" s="11" t="s">
        <v>20</v>
      </c>
      <c r="H666" s="1">
        <v>56</v>
      </c>
      <c r="I666" s="11" t="s">
        <v>2123</v>
      </c>
      <c r="J666" s="8" t="s">
        <v>2124</v>
      </c>
      <c r="L666" s="11" t="s">
        <v>24</v>
      </c>
      <c r="M666" s="15">
        <v>40305</v>
      </c>
      <c r="N666" s="1">
        <v>1</v>
      </c>
      <c r="O666" s="11" t="s">
        <v>25</v>
      </c>
      <c r="Q666" s="11" t="s">
        <v>27</v>
      </c>
      <c r="R666" s="25" t="s">
        <v>60</v>
      </c>
      <c r="S666" s="15">
        <f t="shared" ca="1" si="23"/>
        <v>40470.53652858796</v>
      </c>
      <c r="T666" s="8">
        <f t="shared" ca="1" si="24"/>
        <v>5</v>
      </c>
      <c r="U666" s="25" t="s">
        <v>56</v>
      </c>
      <c r="V666" s="25" t="s">
        <v>42</v>
      </c>
      <c r="W666" s="25" t="s">
        <v>56</v>
      </c>
      <c r="X666" s="25" t="s">
        <v>56</v>
      </c>
      <c r="Y666" s="25" t="s">
        <v>2650</v>
      </c>
      <c r="AC666" s="12" t="s">
        <v>1416</v>
      </c>
      <c r="AH666" s="11" t="s">
        <v>1416</v>
      </c>
    </row>
    <row r="667" spans="1:34">
      <c r="A667" s="1">
        <v>665</v>
      </c>
      <c r="B667" s="14">
        <v>40299</v>
      </c>
      <c r="C667" s="15">
        <v>40308</v>
      </c>
      <c r="E667" s="8" t="s">
        <v>2125</v>
      </c>
      <c r="G667" s="11" t="s">
        <v>37</v>
      </c>
      <c r="H667" s="1">
        <v>18</v>
      </c>
      <c r="I667" s="11" t="s">
        <v>2126</v>
      </c>
      <c r="J667" s="8" t="s">
        <v>2127</v>
      </c>
      <c r="L667" s="11" t="s">
        <v>24</v>
      </c>
      <c r="M667" s="15">
        <v>40308</v>
      </c>
      <c r="N667" s="1">
        <v>1</v>
      </c>
      <c r="O667" s="11" t="s">
        <v>40</v>
      </c>
      <c r="P667" s="11" t="s">
        <v>315</v>
      </c>
      <c r="Q667" s="11" t="s">
        <v>27</v>
      </c>
      <c r="R667" s="25" t="s">
        <v>2729</v>
      </c>
      <c r="S667" s="15">
        <f t="shared" ca="1" si="23"/>
        <v>40470.53652858796</v>
      </c>
      <c r="T667" s="8">
        <f t="shared" ca="1" si="24"/>
        <v>5</v>
      </c>
      <c r="U667" s="11" t="s">
        <v>42</v>
      </c>
      <c r="V667" s="11" t="s">
        <v>42</v>
      </c>
      <c r="W667" s="11" t="s">
        <v>42</v>
      </c>
      <c r="X667" s="11" t="s">
        <v>42</v>
      </c>
      <c r="Y667" s="25" t="s">
        <v>2650</v>
      </c>
      <c r="AC667" s="12" t="s">
        <v>1416</v>
      </c>
      <c r="AH667" s="11" t="s">
        <v>1416</v>
      </c>
    </row>
    <row r="668" spans="1:34">
      <c r="A668" s="1">
        <v>666</v>
      </c>
      <c r="B668" s="14">
        <v>40299</v>
      </c>
      <c r="C668" s="15">
        <v>40308</v>
      </c>
      <c r="E668" s="8" t="s">
        <v>2128</v>
      </c>
      <c r="G668" s="11" t="s">
        <v>20</v>
      </c>
      <c r="H668" s="1">
        <v>32</v>
      </c>
      <c r="I668" s="11" t="s">
        <v>2129</v>
      </c>
      <c r="L668" s="11" t="s">
        <v>24</v>
      </c>
      <c r="M668" s="15">
        <v>40308</v>
      </c>
      <c r="N668" s="1">
        <v>2</v>
      </c>
      <c r="O668" s="11" t="s">
        <v>25</v>
      </c>
      <c r="Q668" s="11" t="s">
        <v>49</v>
      </c>
      <c r="R668" s="11" t="s">
        <v>60</v>
      </c>
      <c r="S668" s="15">
        <f t="shared" ca="1" si="23"/>
        <v>40470.53652858796</v>
      </c>
      <c r="T668" s="8">
        <f t="shared" ca="1" si="24"/>
        <v>5</v>
      </c>
      <c r="U668" s="11" t="s">
        <v>42</v>
      </c>
      <c r="V668" s="25" t="s">
        <v>2730</v>
      </c>
      <c r="W668" s="25" t="s">
        <v>2729</v>
      </c>
      <c r="Y668" s="25" t="s">
        <v>2650</v>
      </c>
      <c r="AC668" s="12" t="s">
        <v>1416</v>
      </c>
      <c r="AH668" s="11" t="s">
        <v>1416</v>
      </c>
    </row>
    <row r="669" spans="1:34">
      <c r="A669" s="1">
        <v>667</v>
      </c>
      <c r="B669" s="14">
        <v>40299</v>
      </c>
      <c r="C669" s="15">
        <v>40309</v>
      </c>
      <c r="E669" s="8" t="s">
        <v>2130</v>
      </c>
      <c r="G669" s="11" t="s">
        <v>37</v>
      </c>
      <c r="H669" s="1">
        <v>20</v>
      </c>
      <c r="I669" s="11" t="s">
        <v>2131</v>
      </c>
      <c r="J669" s="8" t="s">
        <v>2132</v>
      </c>
      <c r="L669" s="11" t="s">
        <v>24</v>
      </c>
      <c r="M669" s="15">
        <v>40309</v>
      </c>
      <c r="N669" s="1">
        <v>2</v>
      </c>
      <c r="O669" s="25" t="s">
        <v>40</v>
      </c>
      <c r="P669" s="25" t="s">
        <v>2096</v>
      </c>
      <c r="Q669" s="11" t="s">
        <v>27</v>
      </c>
      <c r="R669" s="11" t="s">
        <v>42</v>
      </c>
      <c r="S669" s="15">
        <f t="shared" ca="1" si="23"/>
        <v>40470.53652858796</v>
      </c>
      <c r="T669" s="8">
        <f t="shared" ca="1" si="24"/>
        <v>5</v>
      </c>
      <c r="U669" s="11" t="s">
        <v>42</v>
      </c>
      <c r="V669" s="11" t="s">
        <v>42</v>
      </c>
      <c r="W669" s="11" t="s">
        <v>42</v>
      </c>
      <c r="X669" s="11" t="s">
        <v>42</v>
      </c>
      <c r="Y669" s="25" t="s">
        <v>2650</v>
      </c>
      <c r="AC669" s="12" t="s">
        <v>1416</v>
      </c>
      <c r="AH669" s="11" t="s">
        <v>1416</v>
      </c>
    </row>
    <row r="670" spans="1:34">
      <c r="A670" s="1">
        <v>668</v>
      </c>
      <c r="B670" s="14">
        <v>40299</v>
      </c>
      <c r="C670" s="15">
        <v>40309</v>
      </c>
      <c r="E670" s="8" t="s">
        <v>2133</v>
      </c>
      <c r="G670" s="11" t="s">
        <v>20</v>
      </c>
      <c r="H670" s="1">
        <v>31</v>
      </c>
      <c r="I670" s="11" t="s">
        <v>1953</v>
      </c>
      <c r="J670" s="8" t="s">
        <v>1954</v>
      </c>
      <c r="L670" s="11" t="s">
        <v>24</v>
      </c>
      <c r="M670" s="15">
        <v>40309</v>
      </c>
      <c r="N670" s="1">
        <v>1</v>
      </c>
      <c r="O670" s="11" t="s">
        <v>25</v>
      </c>
      <c r="Q670" s="11" t="s">
        <v>27</v>
      </c>
      <c r="R670" s="11" t="s">
        <v>60</v>
      </c>
      <c r="S670" s="15">
        <f t="shared" ca="1" si="23"/>
        <v>40470.53652858796</v>
      </c>
      <c r="T670" s="8">
        <f t="shared" ca="1" si="24"/>
        <v>5</v>
      </c>
      <c r="U670" s="25" t="s">
        <v>2731</v>
      </c>
      <c r="V670" s="25" t="s">
        <v>56</v>
      </c>
      <c r="Y670" s="25" t="s">
        <v>2650</v>
      </c>
      <c r="AC670" s="12" t="s">
        <v>1416</v>
      </c>
      <c r="AH670" s="11" t="s">
        <v>1416</v>
      </c>
    </row>
    <row r="671" spans="1:34">
      <c r="A671" s="1">
        <v>669</v>
      </c>
      <c r="B671" s="14">
        <v>40299</v>
      </c>
      <c r="C671" s="15">
        <v>40309</v>
      </c>
      <c r="E671" s="8" t="s">
        <v>1955</v>
      </c>
      <c r="G671" s="11" t="s">
        <v>37</v>
      </c>
      <c r="H671" s="1">
        <v>14</v>
      </c>
      <c r="I671" s="11" t="s">
        <v>1956</v>
      </c>
      <c r="J671" s="8" t="s">
        <v>1957</v>
      </c>
      <c r="L671" s="11" t="s">
        <v>24</v>
      </c>
      <c r="M671" s="15">
        <v>40309</v>
      </c>
      <c r="N671" s="1">
        <v>1</v>
      </c>
      <c r="O671" s="11" t="s">
        <v>25</v>
      </c>
      <c r="Q671" s="11" t="s">
        <v>27</v>
      </c>
      <c r="R671" s="25" t="s">
        <v>56</v>
      </c>
      <c r="S671" s="15">
        <f t="shared" ca="1" si="23"/>
        <v>40470.53652858796</v>
      </c>
      <c r="T671" s="8">
        <f t="shared" ca="1" si="24"/>
        <v>5</v>
      </c>
      <c r="U671" s="11" t="s">
        <v>42</v>
      </c>
      <c r="V671" s="25" t="s">
        <v>2729</v>
      </c>
      <c r="W671" s="11" t="s">
        <v>42</v>
      </c>
      <c r="X671" s="11" t="s">
        <v>42</v>
      </c>
      <c r="Y671" s="25" t="s">
        <v>2650</v>
      </c>
      <c r="AC671" s="12" t="s">
        <v>1416</v>
      </c>
      <c r="AH671" s="11" t="s">
        <v>1416</v>
      </c>
    </row>
    <row r="672" spans="1:34">
      <c r="A672" s="1">
        <v>670</v>
      </c>
      <c r="B672" s="14">
        <v>40299</v>
      </c>
      <c r="C672" s="15">
        <v>40309</v>
      </c>
      <c r="E672" s="8" t="s">
        <v>1958</v>
      </c>
      <c r="G672" s="11" t="s">
        <v>20</v>
      </c>
      <c r="H672" s="1">
        <v>40</v>
      </c>
      <c r="I672" s="11" t="s">
        <v>1959</v>
      </c>
      <c r="L672" s="11" t="s">
        <v>24</v>
      </c>
      <c r="M672" s="15">
        <v>40309</v>
      </c>
      <c r="N672" s="1">
        <v>1</v>
      </c>
      <c r="O672" s="11" t="s">
        <v>25</v>
      </c>
      <c r="Q672" s="11" t="s">
        <v>27</v>
      </c>
      <c r="R672" s="25" t="s">
        <v>65</v>
      </c>
      <c r="S672" s="15">
        <f t="shared" ca="1" si="23"/>
        <v>40470.53652858796</v>
      </c>
      <c r="T672" s="8">
        <f t="shared" ca="1" si="24"/>
        <v>5</v>
      </c>
      <c r="U672" s="11" t="s">
        <v>42</v>
      </c>
      <c r="V672" s="11" t="s">
        <v>42</v>
      </c>
      <c r="W672" s="11" t="s">
        <v>42</v>
      </c>
      <c r="X672" s="11" t="s">
        <v>42</v>
      </c>
      <c r="Y672" s="25" t="s">
        <v>2649</v>
      </c>
      <c r="AC672" s="12" t="s">
        <v>122</v>
      </c>
      <c r="AD672" s="25">
        <v>40309</v>
      </c>
      <c r="AH672" s="25" t="s">
        <v>122</v>
      </c>
    </row>
    <row r="673" spans="1:34">
      <c r="A673" s="1">
        <v>671</v>
      </c>
      <c r="B673" s="14">
        <v>40299</v>
      </c>
      <c r="C673" s="15">
        <v>40309</v>
      </c>
      <c r="E673" s="8" t="s">
        <v>1960</v>
      </c>
      <c r="G673" s="11" t="s">
        <v>20</v>
      </c>
      <c r="H673" s="1">
        <v>70</v>
      </c>
      <c r="I673" s="11" t="s">
        <v>1961</v>
      </c>
      <c r="J673" s="8" t="s">
        <v>1962</v>
      </c>
      <c r="L673" s="11" t="s">
        <v>24</v>
      </c>
      <c r="M673" s="15">
        <v>40309</v>
      </c>
      <c r="N673" s="1">
        <v>1</v>
      </c>
      <c r="O673" s="11" t="s">
        <v>25</v>
      </c>
      <c r="Q673" s="11" t="s">
        <v>27</v>
      </c>
      <c r="R673" s="11" t="s">
        <v>60</v>
      </c>
      <c r="S673" s="15">
        <f t="shared" ca="1" si="23"/>
        <v>40470.53652858796</v>
      </c>
      <c r="T673" s="8">
        <f t="shared" ca="1" si="24"/>
        <v>5</v>
      </c>
      <c r="U673" s="25" t="s">
        <v>65</v>
      </c>
      <c r="V673" s="25" t="s">
        <v>56</v>
      </c>
      <c r="W673" s="11" t="s">
        <v>42</v>
      </c>
      <c r="X673" s="11" t="s">
        <v>42</v>
      </c>
      <c r="Y673" s="25" t="s">
        <v>2649</v>
      </c>
      <c r="AC673" s="12" t="s">
        <v>1416</v>
      </c>
      <c r="AH673" s="11" t="s">
        <v>1416</v>
      </c>
    </row>
    <row r="674" spans="1:34">
      <c r="A674" s="1">
        <v>672</v>
      </c>
      <c r="B674" s="14">
        <v>40299</v>
      </c>
      <c r="C674" s="15">
        <v>40310</v>
      </c>
      <c r="E674" s="8" t="s">
        <v>1963</v>
      </c>
      <c r="G674" s="11" t="s">
        <v>20</v>
      </c>
      <c r="H674" s="1">
        <v>38</v>
      </c>
      <c r="I674" s="11" t="s">
        <v>1964</v>
      </c>
      <c r="L674" s="11" t="s">
        <v>24</v>
      </c>
      <c r="M674" s="15">
        <v>40310</v>
      </c>
      <c r="N674" s="1">
        <v>1</v>
      </c>
      <c r="O674" s="11" t="s">
        <v>25</v>
      </c>
      <c r="Q674" s="11" t="s">
        <v>27</v>
      </c>
      <c r="R674" s="25" t="s">
        <v>60</v>
      </c>
      <c r="S674" s="15">
        <f t="shared" ca="1" si="23"/>
        <v>40470.53652858796</v>
      </c>
      <c r="T674" s="8">
        <f t="shared" ca="1" si="24"/>
        <v>5</v>
      </c>
      <c r="U674" s="25" t="s">
        <v>60</v>
      </c>
      <c r="V674" s="25" t="s">
        <v>65</v>
      </c>
      <c r="W674" s="25" t="s">
        <v>65</v>
      </c>
      <c r="X674" s="11" t="s">
        <v>42</v>
      </c>
      <c r="Y674" s="25" t="s">
        <v>2649</v>
      </c>
      <c r="AC674" s="12" t="s">
        <v>1416</v>
      </c>
      <c r="AH674" s="11" t="s">
        <v>1416</v>
      </c>
    </row>
    <row r="675" spans="1:34">
      <c r="A675" s="1">
        <v>673</v>
      </c>
      <c r="B675" s="14">
        <v>40299</v>
      </c>
      <c r="C675" s="15">
        <v>40310</v>
      </c>
      <c r="E675" s="8" t="s">
        <v>1965</v>
      </c>
      <c r="G675" s="11" t="s">
        <v>20</v>
      </c>
      <c r="H675" s="1">
        <v>22</v>
      </c>
      <c r="I675" s="11" t="s">
        <v>1966</v>
      </c>
      <c r="J675" s="8" t="s">
        <v>1967</v>
      </c>
      <c r="L675" s="11" t="s">
        <v>24</v>
      </c>
      <c r="M675" s="15">
        <v>40310</v>
      </c>
      <c r="N675" s="1">
        <v>1</v>
      </c>
      <c r="O675" s="11" t="s">
        <v>40</v>
      </c>
      <c r="P675" s="25" t="s">
        <v>2208</v>
      </c>
      <c r="Q675" s="11" t="s">
        <v>27</v>
      </c>
      <c r="R675" s="25" t="s">
        <v>56</v>
      </c>
      <c r="S675" s="15">
        <f t="shared" ca="1" si="23"/>
        <v>40470.53652858796</v>
      </c>
      <c r="T675" s="8">
        <f t="shared" ca="1" si="24"/>
        <v>5</v>
      </c>
      <c r="U675" s="11" t="s">
        <v>42</v>
      </c>
      <c r="V675" s="11" t="s">
        <v>42</v>
      </c>
      <c r="W675" s="11" t="s">
        <v>42</v>
      </c>
      <c r="X675" s="11" t="s">
        <v>42</v>
      </c>
      <c r="Y675" s="25" t="s">
        <v>2649</v>
      </c>
      <c r="AC675" s="12" t="s">
        <v>1416</v>
      </c>
      <c r="AH675" s="11" t="s">
        <v>1416</v>
      </c>
    </row>
    <row r="676" spans="1:34">
      <c r="A676" s="1">
        <v>674</v>
      </c>
      <c r="B676" s="14">
        <v>40299</v>
      </c>
      <c r="C676" s="15">
        <v>40310</v>
      </c>
      <c r="E676" s="8" t="s">
        <v>1968</v>
      </c>
      <c r="G676" s="11" t="s">
        <v>37</v>
      </c>
      <c r="H676" s="1">
        <v>26</v>
      </c>
      <c r="I676" s="11" t="s">
        <v>1969</v>
      </c>
      <c r="J676" s="8" t="s">
        <v>1970</v>
      </c>
      <c r="L676" s="11" t="s">
        <v>24</v>
      </c>
      <c r="M676" s="15">
        <v>40310</v>
      </c>
      <c r="N676" s="1">
        <v>1</v>
      </c>
      <c r="O676" s="11" t="s">
        <v>25</v>
      </c>
      <c r="Q676" s="11" t="s">
        <v>27</v>
      </c>
      <c r="R676" s="11" t="s">
        <v>28</v>
      </c>
      <c r="S676" s="15">
        <f t="shared" ca="1" si="23"/>
        <v>40470.53652858796</v>
      </c>
      <c r="T676" s="8">
        <f t="shared" ca="1" si="24"/>
        <v>5</v>
      </c>
      <c r="U676" s="25" t="s">
        <v>28</v>
      </c>
      <c r="V676" s="25" t="s">
        <v>2731</v>
      </c>
      <c r="W676" s="25" t="s">
        <v>56</v>
      </c>
      <c r="X676" s="11" t="s">
        <v>42</v>
      </c>
      <c r="Y676" s="25" t="s">
        <v>2649</v>
      </c>
      <c r="AC676" s="12" t="s">
        <v>1416</v>
      </c>
      <c r="AH676" s="11" t="s">
        <v>1416</v>
      </c>
    </row>
    <row r="677" spans="1:34">
      <c r="A677" s="1">
        <v>675</v>
      </c>
      <c r="B677" s="14">
        <v>40299</v>
      </c>
      <c r="C677" s="15">
        <v>40311</v>
      </c>
      <c r="E677" s="8" t="s">
        <v>1971</v>
      </c>
      <c r="G677" s="11" t="s">
        <v>20</v>
      </c>
      <c r="H677" s="1">
        <v>58</v>
      </c>
      <c r="I677" s="11" t="s">
        <v>1972</v>
      </c>
      <c r="L677" s="11" t="s">
        <v>24</v>
      </c>
      <c r="M677" s="15">
        <v>40311</v>
      </c>
      <c r="N677" s="1">
        <v>1</v>
      </c>
      <c r="O677" s="11" t="s">
        <v>25</v>
      </c>
      <c r="Q677" s="11" t="s">
        <v>27</v>
      </c>
      <c r="R677" s="25" t="s">
        <v>2731</v>
      </c>
      <c r="S677" s="15">
        <f t="shared" ca="1" si="23"/>
        <v>40470.53652858796</v>
      </c>
      <c r="T677" s="8">
        <f t="shared" ca="1" si="24"/>
        <v>5</v>
      </c>
      <c r="U677" s="25" t="s">
        <v>2729</v>
      </c>
      <c r="V677" s="11" t="s">
        <v>42</v>
      </c>
      <c r="W677" s="11" t="s">
        <v>42</v>
      </c>
      <c r="X677" s="11" t="s">
        <v>42</v>
      </c>
      <c r="Y677" s="25" t="s">
        <v>2649</v>
      </c>
      <c r="AC677" s="12" t="s">
        <v>1416</v>
      </c>
      <c r="AH677" s="11" t="s">
        <v>1416</v>
      </c>
    </row>
    <row r="678" spans="1:34">
      <c r="A678" s="1">
        <v>676</v>
      </c>
      <c r="B678" s="14">
        <v>40299</v>
      </c>
      <c r="C678" s="15">
        <v>40312</v>
      </c>
      <c r="E678" s="8" t="s">
        <v>1973</v>
      </c>
      <c r="G678" s="11" t="s">
        <v>37</v>
      </c>
      <c r="H678" s="1">
        <v>14</v>
      </c>
      <c r="I678" s="11" t="s">
        <v>1974</v>
      </c>
      <c r="L678" s="11" t="s">
        <v>24</v>
      </c>
      <c r="M678" s="15">
        <v>40312</v>
      </c>
      <c r="N678" s="1">
        <v>2</v>
      </c>
      <c r="O678" s="11" t="s">
        <v>40</v>
      </c>
      <c r="P678" s="11" t="s">
        <v>72</v>
      </c>
      <c r="Q678" s="11" t="s">
        <v>49</v>
      </c>
      <c r="R678" s="25" t="s">
        <v>28</v>
      </c>
      <c r="S678" s="15">
        <f t="shared" ca="1" si="23"/>
        <v>40470.53652858796</v>
      </c>
      <c r="T678" s="8">
        <f t="shared" ca="1" si="24"/>
        <v>5</v>
      </c>
      <c r="U678" s="11" t="s">
        <v>42</v>
      </c>
      <c r="V678" s="11" t="s">
        <v>42</v>
      </c>
      <c r="W678" s="11" t="s">
        <v>42</v>
      </c>
      <c r="X678" s="11" t="s">
        <v>42</v>
      </c>
      <c r="Y678" s="25" t="s">
        <v>2650</v>
      </c>
      <c r="AC678" s="12" t="s">
        <v>1416</v>
      </c>
      <c r="AH678" s="11" t="s">
        <v>1416</v>
      </c>
    </row>
    <row r="679" spans="1:34">
      <c r="A679" s="1">
        <v>677</v>
      </c>
      <c r="B679" s="14">
        <v>40299</v>
      </c>
      <c r="C679" s="15">
        <v>40312</v>
      </c>
      <c r="E679" s="8" t="s">
        <v>1975</v>
      </c>
      <c r="G679" s="11" t="s">
        <v>20</v>
      </c>
      <c r="H679" s="1">
        <v>40</v>
      </c>
      <c r="I679" s="11" t="s">
        <v>1976</v>
      </c>
      <c r="L679" s="11" t="s">
        <v>24</v>
      </c>
      <c r="M679" s="15">
        <v>40312</v>
      </c>
      <c r="N679" s="1">
        <v>1</v>
      </c>
      <c r="O679" s="11" t="s">
        <v>40</v>
      </c>
      <c r="P679" s="11" t="s">
        <v>109</v>
      </c>
      <c r="Q679" s="11" t="s">
        <v>27</v>
      </c>
      <c r="R679" s="25" t="s">
        <v>56</v>
      </c>
      <c r="S679" s="15">
        <f t="shared" ca="1" si="23"/>
        <v>40470.53652858796</v>
      </c>
      <c r="T679" s="8">
        <f t="shared" ca="1" si="24"/>
        <v>5</v>
      </c>
      <c r="U679" s="11" t="s">
        <v>42</v>
      </c>
      <c r="V679" s="11" t="s">
        <v>42</v>
      </c>
      <c r="W679" s="11" t="s">
        <v>42</v>
      </c>
      <c r="X679" s="11" t="s">
        <v>42</v>
      </c>
      <c r="Y679" s="25" t="s">
        <v>2650</v>
      </c>
      <c r="AC679" s="12" t="s">
        <v>1416</v>
      </c>
      <c r="AH679" s="11" t="s">
        <v>1416</v>
      </c>
    </row>
    <row r="680" spans="1:34">
      <c r="A680" s="1">
        <v>678</v>
      </c>
      <c r="B680" s="14">
        <v>40299</v>
      </c>
      <c r="C680" s="15">
        <v>40312</v>
      </c>
      <c r="E680" s="8" t="s">
        <v>1977</v>
      </c>
      <c r="G680" s="11" t="s">
        <v>37</v>
      </c>
      <c r="H680" s="1">
        <v>15</v>
      </c>
      <c r="I680" s="11" t="s">
        <v>503</v>
      </c>
      <c r="L680" s="11" t="s">
        <v>24</v>
      </c>
      <c r="M680" s="15">
        <v>40312</v>
      </c>
      <c r="N680" s="1">
        <v>2</v>
      </c>
      <c r="O680" s="11" t="s">
        <v>25</v>
      </c>
      <c r="Q680" s="11" t="s">
        <v>49</v>
      </c>
      <c r="R680" s="11" t="s">
        <v>60</v>
      </c>
      <c r="S680" s="15">
        <f t="shared" ca="1" si="23"/>
        <v>40470.53652858796</v>
      </c>
      <c r="T680" s="8">
        <f t="shared" ca="1" si="24"/>
        <v>5</v>
      </c>
      <c r="U680" s="25" t="s">
        <v>56</v>
      </c>
      <c r="V680" s="25" t="s">
        <v>56</v>
      </c>
      <c r="W680" s="11" t="s">
        <v>42</v>
      </c>
      <c r="X680" s="11" t="s">
        <v>42</v>
      </c>
      <c r="Y680" s="25" t="s">
        <v>2650</v>
      </c>
      <c r="AC680" s="12" t="s">
        <v>1416</v>
      </c>
      <c r="AH680" s="11" t="s">
        <v>1416</v>
      </c>
    </row>
    <row r="681" spans="1:34">
      <c r="A681" s="1">
        <v>679</v>
      </c>
      <c r="B681" s="14">
        <v>40299</v>
      </c>
      <c r="C681" s="15">
        <v>40312</v>
      </c>
      <c r="E681" s="8" t="s">
        <v>1978</v>
      </c>
      <c r="G681" s="11" t="s">
        <v>37</v>
      </c>
      <c r="H681" s="1">
        <v>47</v>
      </c>
      <c r="I681" s="11" t="s">
        <v>1979</v>
      </c>
      <c r="L681" s="11" t="s">
        <v>24</v>
      </c>
      <c r="M681" s="15">
        <v>40312</v>
      </c>
      <c r="N681" s="1">
        <v>2</v>
      </c>
      <c r="O681" s="11" t="s">
        <v>25</v>
      </c>
      <c r="Q681" s="25" t="s">
        <v>381</v>
      </c>
      <c r="R681" s="11" t="s">
        <v>28</v>
      </c>
      <c r="S681" s="15">
        <f t="shared" ca="1" si="23"/>
        <v>40470.53652858796</v>
      </c>
      <c r="T681" s="8">
        <f t="shared" ca="1" si="24"/>
        <v>5</v>
      </c>
      <c r="U681" s="25" t="s">
        <v>2729</v>
      </c>
      <c r="V681" s="25" t="s">
        <v>56</v>
      </c>
      <c r="W681" s="11" t="s">
        <v>42</v>
      </c>
      <c r="X681" s="11" t="s">
        <v>42</v>
      </c>
      <c r="Y681" s="25" t="s">
        <v>2649</v>
      </c>
      <c r="AC681" s="12" t="s">
        <v>122</v>
      </c>
      <c r="AD681" s="25">
        <v>40315</v>
      </c>
      <c r="AH681" s="25" t="s">
        <v>122</v>
      </c>
    </row>
    <row r="682" spans="1:34">
      <c r="A682" s="1">
        <v>680</v>
      </c>
      <c r="B682" s="14">
        <v>40299</v>
      </c>
      <c r="C682" s="15">
        <v>40315</v>
      </c>
      <c r="E682" s="8" t="s">
        <v>1980</v>
      </c>
      <c r="G682" s="11" t="s">
        <v>20</v>
      </c>
      <c r="H682" s="1">
        <v>33</v>
      </c>
      <c r="I682" s="11" t="s">
        <v>1981</v>
      </c>
      <c r="L682" s="11" t="s">
        <v>24</v>
      </c>
      <c r="M682" s="15">
        <v>40315</v>
      </c>
      <c r="N682" s="1">
        <v>2</v>
      </c>
      <c r="O682" s="11" t="s">
        <v>25</v>
      </c>
      <c r="Q682" s="25" t="s">
        <v>381</v>
      </c>
      <c r="R682" s="11" t="s">
        <v>60</v>
      </c>
      <c r="S682" s="15">
        <f t="shared" ca="1" si="23"/>
        <v>40470.53652858796</v>
      </c>
      <c r="T682" s="8">
        <f t="shared" ca="1" si="24"/>
        <v>5</v>
      </c>
      <c r="U682" s="11" t="s">
        <v>42</v>
      </c>
      <c r="V682" s="11" t="s">
        <v>42</v>
      </c>
      <c r="W682" s="11" t="s">
        <v>42</v>
      </c>
      <c r="X682" s="11" t="s">
        <v>42</v>
      </c>
      <c r="Y682" s="25" t="s">
        <v>2649</v>
      </c>
      <c r="AC682" s="12" t="s">
        <v>1416</v>
      </c>
      <c r="AH682" s="11" t="s">
        <v>1416</v>
      </c>
    </row>
    <row r="683" spans="1:34">
      <c r="A683" s="1">
        <v>681</v>
      </c>
      <c r="B683" s="14">
        <v>40299</v>
      </c>
      <c r="C683" s="15">
        <v>40315</v>
      </c>
      <c r="E683" s="8" t="s">
        <v>1982</v>
      </c>
      <c r="G683" s="11" t="s">
        <v>37</v>
      </c>
      <c r="H683" s="1">
        <v>17</v>
      </c>
      <c r="I683" s="11" t="s">
        <v>1983</v>
      </c>
      <c r="J683" s="8" t="s">
        <v>1984</v>
      </c>
      <c r="L683" s="11" t="s">
        <v>24</v>
      </c>
      <c r="M683" s="15">
        <v>40315</v>
      </c>
      <c r="N683" s="1">
        <v>1</v>
      </c>
      <c r="O683" s="11" t="s">
        <v>40</v>
      </c>
      <c r="P683" s="11" t="s">
        <v>1527</v>
      </c>
      <c r="Q683" s="11" t="s">
        <v>27</v>
      </c>
      <c r="R683" s="11" t="s">
        <v>56</v>
      </c>
      <c r="S683" s="15">
        <f t="shared" ca="1" si="23"/>
        <v>40470.53652858796</v>
      </c>
      <c r="T683" s="8">
        <f t="shared" ca="1" si="24"/>
        <v>5</v>
      </c>
      <c r="U683" s="11" t="s">
        <v>42</v>
      </c>
      <c r="V683" s="11" t="s">
        <v>42</v>
      </c>
      <c r="W683" s="11" t="s">
        <v>42</v>
      </c>
      <c r="X683" s="11" t="s">
        <v>42</v>
      </c>
      <c r="Y683" s="25" t="s">
        <v>2649</v>
      </c>
      <c r="AC683" s="12" t="s">
        <v>122</v>
      </c>
      <c r="AD683" s="25">
        <v>40385</v>
      </c>
      <c r="AH683" s="25" t="s">
        <v>122</v>
      </c>
    </row>
    <row r="684" spans="1:34">
      <c r="A684" s="1">
        <v>682</v>
      </c>
      <c r="B684" s="14">
        <v>40299</v>
      </c>
      <c r="C684" s="15">
        <v>40315</v>
      </c>
      <c r="E684" s="8" t="s">
        <v>1985</v>
      </c>
      <c r="G684" s="11" t="s">
        <v>37</v>
      </c>
      <c r="H684" s="1">
        <v>30</v>
      </c>
      <c r="I684" s="11" t="s">
        <v>1986</v>
      </c>
      <c r="J684" s="8" t="s">
        <v>1987</v>
      </c>
      <c r="L684" s="11" t="s">
        <v>24</v>
      </c>
      <c r="M684" s="15">
        <v>40315</v>
      </c>
      <c r="N684" s="1">
        <v>1</v>
      </c>
      <c r="O684" s="11" t="s">
        <v>25</v>
      </c>
      <c r="Q684" s="11" t="s">
        <v>27</v>
      </c>
      <c r="R684" s="11" t="s">
        <v>60</v>
      </c>
      <c r="S684" s="15">
        <f t="shared" ca="1" si="23"/>
        <v>40470.53652858796</v>
      </c>
      <c r="T684" s="8">
        <f t="shared" ca="1" si="24"/>
        <v>5</v>
      </c>
      <c r="U684" s="25" t="s">
        <v>56</v>
      </c>
      <c r="V684" s="11" t="s">
        <v>42</v>
      </c>
      <c r="W684" s="11" t="s">
        <v>42</v>
      </c>
      <c r="X684" s="11" t="s">
        <v>42</v>
      </c>
      <c r="Y684" s="25" t="s">
        <v>2649</v>
      </c>
      <c r="AC684" s="12" t="s">
        <v>1416</v>
      </c>
      <c r="AH684" s="11" t="s">
        <v>1416</v>
      </c>
    </row>
    <row r="685" spans="1:34">
      <c r="A685" s="1">
        <v>683</v>
      </c>
      <c r="B685" s="14">
        <v>40299</v>
      </c>
      <c r="C685" s="15">
        <v>40316</v>
      </c>
      <c r="E685" s="8" t="s">
        <v>1988</v>
      </c>
      <c r="G685" s="11" t="s">
        <v>20</v>
      </c>
      <c r="H685" s="1">
        <v>14</v>
      </c>
      <c r="I685" s="11" t="s">
        <v>1989</v>
      </c>
      <c r="J685" s="8" t="s">
        <v>1990</v>
      </c>
      <c r="L685" s="11" t="s">
        <v>24</v>
      </c>
      <c r="M685" s="15">
        <v>40316</v>
      </c>
      <c r="N685" s="1">
        <v>1</v>
      </c>
      <c r="O685" s="11" t="s">
        <v>40</v>
      </c>
      <c r="P685" s="11" t="s">
        <v>431</v>
      </c>
      <c r="Q685" s="11" t="s">
        <v>27</v>
      </c>
      <c r="R685" s="25" t="s">
        <v>2729</v>
      </c>
      <c r="S685" s="15">
        <f t="shared" ca="1" si="23"/>
        <v>40470.53652858796</v>
      </c>
      <c r="T685" s="8">
        <f t="shared" ca="1" si="24"/>
        <v>5</v>
      </c>
      <c r="U685" s="11" t="s">
        <v>42</v>
      </c>
      <c r="V685" s="11" t="s">
        <v>42</v>
      </c>
      <c r="W685" s="11" t="s">
        <v>42</v>
      </c>
      <c r="X685" s="11" t="s">
        <v>42</v>
      </c>
      <c r="Y685" s="25" t="s">
        <v>2649</v>
      </c>
      <c r="AC685" s="12" t="s">
        <v>1416</v>
      </c>
      <c r="AH685" s="11" t="s">
        <v>1416</v>
      </c>
    </row>
    <row r="686" spans="1:34">
      <c r="A686" s="1">
        <v>684</v>
      </c>
      <c r="B686" s="14">
        <v>40299</v>
      </c>
      <c r="C686" s="15">
        <v>40316</v>
      </c>
      <c r="E686" s="8" t="s">
        <v>1991</v>
      </c>
      <c r="G686" s="11" t="s">
        <v>20</v>
      </c>
      <c r="H686" s="1">
        <v>14</v>
      </c>
      <c r="I686" s="11" t="s">
        <v>1992</v>
      </c>
      <c r="J686" s="8" t="s">
        <v>2214</v>
      </c>
      <c r="L686" s="11" t="s">
        <v>24</v>
      </c>
      <c r="M686" s="15">
        <v>40316</v>
      </c>
      <c r="N686" s="1">
        <v>1</v>
      </c>
      <c r="O686" s="11" t="s">
        <v>25</v>
      </c>
      <c r="Q686" s="11" t="s">
        <v>27</v>
      </c>
      <c r="R686" s="11" t="s">
        <v>56</v>
      </c>
      <c r="S686" s="15">
        <f t="shared" ca="1" si="23"/>
        <v>40470.53652858796</v>
      </c>
      <c r="T686" s="8">
        <f t="shared" ca="1" si="24"/>
        <v>5</v>
      </c>
      <c r="U686" s="25" t="s">
        <v>56</v>
      </c>
      <c r="W686" s="25" t="s">
        <v>56</v>
      </c>
      <c r="X686" s="11" t="s">
        <v>42</v>
      </c>
      <c r="Y686" s="25" t="s">
        <v>2650</v>
      </c>
      <c r="AC686" s="12" t="s">
        <v>1416</v>
      </c>
      <c r="AH686" s="11" t="s">
        <v>1416</v>
      </c>
    </row>
    <row r="687" spans="1:34">
      <c r="A687" s="1">
        <v>685</v>
      </c>
      <c r="B687" s="14">
        <v>40299</v>
      </c>
      <c r="C687" s="15">
        <v>40316</v>
      </c>
      <c r="E687" s="8" t="s">
        <v>2215</v>
      </c>
      <c r="G687" s="11" t="s">
        <v>20</v>
      </c>
      <c r="H687" s="1">
        <v>90</v>
      </c>
      <c r="I687" s="11" t="s">
        <v>2216</v>
      </c>
      <c r="J687" s="8" t="s">
        <v>2217</v>
      </c>
      <c r="L687" s="11" t="s">
        <v>24</v>
      </c>
      <c r="M687" s="15">
        <v>40316</v>
      </c>
      <c r="N687" s="1">
        <v>1</v>
      </c>
      <c r="O687" s="11" t="s">
        <v>25</v>
      </c>
      <c r="Q687" s="11" t="s">
        <v>27</v>
      </c>
      <c r="R687" s="11" t="s">
        <v>60</v>
      </c>
      <c r="S687" s="15">
        <f t="shared" ca="1" si="23"/>
        <v>40470.53652858796</v>
      </c>
      <c r="T687" s="8">
        <f t="shared" ca="1" si="24"/>
        <v>5</v>
      </c>
      <c r="U687" s="11" t="s">
        <v>42</v>
      </c>
      <c r="V687" s="11" t="s">
        <v>42</v>
      </c>
      <c r="W687" s="11" t="s">
        <v>42</v>
      </c>
      <c r="X687" s="11" t="s">
        <v>42</v>
      </c>
      <c r="AC687" s="12" t="s">
        <v>122</v>
      </c>
      <c r="AD687" s="25">
        <v>40316</v>
      </c>
      <c r="AH687" s="11" t="s">
        <v>122</v>
      </c>
    </row>
    <row r="688" spans="1:34">
      <c r="A688" s="1">
        <v>686</v>
      </c>
      <c r="B688" s="14">
        <v>40299</v>
      </c>
      <c r="C688" s="15">
        <v>40316</v>
      </c>
      <c r="E688" s="8" t="s">
        <v>2218</v>
      </c>
      <c r="G688" s="11" t="s">
        <v>37</v>
      </c>
      <c r="H688" s="1">
        <v>25</v>
      </c>
      <c r="I688" s="11" t="s">
        <v>2219</v>
      </c>
      <c r="J688" s="8" t="s">
        <v>2220</v>
      </c>
      <c r="L688" s="11" t="s">
        <v>24</v>
      </c>
      <c r="M688" s="15">
        <v>40316</v>
      </c>
      <c r="N688" s="1">
        <v>1</v>
      </c>
      <c r="O688" s="11" t="s">
        <v>40</v>
      </c>
      <c r="P688" s="11" t="s">
        <v>72</v>
      </c>
      <c r="Q688" s="11" t="s">
        <v>27</v>
      </c>
      <c r="R688" s="11" t="s">
        <v>42</v>
      </c>
      <c r="S688" s="15">
        <f t="shared" ca="1" si="23"/>
        <v>40470.53652858796</v>
      </c>
      <c r="T688" s="8">
        <f t="shared" ca="1" si="24"/>
        <v>5</v>
      </c>
      <c r="U688" s="11" t="s">
        <v>42</v>
      </c>
      <c r="V688" s="11" t="s">
        <v>42</v>
      </c>
      <c r="W688" s="11" t="s">
        <v>42</v>
      </c>
      <c r="X688" s="11" t="s">
        <v>42</v>
      </c>
      <c r="Y688" s="25" t="s">
        <v>2650</v>
      </c>
      <c r="AC688" s="12" t="s">
        <v>1416</v>
      </c>
      <c r="AH688" s="11" t="s">
        <v>1416</v>
      </c>
    </row>
    <row r="689" spans="1:34">
      <c r="A689" s="1">
        <v>687</v>
      </c>
      <c r="B689" s="14">
        <v>40299</v>
      </c>
      <c r="C689" s="15">
        <v>40316</v>
      </c>
      <c r="E689" s="8" t="s">
        <v>2221</v>
      </c>
      <c r="G689" s="11" t="s">
        <v>37</v>
      </c>
      <c r="H689" s="1">
        <v>16</v>
      </c>
      <c r="I689" s="11" t="s">
        <v>2222</v>
      </c>
      <c r="J689" s="8" t="s">
        <v>2223</v>
      </c>
      <c r="L689" s="11" t="s">
        <v>24</v>
      </c>
      <c r="M689" s="15">
        <v>40316</v>
      </c>
      <c r="N689" s="1">
        <v>2</v>
      </c>
      <c r="O689" s="11" t="s">
        <v>25</v>
      </c>
      <c r="Q689" s="11" t="s">
        <v>49</v>
      </c>
      <c r="R689" s="11" t="s">
        <v>60</v>
      </c>
      <c r="S689" s="15">
        <f t="shared" ca="1" si="23"/>
        <v>40470.53652858796</v>
      </c>
      <c r="T689" s="8">
        <f t="shared" ca="1" si="24"/>
        <v>5</v>
      </c>
      <c r="U689" s="25" t="s">
        <v>42</v>
      </c>
      <c r="V689" s="25" t="s">
        <v>2731</v>
      </c>
      <c r="W689" s="11" t="s">
        <v>42</v>
      </c>
      <c r="X689" s="11" t="s">
        <v>42</v>
      </c>
      <c r="Y689" s="25" t="s">
        <v>2650</v>
      </c>
      <c r="AC689" s="12" t="s">
        <v>1416</v>
      </c>
      <c r="AH689" s="11" t="s">
        <v>1416</v>
      </c>
    </row>
    <row r="690" spans="1:34">
      <c r="A690" s="1">
        <v>688</v>
      </c>
      <c r="B690" s="14">
        <v>40299</v>
      </c>
      <c r="C690" s="15">
        <v>40317</v>
      </c>
      <c r="E690" s="8" t="s">
        <v>2224</v>
      </c>
      <c r="G690" s="11" t="s">
        <v>20</v>
      </c>
      <c r="H690" s="1">
        <v>38</v>
      </c>
      <c r="I690" s="11" t="s">
        <v>2225</v>
      </c>
      <c r="J690" s="8" t="s">
        <v>2226</v>
      </c>
      <c r="L690" s="11" t="s">
        <v>24</v>
      </c>
      <c r="M690" s="15">
        <v>40317</v>
      </c>
      <c r="N690" s="1">
        <v>1</v>
      </c>
      <c r="O690" s="11" t="s">
        <v>25</v>
      </c>
      <c r="Q690" s="11" t="s">
        <v>27</v>
      </c>
      <c r="R690" s="11" t="s">
        <v>56</v>
      </c>
      <c r="S690" s="15">
        <f t="shared" ca="1" si="23"/>
        <v>40470.53652858796</v>
      </c>
      <c r="T690" s="8">
        <f t="shared" ca="1" si="24"/>
        <v>5</v>
      </c>
      <c r="U690" s="25" t="s">
        <v>2729</v>
      </c>
      <c r="V690" s="11" t="s">
        <v>42</v>
      </c>
      <c r="W690" s="11" t="s">
        <v>42</v>
      </c>
      <c r="X690" s="11" t="s">
        <v>42</v>
      </c>
      <c r="Y690" s="25" t="s">
        <v>2650</v>
      </c>
      <c r="AC690" s="12" t="s">
        <v>1416</v>
      </c>
      <c r="AH690" s="11" t="s">
        <v>1416</v>
      </c>
    </row>
    <row r="691" spans="1:34">
      <c r="A691" s="1">
        <v>689</v>
      </c>
      <c r="B691" s="14">
        <v>40299</v>
      </c>
      <c r="C691" s="15">
        <v>40317</v>
      </c>
      <c r="E691" s="8" t="s">
        <v>2227</v>
      </c>
      <c r="G691" s="11" t="s">
        <v>20</v>
      </c>
      <c r="H691" s="1">
        <v>28</v>
      </c>
      <c r="I691" s="11" t="s">
        <v>2228</v>
      </c>
      <c r="L691" s="11" t="s">
        <v>24</v>
      </c>
      <c r="M691" s="15">
        <v>40317</v>
      </c>
      <c r="N691" s="1">
        <v>1</v>
      </c>
      <c r="O691" s="11" t="s">
        <v>25</v>
      </c>
      <c r="Q691" s="11" t="s">
        <v>27</v>
      </c>
      <c r="R691" s="11" t="s">
        <v>60</v>
      </c>
      <c r="S691" s="15">
        <f t="shared" ca="1" si="23"/>
        <v>40470.53652858796</v>
      </c>
      <c r="T691" s="8">
        <f t="shared" ca="1" si="24"/>
        <v>5</v>
      </c>
      <c r="U691" s="25" t="s">
        <v>28</v>
      </c>
      <c r="V691" s="25" t="s">
        <v>56</v>
      </c>
      <c r="W691" s="11" t="s">
        <v>42</v>
      </c>
      <c r="X691" s="11" t="s">
        <v>42</v>
      </c>
      <c r="Y691" s="25" t="s">
        <v>2649</v>
      </c>
      <c r="AC691" s="12" t="s">
        <v>1416</v>
      </c>
      <c r="AH691" s="11" t="s">
        <v>1416</v>
      </c>
    </row>
    <row r="692" spans="1:34">
      <c r="A692" s="1">
        <v>690</v>
      </c>
      <c r="B692" s="14">
        <v>40299</v>
      </c>
      <c r="C692" s="15">
        <v>40317</v>
      </c>
      <c r="E692" s="8" t="s">
        <v>2229</v>
      </c>
      <c r="G692" s="11" t="s">
        <v>37</v>
      </c>
      <c r="H692" s="1">
        <v>60</v>
      </c>
      <c r="I692" s="11" t="s">
        <v>2044</v>
      </c>
      <c r="J692" s="8" t="s">
        <v>2045</v>
      </c>
      <c r="L692" s="11" t="s">
        <v>24</v>
      </c>
      <c r="M692" s="15">
        <v>40317</v>
      </c>
      <c r="N692" s="1">
        <v>1</v>
      </c>
      <c r="O692" s="11" t="s">
        <v>40</v>
      </c>
      <c r="P692" s="11" t="s">
        <v>72</v>
      </c>
      <c r="Q692" s="11" t="s">
        <v>27</v>
      </c>
      <c r="R692" s="25" t="s">
        <v>56</v>
      </c>
      <c r="S692" s="15">
        <f t="shared" ca="1" si="23"/>
        <v>40470.53652858796</v>
      </c>
      <c r="T692" s="8">
        <f t="shared" ca="1" si="24"/>
        <v>5</v>
      </c>
      <c r="U692" s="11" t="s">
        <v>42</v>
      </c>
      <c r="V692" s="11" t="s">
        <v>42</v>
      </c>
      <c r="W692" s="11" t="s">
        <v>42</v>
      </c>
      <c r="X692" s="11" t="s">
        <v>42</v>
      </c>
      <c r="Y692" s="25" t="s">
        <v>2650</v>
      </c>
      <c r="AC692" s="12" t="s">
        <v>1416</v>
      </c>
      <c r="AH692" s="11" t="s">
        <v>1416</v>
      </c>
    </row>
    <row r="693" spans="1:34">
      <c r="A693" s="1">
        <v>691</v>
      </c>
      <c r="B693" s="14">
        <v>40299</v>
      </c>
      <c r="C693" s="15">
        <v>40317</v>
      </c>
      <c r="E693" s="8" t="s">
        <v>2046</v>
      </c>
      <c r="G693" s="11" t="s">
        <v>20</v>
      </c>
      <c r="H693" s="1">
        <v>68</v>
      </c>
      <c r="I693" s="11" t="s">
        <v>2047</v>
      </c>
      <c r="L693" s="11" t="s">
        <v>24</v>
      </c>
      <c r="M693" s="15">
        <v>40317</v>
      </c>
      <c r="N693" s="1">
        <v>1</v>
      </c>
      <c r="O693" s="11" t="s">
        <v>25</v>
      </c>
      <c r="Q693" s="11" t="s">
        <v>27</v>
      </c>
      <c r="R693" s="11" t="s">
        <v>56</v>
      </c>
      <c r="S693" s="15">
        <f t="shared" ca="1" si="23"/>
        <v>40470.53652858796</v>
      </c>
      <c r="T693" s="8">
        <f t="shared" ca="1" si="24"/>
        <v>5</v>
      </c>
      <c r="U693" s="25" t="s">
        <v>56</v>
      </c>
      <c r="V693" s="11" t="s">
        <v>42</v>
      </c>
      <c r="W693" s="11" t="s">
        <v>42</v>
      </c>
      <c r="X693" s="11" t="s">
        <v>42</v>
      </c>
      <c r="Y693" s="25" t="s">
        <v>2650</v>
      </c>
      <c r="AC693" s="12" t="s">
        <v>1416</v>
      </c>
      <c r="AH693" s="11" t="s">
        <v>1416</v>
      </c>
    </row>
    <row r="694" spans="1:34">
      <c r="A694" s="1">
        <v>692</v>
      </c>
      <c r="B694" s="14">
        <v>40299</v>
      </c>
      <c r="C694" s="15">
        <v>40318</v>
      </c>
      <c r="E694" s="8" t="s">
        <v>2048</v>
      </c>
      <c r="G694" s="11" t="s">
        <v>37</v>
      </c>
      <c r="H694" s="1">
        <v>37</v>
      </c>
      <c r="I694" s="11" t="s">
        <v>2049</v>
      </c>
      <c r="L694" s="11" t="s">
        <v>24</v>
      </c>
      <c r="M694" s="15">
        <v>40318</v>
      </c>
      <c r="N694" s="1">
        <v>1</v>
      </c>
      <c r="O694" s="11" t="s">
        <v>25</v>
      </c>
      <c r="Q694" s="11" t="s">
        <v>27</v>
      </c>
      <c r="R694" s="11" t="s">
        <v>56</v>
      </c>
      <c r="S694" s="15">
        <f t="shared" ca="1" si="23"/>
        <v>40470.53652858796</v>
      </c>
      <c r="T694" s="8">
        <f t="shared" ca="1" si="24"/>
        <v>5</v>
      </c>
      <c r="U694" s="11" t="s">
        <v>42</v>
      </c>
      <c r="V694" s="11" t="s">
        <v>42</v>
      </c>
      <c r="W694" s="11" t="s">
        <v>42</v>
      </c>
      <c r="X694" s="11" t="s">
        <v>42</v>
      </c>
      <c r="Y694" s="25" t="s">
        <v>2650</v>
      </c>
      <c r="AC694" s="12" t="s">
        <v>1416</v>
      </c>
      <c r="AH694" s="11" t="s">
        <v>1416</v>
      </c>
    </row>
    <row r="695" spans="1:34">
      <c r="A695" s="1">
        <v>693</v>
      </c>
      <c r="B695" s="14">
        <v>40299</v>
      </c>
      <c r="C695" s="15">
        <v>40318</v>
      </c>
      <c r="E695" s="8" t="s">
        <v>2050</v>
      </c>
      <c r="G695" s="11" t="s">
        <v>20</v>
      </c>
      <c r="H695" s="1">
        <v>25</v>
      </c>
      <c r="I695" s="11" t="s">
        <v>2051</v>
      </c>
      <c r="J695" s="8" t="s">
        <v>2052</v>
      </c>
      <c r="L695" s="11" t="s">
        <v>24</v>
      </c>
      <c r="M695" s="15">
        <v>40318</v>
      </c>
      <c r="N695" s="1">
        <v>1</v>
      </c>
      <c r="O695" s="11" t="s">
        <v>40</v>
      </c>
      <c r="P695" s="11" t="s">
        <v>109</v>
      </c>
      <c r="Q695" s="11" t="s">
        <v>27</v>
      </c>
      <c r="R695" s="25" t="s">
        <v>2729</v>
      </c>
      <c r="S695" s="15">
        <f t="shared" ca="1" si="23"/>
        <v>40470.53652858796</v>
      </c>
      <c r="T695" s="8">
        <f t="shared" ca="1" si="24"/>
        <v>5</v>
      </c>
      <c r="U695" s="11" t="s">
        <v>42</v>
      </c>
      <c r="V695" s="11" t="s">
        <v>42</v>
      </c>
      <c r="W695" s="11" t="s">
        <v>42</v>
      </c>
      <c r="X695" s="11" t="s">
        <v>42</v>
      </c>
      <c r="Y695" s="25" t="s">
        <v>2650</v>
      </c>
      <c r="AC695" s="12" t="s">
        <v>1416</v>
      </c>
      <c r="AH695" s="11" t="s">
        <v>1416</v>
      </c>
    </row>
    <row r="696" spans="1:34">
      <c r="A696" s="1">
        <v>694</v>
      </c>
      <c r="B696" s="14">
        <v>40299</v>
      </c>
      <c r="C696" s="15">
        <v>40322</v>
      </c>
      <c r="E696" s="8" t="s">
        <v>2053</v>
      </c>
      <c r="G696" s="11" t="s">
        <v>37</v>
      </c>
      <c r="H696" s="1">
        <v>18</v>
      </c>
      <c r="I696" s="11" t="s">
        <v>2054</v>
      </c>
      <c r="J696" s="8" t="s">
        <v>2055</v>
      </c>
      <c r="L696" s="11" t="s">
        <v>24</v>
      </c>
      <c r="M696" s="15">
        <v>40322</v>
      </c>
      <c r="N696" s="1">
        <v>1</v>
      </c>
      <c r="O696" s="11" t="s">
        <v>40</v>
      </c>
      <c r="P696" s="11" t="s">
        <v>109</v>
      </c>
      <c r="Q696" s="11" t="s">
        <v>27</v>
      </c>
      <c r="R696" s="11" t="s">
        <v>42</v>
      </c>
      <c r="S696" s="15">
        <f t="shared" ca="1" si="23"/>
        <v>40470.53652858796</v>
      </c>
      <c r="T696" s="8">
        <f t="shared" ca="1" si="24"/>
        <v>5</v>
      </c>
      <c r="U696" s="11" t="s">
        <v>42</v>
      </c>
      <c r="V696" s="11" t="s">
        <v>42</v>
      </c>
      <c r="W696" s="11" t="s">
        <v>42</v>
      </c>
      <c r="X696" s="11" t="s">
        <v>42</v>
      </c>
      <c r="Y696" s="25" t="s">
        <v>2650</v>
      </c>
      <c r="AC696" s="12" t="s">
        <v>1416</v>
      </c>
      <c r="AH696" s="11" t="s">
        <v>1416</v>
      </c>
    </row>
    <row r="697" spans="1:34">
      <c r="A697" s="1">
        <v>695</v>
      </c>
      <c r="B697" s="14">
        <v>40299</v>
      </c>
      <c r="C697" s="15">
        <v>40323</v>
      </c>
      <c r="E697" s="8" t="s">
        <v>2056</v>
      </c>
      <c r="G697" s="11" t="s">
        <v>37</v>
      </c>
      <c r="H697" s="1">
        <v>13</v>
      </c>
      <c r="I697" s="11" t="s">
        <v>2057</v>
      </c>
      <c r="J697" s="8" t="s">
        <v>2058</v>
      </c>
      <c r="L697" s="11" t="s">
        <v>24</v>
      </c>
      <c r="M697" s="15">
        <v>40323</v>
      </c>
      <c r="N697" s="1">
        <v>1</v>
      </c>
      <c r="O697" s="11" t="s">
        <v>40</v>
      </c>
      <c r="P697" s="11" t="s">
        <v>2059</v>
      </c>
      <c r="Q697" s="11" t="s">
        <v>27</v>
      </c>
      <c r="R697" s="11" t="s">
        <v>42</v>
      </c>
      <c r="S697" s="15">
        <f t="shared" ca="1" si="23"/>
        <v>40470.53652858796</v>
      </c>
      <c r="T697" s="8">
        <f t="shared" ca="1" si="24"/>
        <v>5</v>
      </c>
      <c r="U697" s="11" t="s">
        <v>42</v>
      </c>
      <c r="V697" s="11" t="s">
        <v>42</v>
      </c>
      <c r="W697" s="11" t="s">
        <v>42</v>
      </c>
      <c r="X697" s="11" t="s">
        <v>42</v>
      </c>
      <c r="Y697" s="25" t="s">
        <v>2650</v>
      </c>
      <c r="AC697" s="12" t="s">
        <v>1416</v>
      </c>
      <c r="AH697" s="11" t="s">
        <v>1416</v>
      </c>
    </row>
    <row r="698" spans="1:34">
      <c r="A698" s="1">
        <v>696</v>
      </c>
      <c r="B698" s="14">
        <v>40299</v>
      </c>
      <c r="C698" s="15">
        <v>40323</v>
      </c>
      <c r="E698" s="8" t="s">
        <v>2060</v>
      </c>
      <c r="G698" s="11" t="s">
        <v>37</v>
      </c>
      <c r="H698" s="1">
        <v>64</v>
      </c>
      <c r="I698" s="11" t="s">
        <v>2001</v>
      </c>
      <c r="J698" s="8" t="s">
        <v>2061</v>
      </c>
      <c r="L698" s="11" t="s">
        <v>24</v>
      </c>
      <c r="M698" s="15">
        <v>40323</v>
      </c>
      <c r="N698" s="1">
        <v>1</v>
      </c>
      <c r="O698" s="11" t="s">
        <v>40</v>
      </c>
      <c r="P698" s="11" t="s">
        <v>1873</v>
      </c>
      <c r="Q698" s="11" t="s">
        <v>27</v>
      </c>
      <c r="R698" s="25" t="s">
        <v>2729</v>
      </c>
      <c r="S698" s="15">
        <f t="shared" ca="1" si="23"/>
        <v>40470.53652858796</v>
      </c>
      <c r="T698" s="8">
        <f t="shared" ca="1" si="24"/>
        <v>5</v>
      </c>
      <c r="U698" s="11" t="s">
        <v>42</v>
      </c>
      <c r="V698" s="11" t="s">
        <v>42</v>
      </c>
      <c r="W698" s="11" t="s">
        <v>42</v>
      </c>
      <c r="X698" s="11" t="s">
        <v>42</v>
      </c>
      <c r="Y698" s="25" t="s">
        <v>2649</v>
      </c>
      <c r="AC698" s="12" t="s">
        <v>1416</v>
      </c>
      <c r="AH698" s="11" t="s">
        <v>1416</v>
      </c>
    </row>
    <row r="699" spans="1:34">
      <c r="A699" s="1">
        <v>697</v>
      </c>
      <c r="B699" s="14">
        <v>40299</v>
      </c>
      <c r="C699" s="15">
        <v>40323</v>
      </c>
      <c r="E699" s="8" t="s">
        <v>2062</v>
      </c>
      <c r="G699" s="11" t="s">
        <v>20</v>
      </c>
      <c r="H699" s="1">
        <v>63</v>
      </c>
      <c r="I699" s="11" t="s">
        <v>2063</v>
      </c>
      <c r="L699" s="11" t="s">
        <v>24</v>
      </c>
      <c r="M699" s="15">
        <v>40323</v>
      </c>
      <c r="N699" s="1">
        <v>1</v>
      </c>
      <c r="O699" s="11" t="s">
        <v>25</v>
      </c>
      <c r="Q699" s="11" t="s">
        <v>110</v>
      </c>
      <c r="R699" s="11" t="s">
        <v>65</v>
      </c>
      <c r="S699" s="15">
        <f t="shared" ca="1" si="23"/>
        <v>40470.53652858796</v>
      </c>
      <c r="T699" s="8">
        <f t="shared" ca="1" si="24"/>
        <v>5</v>
      </c>
      <c r="U699" s="25" t="s">
        <v>2729</v>
      </c>
      <c r="V699" s="11" t="s">
        <v>42</v>
      </c>
      <c r="W699" s="11" t="s">
        <v>42</v>
      </c>
      <c r="X699" s="11" t="s">
        <v>42</v>
      </c>
      <c r="Y699" s="25" t="s">
        <v>2649</v>
      </c>
      <c r="AC699" s="12" t="s">
        <v>1416</v>
      </c>
      <c r="AH699" s="11" t="s">
        <v>1416</v>
      </c>
    </row>
    <row r="700" spans="1:34">
      <c r="A700" s="1">
        <v>698</v>
      </c>
      <c r="B700" s="14">
        <v>40299</v>
      </c>
      <c r="C700" s="15">
        <v>40323</v>
      </c>
      <c r="E700" s="8" t="s">
        <v>2064</v>
      </c>
      <c r="G700" s="11" t="s">
        <v>37</v>
      </c>
      <c r="H700" s="1">
        <v>52</v>
      </c>
      <c r="I700" s="11" t="s">
        <v>2065</v>
      </c>
      <c r="L700" s="11" t="s">
        <v>24</v>
      </c>
      <c r="M700" s="15">
        <v>40323</v>
      </c>
      <c r="N700" s="1">
        <v>1</v>
      </c>
      <c r="O700" s="11" t="s">
        <v>25</v>
      </c>
      <c r="Q700" s="11" t="s">
        <v>27</v>
      </c>
      <c r="R700" s="11" t="s">
        <v>56</v>
      </c>
      <c r="S700" s="15">
        <f t="shared" ca="1" si="23"/>
        <v>40470.53652858796</v>
      </c>
      <c r="T700" s="8">
        <f t="shared" ca="1" si="24"/>
        <v>5</v>
      </c>
      <c r="U700" s="25" t="s">
        <v>56</v>
      </c>
      <c r="V700" s="11" t="s">
        <v>42</v>
      </c>
      <c r="W700" s="11" t="s">
        <v>42</v>
      </c>
      <c r="X700" s="11" t="s">
        <v>42</v>
      </c>
      <c r="Y700" s="25" t="s">
        <v>2650</v>
      </c>
      <c r="AC700" s="12" t="s">
        <v>1416</v>
      </c>
      <c r="AH700" s="11" t="s">
        <v>1416</v>
      </c>
    </row>
    <row r="701" spans="1:34">
      <c r="A701" s="1">
        <v>699</v>
      </c>
      <c r="B701" s="14">
        <v>40299</v>
      </c>
      <c r="C701" s="15">
        <v>40323</v>
      </c>
      <c r="E701" s="8" t="s">
        <v>2066</v>
      </c>
      <c r="G701" s="11" t="s">
        <v>20</v>
      </c>
      <c r="H701" s="1">
        <v>26</v>
      </c>
      <c r="I701" s="11" t="s">
        <v>2067</v>
      </c>
      <c r="L701" s="11" t="s">
        <v>24</v>
      </c>
      <c r="M701" s="15">
        <v>40323</v>
      </c>
      <c r="N701" s="1">
        <v>1</v>
      </c>
      <c r="O701" s="11" t="s">
        <v>40</v>
      </c>
      <c r="P701" s="11" t="s">
        <v>72</v>
      </c>
      <c r="Q701" s="11" t="s">
        <v>27</v>
      </c>
      <c r="R701" s="11" t="s">
        <v>42</v>
      </c>
      <c r="S701" s="15">
        <f t="shared" ca="1" si="23"/>
        <v>40470.53652858796</v>
      </c>
      <c r="T701" s="8">
        <f t="shared" ca="1" si="24"/>
        <v>5</v>
      </c>
      <c r="U701" s="11" t="s">
        <v>42</v>
      </c>
      <c r="V701" s="11" t="s">
        <v>42</v>
      </c>
      <c r="W701" s="11" t="s">
        <v>42</v>
      </c>
      <c r="X701" s="11" t="s">
        <v>42</v>
      </c>
      <c r="AC701" s="12" t="s">
        <v>35</v>
      </c>
      <c r="AD701" s="25">
        <v>40358</v>
      </c>
      <c r="AH701" s="11" t="s">
        <v>35</v>
      </c>
    </row>
    <row r="702" spans="1:34">
      <c r="A702" s="1">
        <v>700</v>
      </c>
      <c r="B702" s="14">
        <v>40299</v>
      </c>
      <c r="C702" s="15">
        <v>40323</v>
      </c>
      <c r="E702" s="8" t="s">
        <v>2068</v>
      </c>
      <c r="G702" s="11" t="s">
        <v>37</v>
      </c>
      <c r="H702" s="1">
        <v>20</v>
      </c>
      <c r="I702" s="11" t="s">
        <v>2069</v>
      </c>
      <c r="J702" s="8" t="s">
        <v>2070</v>
      </c>
      <c r="L702" s="11" t="s">
        <v>24</v>
      </c>
      <c r="M702" s="15">
        <v>40323</v>
      </c>
      <c r="N702" s="1">
        <v>2</v>
      </c>
      <c r="O702" s="11" t="s">
        <v>25</v>
      </c>
      <c r="Q702" s="11" t="s">
        <v>381</v>
      </c>
      <c r="R702" s="11" t="s">
        <v>60</v>
      </c>
      <c r="S702" s="15">
        <f t="shared" ca="1" si="23"/>
        <v>40470.53652858796</v>
      </c>
      <c r="T702" s="8">
        <f t="shared" ca="1" si="24"/>
        <v>5</v>
      </c>
      <c r="U702" s="11" t="s">
        <v>42</v>
      </c>
      <c r="V702" s="11" t="s">
        <v>42</v>
      </c>
      <c r="W702" s="11" t="s">
        <v>42</v>
      </c>
      <c r="X702" s="11" t="s">
        <v>42</v>
      </c>
      <c r="Y702" s="25" t="s">
        <v>2649</v>
      </c>
      <c r="AC702" s="12" t="s">
        <v>1416</v>
      </c>
      <c r="AH702" s="11" t="s">
        <v>1416</v>
      </c>
    </row>
    <row r="703" spans="1:34">
      <c r="A703" s="1">
        <v>701</v>
      </c>
      <c r="B703" s="14">
        <v>40299</v>
      </c>
      <c r="C703" s="15">
        <v>40323</v>
      </c>
      <c r="E703" s="8" t="s">
        <v>2071</v>
      </c>
      <c r="G703" s="11" t="s">
        <v>20</v>
      </c>
      <c r="H703" s="1">
        <v>38</v>
      </c>
      <c r="I703" s="11" t="s">
        <v>2072</v>
      </c>
      <c r="J703" s="8" t="s">
        <v>2073</v>
      </c>
      <c r="L703" s="11" t="s">
        <v>24</v>
      </c>
      <c r="M703" s="15">
        <v>40323</v>
      </c>
      <c r="N703" s="1">
        <v>1</v>
      </c>
      <c r="O703" s="11" t="s">
        <v>25</v>
      </c>
      <c r="Q703" s="11" t="s">
        <v>27</v>
      </c>
      <c r="R703" s="11" t="s">
        <v>56</v>
      </c>
      <c r="S703" s="15">
        <f t="shared" ca="1" si="23"/>
        <v>40470.53652858796</v>
      </c>
      <c r="T703" s="8">
        <f t="shared" ca="1" si="24"/>
        <v>5</v>
      </c>
      <c r="U703" s="25" t="s">
        <v>56</v>
      </c>
      <c r="V703" s="11" t="s">
        <v>42</v>
      </c>
      <c r="W703" s="11" t="s">
        <v>42</v>
      </c>
      <c r="X703" s="11" t="s">
        <v>42</v>
      </c>
      <c r="Y703" s="25" t="s">
        <v>2650</v>
      </c>
      <c r="AC703" s="12" t="s">
        <v>1416</v>
      </c>
      <c r="AH703" s="11" t="s">
        <v>1416</v>
      </c>
    </row>
    <row r="704" spans="1:34">
      <c r="A704" s="1">
        <v>702</v>
      </c>
      <c r="B704" s="14">
        <v>40299</v>
      </c>
      <c r="C704" s="15">
        <v>40323</v>
      </c>
      <c r="E704" s="8" t="s">
        <v>2074</v>
      </c>
      <c r="G704" s="11" t="s">
        <v>37</v>
      </c>
      <c r="H704" s="1">
        <v>31</v>
      </c>
      <c r="I704" s="11" t="s">
        <v>2075</v>
      </c>
      <c r="L704" s="11" t="s">
        <v>24</v>
      </c>
      <c r="M704" s="15">
        <v>40323</v>
      </c>
      <c r="N704" s="1">
        <v>1</v>
      </c>
      <c r="O704" s="11" t="s">
        <v>25</v>
      </c>
      <c r="Q704" s="11" t="s">
        <v>27</v>
      </c>
      <c r="R704" s="11" t="s">
        <v>56</v>
      </c>
      <c r="S704" s="15">
        <f t="shared" ca="1" si="23"/>
        <v>40470.53652858796</v>
      </c>
      <c r="T704" s="8">
        <f t="shared" ca="1" si="24"/>
        <v>5</v>
      </c>
      <c r="U704" s="25" t="s">
        <v>56</v>
      </c>
      <c r="V704" s="11" t="s">
        <v>42</v>
      </c>
      <c r="W704" s="11" t="s">
        <v>42</v>
      </c>
      <c r="X704" s="11" t="s">
        <v>42</v>
      </c>
      <c r="Y704" s="25" t="s">
        <v>2650</v>
      </c>
      <c r="AC704" s="12" t="s">
        <v>1416</v>
      </c>
      <c r="AH704" s="11" t="s">
        <v>1416</v>
      </c>
    </row>
    <row r="705" spans="1:34">
      <c r="A705" s="1">
        <v>703</v>
      </c>
      <c r="B705" s="14">
        <v>40299</v>
      </c>
      <c r="C705" s="15">
        <v>40323</v>
      </c>
      <c r="E705" s="8" t="s">
        <v>2076</v>
      </c>
      <c r="G705" s="11" t="s">
        <v>37</v>
      </c>
      <c r="H705" s="1">
        <v>17</v>
      </c>
      <c r="I705" s="11" t="s">
        <v>2077</v>
      </c>
      <c r="J705" s="8" t="s">
        <v>2078</v>
      </c>
      <c r="L705" s="11" t="s">
        <v>24</v>
      </c>
      <c r="M705" s="15">
        <v>40323</v>
      </c>
      <c r="N705" s="1">
        <v>1</v>
      </c>
      <c r="O705" s="11" t="s">
        <v>25</v>
      </c>
      <c r="Q705" s="11" t="s">
        <v>27</v>
      </c>
      <c r="R705" s="25" t="s">
        <v>56</v>
      </c>
      <c r="S705" s="15">
        <f t="shared" ca="1" si="23"/>
        <v>40470.53652858796</v>
      </c>
      <c r="T705" s="8">
        <f t="shared" ca="1" si="24"/>
        <v>5</v>
      </c>
      <c r="U705" s="11" t="s">
        <v>42</v>
      </c>
      <c r="V705" s="11" t="s">
        <v>42</v>
      </c>
      <c r="W705" s="11" t="s">
        <v>42</v>
      </c>
      <c r="X705" s="11" t="s">
        <v>42</v>
      </c>
      <c r="Y705" s="25" t="s">
        <v>2649</v>
      </c>
      <c r="AC705" s="12" t="s">
        <v>1416</v>
      </c>
      <c r="AH705" s="11" t="s">
        <v>1416</v>
      </c>
    </row>
    <row r="706" spans="1:34">
      <c r="A706" s="1">
        <v>704</v>
      </c>
      <c r="B706" s="14">
        <v>40299</v>
      </c>
      <c r="C706" s="15">
        <v>40324</v>
      </c>
      <c r="E706" s="8" t="s">
        <v>2079</v>
      </c>
      <c r="G706" s="11" t="s">
        <v>37</v>
      </c>
      <c r="H706" s="1">
        <v>15</v>
      </c>
      <c r="I706" s="11" t="s">
        <v>2080</v>
      </c>
      <c r="L706" s="11" t="s">
        <v>24</v>
      </c>
      <c r="M706" s="15">
        <v>40324</v>
      </c>
      <c r="N706" s="1">
        <v>1</v>
      </c>
      <c r="O706" s="11" t="s">
        <v>25</v>
      </c>
      <c r="Q706" s="11" t="s">
        <v>27</v>
      </c>
      <c r="R706" s="25" t="s">
        <v>60</v>
      </c>
      <c r="S706" s="15">
        <f t="shared" ref="S706:S769" ca="1" si="25">NOW()</f>
        <v>40470.53652858796</v>
      </c>
      <c r="T706" s="8">
        <f t="shared" ca="1" si="24"/>
        <v>5</v>
      </c>
      <c r="U706" s="25" t="s">
        <v>56</v>
      </c>
      <c r="V706" s="11" t="s">
        <v>42</v>
      </c>
      <c r="W706" s="11" t="s">
        <v>42</v>
      </c>
      <c r="X706" s="11" t="s">
        <v>42</v>
      </c>
      <c r="Y706" s="25" t="s">
        <v>2650</v>
      </c>
      <c r="AC706" s="12" t="s">
        <v>1416</v>
      </c>
      <c r="AH706" s="11" t="s">
        <v>1416</v>
      </c>
    </row>
    <row r="707" spans="1:34">
      <c r="A707" s="1">
        <v>705</v>
      </c>
      <c r="B707" s="14">
        <v>40299</v>
      </c>
      <c r="C707" s="15">
        <v>40324</v>
      </c>
      <c r="E707" s="8" t="s">
        <v>2081</v>
      </c>
      <c r="G707" s="11" t="s">
        <v>20</v>
      </c>
      <c r="H707" s="1">
        <v>15</v>
      </c>
      <c r="I707" s="11" t="s">
        <v>2082</v>
      </c>
      <c r="J707" s="8" t="s">
        <v>2083</v>
      </c>
      <c r="L707" s="11" t="s">
        <v>24</v>
      </c>
      <c r="M707" s="15">
        <v>40324</v>
      </c>
      <c r="N707" s="1">
        <v>1</v>
      </c>
      <c r="O707" s="11" t="s">
        <v>40</v>
      </c>
      <c r="P707" s="11" t="s">
        <v>1527</v>
      </c>
      <c r="Q707" s="11" t="s">
        <v>27</v>
      </c>
      <c r="R707" s="11" t="s">
        <v>42</v>
      </c>
      <c r="S707" s="15">
        <f t="shared" ca="1" si="25"/>
        <v>40470.53652858796</v>
      </c>
      <c r="T707" s="8">
        <f t="shared" ca="1" si="24"/>
        <v>5</v>
      </c>
      <c r="U707" s="11" t="s">
        <v>42</v>
      </c>
      <c r="V707" s="11" t="s">
        <v>42</v>
      </c>
      <c r="W707" s="11" t="s">
        <v>42</v>
      </c>
      <c r="X707" s="11" t="s">
        <v>42</v>
      </c>
      <c r="Y707" s="25" t="s">
        <v>2650</v>
      </c>
      <c r="AC707" s="12" t="s">
        <v>1416</v>
      </c>
      <c r="AH707" s="11" t="s">
        <v>1416</v>
      </c>
    </row>
    <row r="708" spans="1:34" s="50" customFormat="1">
      <c r="A708" s="43">
        <v>706</v>
      </c>
      <c r="B708" s="44">
        <v>40299</v>
      </c>
      <c r="C708" s="45">
        <v>40324</v>
      </c>
      <c r="D708" s="45"/>
      <c r="E708" s="46" t="s">
        <v>2084</v>
      </c>
      <c r="F708" s="46"/>
      <c r="G708" s="47" t="s">
        <v>37</v>
      </c>
      <c r="H708" s="43">
        <v>36</v>
      </c>
      <c r="I708" s="34" t="s">
        <v>2085</v>
      </c>
      <c r="J708" s="46"/>
      <c r="K708" s="46"/>
      <c r="L708" s="47" t="s">
        <v>24</v>
      </c>
      <c r="M708" s="45">
        <v>40324</v>
      </c>
      <c r="N708" s="43">
        <v>1</v>
      </c>
      <c r="O708" s="47" t="s">
        <v>40</v>
      </c>
      <c r="P708" s="11" t="s">
        <v>2086</v>
      </c>
      <c r="Q708" s="47" t="s">
        <v>27</v>
      </c>
      <c r="R708" s="47" t="s">
        <v>56</v>
      </c>
      <c r="S708" s="45">
        <f t="shared" ca="1" si="25"/>
        <v>40470.53652858796</v>
      </c>
      <c r="T708" s="46">
        <f t="shared" ca="1" si="24"/>
        <v>5</v>
      </c>
      <c r="U708" s="47" t="s">
        <v>42</v>
      </c>
      <c r="V708" s="47" t="s">
        <v>42</v>
      </c>
      <c r="W708" s="47" t="s">
        <v>42</v>
      </c>
      <c r="X708" s="47" t="s">
        <v>42</v>
      </c>
      <c r="Y708" s="47" t="s">
        <v>2650</v>
      </c>
      <c r="Z708" s="48"/>
      <c r="AA708" s="48"/>
      <c r="AB708" s="47"/>
      <c r="AC708" s="49" t="s">
        <v>1416</v>
      </c>
      <c r="AD708" s="47"/>
      <c r="AE708" s="47"/>
      <c r="AF708" s="47"/>
      <c r="AG708" s="47"/>
      <c r="AH708" s="47" t="s">
        <v>1416</v>
      </c>
    </row>
    <row r="709" spans="1:34">
      <c r="A709" s="1">
        <v>707</v>
      </c>
      <c r="B709" s="14">
        <v>40299</v>
      </c>
      <c r="C709" s="15">
        <v>40325</v>
      </c>
      <c r="E709" s="8" t="s">
        <v>2087</v>
      </c>
      <c r="G709" s="11" t="s">
        <v>20</v>
      </c>
      <c r="H709" s="1">
        <v>14</v>
      </c>
      <c r="I709" s="11" t="s">
        <v>2088</v>
      </c>
      <c r="L709" s="11" t="s">
        <v>24</v>
      </c>
      <c r="M709" s="15">
        <v>40325</v>
      </c>
      <c r="N709" s="1">
        <v>1</v>
      </c>
      <c r="O709" s="11" t="s">
        <v>25</v>
      </c>
      <c r="Q709" s="11" t="s">
        <v>27</v>
      </c>
      <c r="R709" s="25" t="s">
        <v>60</v>
      </c>
      <c r="S709" s="15">
        <f t="shared" ca="1" si="25"/>
        <v>40470.53652858796</v>
      </c>
      <c r="T709" s="8">
        <f t="shared" ca="1" si="24"/>
        <v>5</v>
      </c>
      <c r="U709" s="25" t="s">
        <v>56</v>
      </c>
      <c r="V709" s="25" t="s">
        <v>56</v>
      </c>
      <c r="W709" s="11" t="s">
        <v>42</v>
      </c>
      <c r="X709" s="11" t="s">
        <v>42</v>
      </c>
      <c r="Y709" s="25" t="s">
        <v>2650</v>
      </c>
      <c r="AC709" s="12" t="s">
        <v>1416</v>
      </c>
      <c r="AH709" s="11" t="s">
        <v>1416</v>
      </c>
    </row>
    <row r="710" spans="1:34">
      <c r="A710" s="1">
        <v>708</v>
      </c>
      <c r="B710" s="14">
        <v>40299</v>
      </c>
      <c r="C710" s="15">
        <v>40325</v>
      </c>
      <c r="E710" s="8" t="s">
        <v>2089</v>
      </c>
      <c r="G710" s="11" t="s">
        <v>37</v>
      </c>
      <c r="H710" s="1">
        <v>24</v>
      </c>
      <c r="I710" s="11" t="s">
        <v>2090</v>
      </c>
      <c r="J710" s="8" t="s">
        <v>2091</v>
      </c>
      <c r="L710" s="11" t="s">
        <v>24</v>
      </c>
      <c r="M710" s="15">
        <v>40325</v>
      </c>
      <c r="N710" s="1">
        <v>2</v>
      </c>
      <c r="O710" s="11" t="s">
        <v>25</v>
      </c>
      <c r="Q710" s="11" t="s">
        <v>49</v>
      </c>
      <c r="R710" s="25" t="s">
        <v>56</v>
      </c>
      <c r="S710" s="15">
        <f t="shared" ca="1" si="25"/>
        <v>40470.53652858796</v>
      </c>
      <c r="T710" s="8">
        <f t="shared" ca="1" si="24"/>
        <v>5</v>
      </c>
      <c r="U710" s="11" t="s">
        <v>42</v>
      </c>
      <c r="V710" s="25" t="s">
        <v>56</v>
      </c>
      <c r="W710" s="25" t="s">
        <v>56</v>
      </c>
      <c r="X710" s="11" t="s">
        <v>42</v>
      </c>
      <c r="Y710" s="25" t="s">
        <v>2650</v>
      </c>
      <c r="AC710" s="12" t="s">
        <v>1416</v>
      </c>
      <c r="AH710" s="11" t="s">
        <v>1416</v>
      </c>
    </row>
    <row r="711" spans="1:34">
      <c r="A711" s="1">
        <v>709</v>
      </c>
      <c r="B711" s="14">
        <v>40299</v>
      </c>
      <c r="C711" s="15">
        <v>40325</v>
      </c>
      <c r="E711" s="8" t="s">
        <v>2092</v>
      </c>
      <c r="G711" s="11" t="s">
        <v>37</v>
      </c>
      <c r="H711" s="1">
        <v>45</v>
      </c>
      <c r="I711" s="11" t="s">
        <v>2093</v>
      </c>
      <c r="L711" s="11" t="s">
        <v>24</v>
      </c>
      <c r="M711" s="15">
        <v>40325</v>
      </c>
      <c r="N711" s="1">
        <v>1</v>
      </c>
      <c r="O711" s="11" t="s">
        <v>40</v>
      </c>
      <c r="P711" s="11" t="s">
        <v>1384</v>
      </c>
      <c r="Q711" s="11" t="s">
        <v>27</v>
      </c>
      <c r="R711" s="25" t="s">
        <v>56</v>
      </c>
      <c r="S711" s="15">
        <f t="shared" ca="1" si="25"/>
        <v>40470.53652858796</v>
      </c>
      <c r="T711" s="8">
        <f t="shared" ca="1" si="24"/>
        <v>5</v>
      </c>
      <c r="U711" s="11" t="s">
        <v>42</v>
      </c>
      <c r="V711" s="11" t="s">
        <v>42</v>
      </c>
      <c r="W711" s="11" t="s">
        <v>42</v>
      </c>
      <c r="X711" s="11" t="s">
        <v>42</v>
      </c>
      <c r="Y711" s="25" t="s">
        <v>2650</v>
      </c>
      <c r="AC711" s="12" t="s">
        <v>1416</v>
      </c>
      <c r="AH711" s="11" t="s">
        <v>1416</v>
      </c>
    </row>
    <row r="712" spans="1:34" s="37" customFormat="1">
      <c r="A712" s="33">
        <v>710</v>
      </c>
      <c r="B712" s="29">
        <v>40299</v>
      </c>
      <c r="C712" s="30">
        <v>40326</v>
      </c>
      <c r="D712" s="30"/>
      <c r="E712" s="31" t="s">
        <v>2094</v>
      </c>
      <c r="F712" s="31"/>
      <c r="G712" s="32" t="s">
        <v>37</v>
      </c>
      <c r="H712" s="33">
        <v>34</v>
      </c>
      <c r="I712" s="34" t="s">
        <v>2095</v>
      </c>
      <c r="J712" s="31"/>
      <c r="K712" s="31"/>
      <c r="L712" s="32" t="s">
        <v>24</v>
      </c>
      <c r="M712" s="30">
        <v>40326</v>
      </c>
      <c r="N712" s="33">
        <v>1</v>
      </c>
      <c r="O712" s="32" t="s">
        <v>40</v>
      </c>
      <c r="P712" s="32" t="s">
        <v>2096</v>
      </c>
      <c r="Q712" s="32" t="s">
        <v>27</v>
      </c>
      <c r="R712" s="32" t="s">
        <v>56</v>
      </c>
      <c r="S712" s="30">
        <f t="shared" ca="1" si="25"/>
        <v>40470.53652858796</v>
      </c>
      <c r="T712" s="31">
        <f t="shared" ca="1" si="24"/>
        <v>5</v>
      </c>
      <c r="U712" s="32" t="s">
        <v>42</v>
      </c>
      <c r="V712" s="32" t="s">
        <v>42</v>
      </c>
      <c r="W712" s="32" t="s">
        <v>42</v>
      </c>
      <c r="X712" s="32" t="s">
        <v>42</v>
      </c>
      <c r="Y712" s="32" t="s">
        <v>2649</v>
      </c>
      <c r="Z712" s="35"/>
      <c r="AA712" s="35"/>
      <c r="AB712" s="32"/>
      <c r="AC712" s="36" t="s">
        <v>1416</v>
      </c>
      <c r="AD712" s="32"/>
      <c r="AE712" s="32"/>
      <c r="AF712" s="32"/>
      <c r="AG712" s="32"/>
      <c r="AH712" s="32" t="s">
        <v>1416</v>
      </c>
    </row>
    <row r="713" spans="1:34">
      <c r="A713" s="1">
        <v>711</v>
      </c>
      <c r="B713" s="14">
        <v>40299</v>
      </c>
      <c r="C713" s="15">
        <v>40329</v>
      </c>
      <c r="E713" s="8" t="s">
        <v>2097</v>
      </c>
      <c r="G713" s="11" t="s">
        <v>37</v>
      </c>
      <c r="H713" s="1">
        <v>22</v>
      </c>
      <c r="I713" s="11" t="s">
        <v>2098</v>
      </c>
      <c r="J713" s="8" t="s">
        <v>2099</v>
      </c>
      <c r="L713" s="11" t="s">
        <v>24</v>
      </c>
      <c r="M713" s="15">
        <v>40329</v>
      </c>
      <c r="N713" s="1">
        <v>1</v>
      </c>
      <c r="O713" s="11" t="s">
        <v>25</v>
      </c>
      <c r="Q713" s="11" t="s">
        <v>27</v>
      </c>
      <c r="R713" s="25" t="s">
        <v>65</v>
      </c>
      <c r="S713" s="15">
        <f t="shared" ca="1" si="25"/>
        <v>40470.53652858796</v>
      </c>
      <c r="T713" s="8">
        <f t="shared" ca="1" si="24"/>
        <v>5</v>
      </c>
      <c r="U713" s="11" t="s">
        <v>42</v>
      </c>
      <c r="V713" s="11" t="s">
        <v>42</v>
      </c>
      <c r="W713" s="11" t="s">
        <v>42</v>
      </c>
      <c r="X713" s="11" t="s">
        <v>42</v>
      </c>
      <c r="AC713" s="12" t="s">
        <v>122</v>
      </c>
      <c r="AD713" s="25">
        <v>40308</v>
      </c>
      <c r="AH713" s="25" t="s">
        <v>122</v>
      </c>
    </row>
    <row r="714" spans="1:34">
      <c r="A714" s="1">
        <v>712</v>
      </c>
      <c r="B714" s="14">
        <v>40299</v>
      </c>
      <c r="C714" s="15">
        <v>40329</v>
      </c>
      <c r="E714" s="8" t="s">
        <v>2100</v>
      </c>
      <c r="G714" s="11" t="s">
        <v>37</v>
      </c>
      <c r="H714" s="1">
        <v>22</v>
      </c>
      <c r="I714" s="11" t="s">
        <v>2137</v>
      </c>
      <c r="L714" s="11" t="s">
        <v>24</v>
      </c>
      <c r="M714" s="15">
        <v>40329</v>
      </c>
      <c r="N714" s="1">
        <v>2</v>
      </c>
      <c r="O714" s="11" t="s">
        <v>25</v>
      </c>
      <c r="Q714" s="11" t="s">
        <v>49</v>
      </c>
      <c r="R714" s="11" t="s">
        <v>65</v>
      </c>
      <c r="S714" s="15">
        <f t="shared" ca="1" si="25"/>
        <v>40470.53652858796</v>
      </c>
      <c r="T714" s="8">
        <f t="shared" ca="1" si="24"/>
        <v>5</v>
      </c>
      <c r="U714" s="25"/>
      <c r="W714" s="25" t="s">
        <v>65</v>
      </c>
      <c r="X714" s="25" t="s">
        <v>56</v>
      </c>
      <c r="Y714" s="25" t="s">
        <v>42</v>
      </c>
      <c r="AC714" s="12" t="s">
        <v>132</v>
      </c>
      <c r="AH714" s="11" t="s">
        <v>132</v>
      </c>
    </row>
    <row r="715" spans="1:34">
      <c r="A715" s="1">
        <v>713</v>
      </c>
      <c r="B715" s="14">
        <v>40330</v>
      </c>
      <c r="C715" s="15">
        <v>40330</v>
      </c>
      <c r="E715" s="8" t="s">
        <v>2138</v>
      </c>
      <c r="G715" s="11" t="s">
        <v>20</v>
      </c>
      <c r="H715" s="1">
        <v>21</v>
      </c>
      <c r="I715" s="11" t="s">
        <v>2139</v>
      </c>
      <c r="J715" s="8" t="s">
        <v>2140</v>
      </c>
      <c r="L715" s="11" t="s">
        <v>24</v>
      </c>
      <c r="M715" s="15">
        <v>40330</v>
      </c>
      <c r="N715" s="1">
        <v>1</v>
      </c>
      <c r="O715" s="11" t="s">
        <v>40</v>
      </c>
      <c r="P715" s="11" t="s">
        <v>2096</v>
      </c>
      <c r="Q715" s="11" t="s">
        <v>477</v>
      </c>
      <c r="R715" s="25" t="s">
        <v>56</v>
      </c>
      <c r="S715" s="15">
        <f t="shared" ca="1" si="25"/>
        <v>40470.53652858796</v>
      </c>
      <c r="T715" s="8">
        <f t="shared" ca="1" si="24"/>
        <v>4</v>
      </c>
      <c r="U715" s="11" t="s">
        <v>42</v>
      </c>
      <c r="V715" s="11" t="s">
        <v>42</v>
      </c>
      <c r="W715" s="11" t="s">
        <v>42</v>
      </c>
      <c r="X715" s="11" t="s">
        <v>42</v>
      </c>
      <c r="Y715" s="25" t="s">
        <v>2650</v>
      </c>
      <c r="AC715" s="12" t="s">
        <v>1416</v>
      </c>
      <c r="AH715" s="11" t="s">
        <v>1416</v>
      </c>
    </row>
    <row r="716" spans="1:34">
      <c r="A716" s="1">
        <v>714</v>
      </c>
      <c r="B716" s="14">
        <v>40330</v>
      </c>
      <c r="C716" s="15">
        <v>40285</v>
      </c>
      <c r="E716" s="8" t="s">
        <v>2141</v>
      </c>
      <c r="G716" s="11" t="s">
        <v>20</v>
      </c>
      <c r="H716" s="1">
        <v>21</v>
      </c>
      <c r="I716" s="11" t="s">
        <v>2142</v>
      </c>
      <c r="J716" s="8" t="s">
        <v>2143</v>
      </c>
      <c r="L716" s="11" t="s">
        <v>24</v>
      </c>
      <c r="M716" s="15">
        <v>40285</v>
      </c>
      <c r="N716" s="1">
        <v>2</v>
      </c>
      <c r="O716" s="11" t="s">
        <v>40</v>
      </c>
      <c r="P716" s="11" t="s">
        <v>2144</v>
      </c>
      <c r="Q716" s="11" t="s">
        <v>407</v>
      </c>
      <c r="R716" s="25" t="s">
        <v>56</v>
      </c>
      <c r="S716" s="15">
        <f t="shared" ca="1" si="25"/>
        <v>40470.53652858796</v>
      </c>
      <c r="T716" s="8">
        <f t="shared" ca="1" si="24"/>
        <v>6</v>
      </c>
      <c r="U716" s="11" t="s">
        <v>42</v>
      </c>
      <c r="V716" s="11" t="s">
        <v>42</v>
      </c>
      <c r="W716" s="11" t="s">
        <v>42</v>
      </c>
      <c r="X716" s="11" t="s">
        <v>42</v>
      </c>
      <c r="Y716" s="25" t="s">
        <v>42</v>
      </c>
      <c r="AC716" s="12" t="s">
        <v>2519</v>
      </c>
      <c r="AD716" s="25">
        <v>40333</v>
      </c>
      <c r="AH716" s="11" t="s">
        <v>158</v>
      </c>
    </row>
    <row r="717" spans="1:34">
      <c r="A717" s="1">
        <v>715</v>
      </c>
      <c r="B717" s="14">
        <v>40330</v>
      </c>
      <c r="C717" s="15">
        <v>40330</v>
      </c>
      <c r="E717" s="8" t="s">
        <v>2145</v>
      </c>
      <c r="G717" s="11" t="s">
        <v>37</v>
      </c>
      <c r="H717" s="1">
        <v>30</v>
      </c>
      <c r="I717" s="11" t="s">
        <v>2146</v>
      </c>
      <c r="L717" s="11" t="s">
        <v>24</v>
      </c>
      <c r="M717" s="15">
        <v>40330</v>
      </c>
      <c r="N717" s="1">
        <v>1</v>
      </c>
      <c r="O717" s="11" t="s">
        <v>25</v>
      </c>
      <c r="Q717" s="11" t="s">
        <v>27</v>
      </c>
      <c r="R717" s="11" t="s">
        <v>28</v>
      </c>
      <c r="S717" s="15">
        <f t="shared" ca="1" si="25"/>
        <v>40470.53652858796</v>
      </c>
      <c r="T717" s="8">
        <f t="shared" ca="1" si="24"/>
        <v>4</v>
      </c>
      <c r="U717" s="11" t="s">
        <v>42</v>
      </c>
      <c r="V717" s="11" t="s">
        <v>42</v>
      </c>
      <c r="W717" s="11" t="s">
        <v>42</v>
      </c>
      <c r="X717" s="11" t="s">
        <v>42</v>
      </c>
      <c r="Y717" s="25" t="s">
        <v>2649</v>
      </c>
      <c r="AC717" s="12" t="s">
        <v>1416</v>
      </c>
      <c r="AH717" s="11" t="s">
        <v>1416</v>
      </c>
    </row>
    <row r="718" spans="1:34">
      <c r="A718" s="1">
        <v>716</v>
      </c>
      <c r="B718" s="14">
        <v>40330</v>
      </c>
      <c r="C718" s="15">
        <v>40330</v>
      </c>
      <c r="E718" s="8" t="s">
        <v>2147</v>
      </c>
      <c r="G718" s="11" t="s">
        <v>37</v>
      </c>
      <c r="H718" s="1">
        <v>17</v>
      </c>
      <c r="I718" s="11" t="s">
        <v>2148</v>
      </c>
      <c r="J718" s="8" t="s">
        <v>2149</v>
      </c>
      <c r="L718" s="11" t="s">
        <v>24</v>
      </c>
      <c r="M718" s="15">
        <v>40330</v>
      </c>
      <c r="N718" s="1">
        <v>1</v>
      </c>
      <c r="O718" s="11" t="s">
        <v>25</v>
      </c>
      <c r="Q718" s="11" t="s">
        <v>27</v>
      </c>
      <c r="R718" s="11" t="s">
        <v>28</v>
      </c>
      <c r="S718" s="15">
        <f t="shared" ca="1" si="25"/>
        <v>40470.53652858796</v>
      </c>
      <c r="T718" s="8">
        <f t="shared" ref="T718:T781" ca="1" si="26">(YEAR(S718)-YEAR(M718))*12+MONTH(S718)-MONTH(M718)</f>
        <v>4</v>
      </c>
      <c r="U718" s="11" t="s">
        <v>42</v>
      </c>
      <c r="V718" s="11" t="s">
        <v>42</v>
      </c>
      <c r="W718" s="11" t="s">
        <v>42</v>
      </c>
      <c r="X718" s="11" t="s">
        <v>42</v>
      </c>
      <c r="Y718" s="25" t="s">
        <v>2650</v>
      </c>
      <c r="AC718" s="12" t="s">
        <v>1416</v>
      </c>
      <c r="AH718" s="11" t="s">
        <v>1416</v>
      </c>
    </row>
    <row r="719" spans="1:34">
      <c r="A719" s="1">
        <v>717</v>
      </c>
      <c r="B719" s="14">
        <v>40330</v>
      </c>
      <c r="C719" s="15">
        <v>40330</v>
      </c>
      <c r="E719" s="8" t="s">
        <v>2150</v>
      </c>
      <c r="G719" s="11" t="s">
        <v>37</v>
      </c>
      <c r="H719" s="1">
        <v>15</v>
      </c>
      <c r="I719" s="11" t="s">
        <v>2151</v>
      </c>
      <c r="J719" s="8" t="s">
        <v>2152</v>
      </c>
      <c r="L719" s="11" t="s">
        <v>24</v>
      </c>
      <c r="M719" s="15">
        <v>40330</v>
      </c>
      <c r="N719" s="1">
        <v>1</v>
      </c>
      <c r="O719" s="11" t="s">
        <v>40</v>
      </c>
      <c r="P719" s="11" t="s">
        <v>213</v>
      </c>
      <c r="Q719" s="11" t="s">
        <v>27</v>
      </c>
      <c r="R719" s="25" t="s">
        <v>56</v>
      </c>
      <c r="S719" s="15">
        <f t="shared" ca="1" si="25"/>
        <v>40470.53652858796</v>
      </c>
      <c r="T719" s="8">
        <f t="shared" ca="1" si="26"/>
        <v>4</v>
      </c>
      <c r="U719" s="11" t="s">
        <v>42</v>
      </c>
      <c r="V719" s="11" t="s">
        <v>42</v>
      </c>
      <c r="W719" s="11" t="s">
        <v>42</v>
      </c>
      <c r="X719" s="11" t="s">
        <v>42</v>
      </c>
      <c r="Y719" s="25" t="s">
        <v>2650</v>
      </c>
      <c r="AC719" s="12" t="s">
        <v>1416</v>
      </c>
      <c r="AH719" s="11" t="s">
        <v>1416</v>
      </c>
    </row>
    <row r="720" spans="1:34">
      <c r="A720" s="1">
        <v>718</v>
      </c>
      <c r="B720" s="14">
        <v>40330</v>
      </c>
      <c r="C720" s="15">
        <v>40330</v>
      </c>
      <c r="E720" s="8" t="s">
        <v>2153</v>
      </c>
      <c r="G720" s="11" t="s">
        <v>20</v>
      </c>
      <c r="H720" s="1">
        <v>22</v>
      </c>
      <c r="I720" s="11" t="s">
        <v>2154</v>
      </c>
      <c r="J720" s="8" t="s">
        <v>2155</v>
      </c>
      <c r="L720" s="11" t="s">
        <v>24</v>
      </c>
      <c r="M720" s="15">
        <v>40330</v>
      </c>
      <c r="N720" s="1">
        <v>1</v>
      </c>
      <c r="O720" s="11" t="s">
        <v>25</v>
      </c>
      <c r="Q720" s="11" t="s">
        <v>27</v>
      </c>
      <c r="R720" s="25" t="s">
        <v>28</v>
      </c>
      <c r="S720" s="15">
        <f t="shared" ca="1" si="25"/>
        <v>40470.53652858796</v>
      </c>
      <c r="T720" s="8">
        <f t="shared" ca="1" si="26"/>
        <v>4</v>
      </c>
      <c r="U720" s="11" t="s">
        <v>42</v>
      </c>
      <c r="V720" s="11" t="s">
        <v>42</v>
      </c>
      <c r="W720" s="11" t="s">
        <v>42</v>
      </c>
      <c r="X720" s="11" t="s">
        <v>42</v>
      </c>
      <c r="Y720" s="25" t="s">
        <v>2649</v>
      </c>
      <c r="AC720" s="12" t="s">
        <v>1416</v>
      </c>
      <c r="AH720" s="11" t="s">
        <v>1416</v>
      </c>
    </row>
    <row r="721" spans="1:34">
      <c r="A721" s="1">
        <v>719</v>
      </c>
      <c r="B721" s="14">
        <v>40330</v>
      </c>
      <c r="C721" s="15">
        <v>40331</v>
      </c>
      <c r="E721" s="8" t="s">
        <v>2156</v>
      </c>
      <c r="G721" s="11" t="s">
        <v>20</v>
      </c>
      <c r="H721" s="1">
        <v>23</v>
      </c>
      <c r="I721" s="11" t="s">
        <v>2157</v>
      </c>
      <c r="J721" s="8" t="s">
        <v>2158</v>
      </c>
      <c r="L721" s="11" t="s">
        <v>24</v>
      </c>
      <c r="M721" s="15">
        <v>40331</v>
      </c>
      <c r="N721" s="1">
        <v>1</v>
      </c>
      <c r="O721" s="11" t="s">
        <v>25</v>
      </c>
      <c r="Q721" s="11" t="s">
        <v>27</v>
      </c>
      <c r="R721" s="25" t="s">
        <v>28</v>
      </c>
      <c r="S721" s="15">
        <f t="shared" ca="1" si="25"/>
        <v>40470.53652858796</v>
      </c>
      <c r="T721" s="8">
        <f t="shared" ca="1" si="26"/>
        <v>4</v>
      </c>
      <c r="U721" s="25" t="s">
        <v>56</v>
      </c>
      <c r="V721" s="11" t="s">
        <v>42</v>
      </c>
      <c r="W721" s="11" t="s">
        <v>42</v>
      </c>
      <c r="X721" s="11" t="s">
        <v>42</v>
      </c>
      <c r="Y721" s="25" t="s">
        <v>2650</v>
      </c>
      <c r="AC721" s="12" t="s">
        <v>1416</v>
      </c>
      <c r="AH721" s="11" t="s">
        <v>1416</v>
      </c>
    </row>
    <row r="722" spans="1:34">
      <c r="A722" s="1">
        <v>720</v>
      </c>
      <c r="B722" s="14">
        <v>40330</v>
      </c>
      <c r="C722" s="15">
        <v>40331</v>
      </c>
      <c r="E722" s="8" t="s">
        <v>2159</v>
      </c>
      <c r="G722" s="11" t="s">
        <v>37</v>
      </c>
      <c r="H722" s="1">
        <v>22</v>
      </c>
      <c r="I722" s="11" t="s">
        <v>2160</v>
      </c>
      <c r="L722" s="11" t="s">
        <v>24</v>
      </c>
      <c r="M722" s="15">
        <v>40331</v>
      </c>
      <c r="N722" s="1">
        <v>2</v>
      </c>
      <c r="O722" s="11" t="s">
        <v>25</v>
      </c>
      <c r="Q722" s="11" t="s">
        <v>407</v>
      </c>
      <c r="R722" s="11" t="s">
        <v>60</v>
      </c>
      <c r="S722" s="15">
        <f t="shared" ca="1" si="25"/>
        <v>40470.53652858796</v>
      </c>
      <c r="T722" s="8">
        <f t="shared" ca="1" si="26"/>
        <v>4</v>
      </c>
      <c r="U722" s="25" t="s">
        <v>56</v>
      </c>
      <c r="V722" s="25" t="s">
        <v>56</v>
      </c>
      <c r="W722" s="25" t="s">
        <v>56</v>
      </c>
      <c r="X722" s="11" t="s">
        <v>42</v>
      </c>
      <c r="Y722" s="25" t="s">
        <v>42</v>
      </c>
      <c r="AC722" s="12" t="s">
        <v>132</v>
      </c>
      <c r="AD722" s="25">
        <v>40366</v>
      </c>
      <c r="AH722" s="25" t="s">
        <v>132</v>
      </c>
    </row>
    <row r="723" spans="1:34">
      <c r="A723" s="1">
        <v>721</v>
      </c>
      <c r="B723" s="14">
        <v>40330</v>
      </c>
      <c r="C723" s="15">
        <v>40331</v>
      </c>
      <c r="E723" s="8" t="s">
        <v>2161</v>
      </c>
      <c r="G723" s="11" t="s">
        <v>37</v>
      </c>
      <c r="H723" s="1">
        <v>60</v>
      </c>
      <c r="I723" s="11" t="s">
        <v>2162</v>
      </c>
      <c r="L723" s="11" t="s">
        <v>24</v>
      </c>
      <c r="M723" s="15">
        <v>40331</v>
      </c>
      <c r="N723" s="1">
        <v>2</v>
      </c>
      <c r="O723" s="11" t="s">
        <v>25</v>
      </c>
      <c r="Q723" s="11" t="s">
        <v>49</v>
      </c>
      <c r="R723" s="25" t="s">
        <v>60</v>
      </c>
      <c r="S723" s="15">
        <f t="shared" ca="1" si="25"/>
        <v>40470.53652858796</v>
      </c>
      <c r="T723" s="8">
        <f t="shared" ca="1" si="26"/>
        <v>4</v>
      </c>
      <c r="U723" s="11" t="s">
        <v>42</v>
      </c>
      <c r="V723" s="25" t="s">
        <v>28</v>
      </c>
      <c r="W723" s="25" t="s">
        <v>56</v>
      </c>
      <c r="X723" s="11" t="s">
        <v>42</v>
      </c>
      <c r="Y723" s="25" t="s">
        <v>2649</v>
      </c>
      <c r="AC723" s="12" t="s">
        <v>158</v>
      </c>
      <c r="AD723" s="25">
        <v>40439</v>
      </c>
      <c r="AH723" s="25" t="s">
        <v>158</v>
      </c>
    </row>
    <row r="724" spans="1:34">
      <c r="A724" s="1">
        <v>722</v>
      </c>
      <c r="B724" s="14">
        <v>40330</v>
      </c>
      <c r="C724" s="15">
        <v>40332</v>
      </c>
      <c r="E724" s="8" t="s">
        <v>2163</v>
      </c>
      <c r="G724" s="11" t="s">
        <v>37</v>
      </c>
      <c r="H724" s="1">
        <v>30</v>
      </c>
      <c r="I724" s="11" t="s">
        <v>2164</v>
      </c>
      <c r="J724" s="8" t="s">
        <v>2165</v>
      </c>
      <c r="L724" s="11" t="s">
        <v>24</v>
      </c>
      <c r="M724" s="15">
        <v>40332</v>
      </c>
      <c r="N724" s="1">
        <v>2</v>
      </c>
      <c r="O724" s="11" t="s">
        <v>25</v>
      </c>
      <c r="Q724" s="11" t="s">
        <v>407</v>
      </c>
      <c r="R724" s="25" t="s">
        <v>2731</v>
      </c>
      <c r="S724" s="15">
        <f t="shared" ca="1" si="25"/>
        <v>40470.53652858796</v>
      </c>
      <c r="T724" s="8">
        <f t="shared" ca="1" si="26"/>
        <v>4</v>
      </c>
      <c r="U724" s="25" t="s">
        <v>2731</v>
      </c>
      <c r="V724" s="25" t="s">
        <v>56</v>
      </c>
      <c r="W724" s="25" t="s">
        <v>42</v>
      </c>
      <c r="X724" s="25" t="s">
        <v>42</v>
      </c>
      <c r="Y724" s="25" t="s">
        <v>2649</v>
      </c>
      <c r="AC724" s="12" t="s">
        <v>35</v>
      </c>
      <c r="AD724" s="25">
        <v>40439</v>
      </c>
      <c r="AH724" s="25" t="s">
        <v>35</v>
      </c>
    </row>
    <row r="725" spans="1:34">
      <c r="A725" s="1">
        <v>723</v>
      </c>
      <c r="B725" s="14">
        <v>40330</v>
      </c>
      <c r="C725" s="15">
        <v>40332</v>
      </c>
      <c r="E725" s="8" t="s">
        <v>2166</v>
      </c>
      <c r="G725" s="11" t="s">
        <v>20</v>
      </c>
      <c r="H725" s="1">
        <v>45</v>
      </c>
      <c r="I725" s="11" t="s">
        <v>2167</v>
      </c>
      <c r="J725" s="8" t="s">
        <v>2168</v>
      </c>
      <c r="L725" s="11" t="s">
        <v>24</v>
      </c>
      <c r="M725" s="15">
        <v>40332</v>
      </c>
      <c r="N725" s="1">
        <v>1</v>
      </c>
      <c r="O725" s="11" t="s">
        <v>25</v>
      </c>
      <c r="Q725" s="11" t="s">
        <v>27</v>
      </c>
      <c r="R725" s="11" t="s">
        <v>56</v>
      </c>
      <c r="S725" s="15">
        <f t="shared" ca="1" si="25"/>
        <v>40470.53652858796</v>
      </c>
      <c r="T725" s="8">
        <f t="shared" ca="1" si="26"/>
        <v>4</v>
      </c>
      <c r="U725" s="11" t="s">
        <v>42</v>
      </c>
      <c r="V725" s="25" t="s">
        <v>56</v>
      </c>
      <c r="W725" s="11" t="s">
        <v>42</v>
      </c>
      <c r="X725" s="11" t="s">
        <v>42</v>
      </c>
      <c r="Y725" s="25" t="s">
        <v>2650</v>
      </c>
      <c r="AC725" s="12" t="s">
        <v>35</v>
      </c>
      <c r="AD725" s="25">
        <v>40399</v>
      </c>
      <c r="AH725" s="25" t="s">
        <v>35</v>
      </c>
    </row>
    <row r="726" spans="1:34">
      <c r="A726" s="1">
        <v>724</v>
      </c>
      <c r="B726" s="14">
        <v>40330</v>
      </c>
      <c r="C726" s="15">
        <v>40315</v>
      </c>
      <c r="E726" s="8" t="s">
        <v>2169</v>
      </c>
      <c r="G726" s="11" t="s">
        <v>37</v>
      </c>
      <c r="H726" s="1">
        <v>30</v>
      </c>
      <c r="I726" s="11" t="s">
        <v>2170</v>
      </c>
      <c r="J726" s="8" t="s">
        <v>2171</v>
      </c>
      <c r="L726" s="11" t="s">
        <v>24</v>
      </c>
      <c r="M726" s="15">
        <v>40315</v>
      </c>
      <c r="N726" s="1">
        <v>1</v>
      </c>
      <c r="O726" s="11" t="s">
        <v>40</v>
      </c>
      <c r="P726" s="11" t="s">
        <v>213</v>
      </c>
      <c r="Q726" s="11" t="s">
        <v>27</v>
      </c>
      <c r="R726" s="11" t="s">
        <v>42</v>
      </c>
      <c r="S726" s="15">
        <f t="shared" ca="1" si="25"/>
        <v>40470.53652858796</v>
      </c>
      <c r="T726" s="8">
        <f t="shared" ca="1" si="26"/>
        <v>5</v>
      </c>
      <c r="U726" s="11" t="s">
        <v>42</v>
      </c>
      <c r="V726" s="11" t="s">
        <v>42</v>
      </c>
      <c r="W726" s="11" t="s">
        <v>42</v>
      </c>
      <c r="X726" s="11" t="s">
        <v>42</v>
      </c>
      <c r="Y726" s="25" t="s">
        <v>2649</v>
      </c>
      <c r="AC726" s="12" t="s">
        <v>1416</v>
      </c>
      <c r="AH726" s="11" t="s">
        <v>1416</v>
      </c>
    </row>
    <row r="727" spans="1:34">
      <c r="A727" s="1">
        <v>725</v>
      </c>
      <c r="B727" s="14">
        <v>40330</v>
      </c>
      <c r="C727" s="15">
        <v>40333</v>
      </c>
      <c r="E727" s="8" t="s">
        <v>2172</v>
      </c>
      <c r="G727" s="11" t="s">
        <v>20</v>
      </c>
      <c r="H727" s="1">
        <v>42</v>
      </c>
      <c r="I727" s="11" t="s">
        <v>2173</v>
      </c>
      <c r="J727" s="8" t="s">
        <v>2174</v>
      </c>
      <c r="L727" s="11" t="s">
        <v>24</v>
      </c>
      <c r="M727" s="15">
        <v>40333</v>
      </c>
      <c r="N727" s="1">
        <v>2</v>
      </c>
      <c r="O727" s="11" t="s">
        <v>25</v>
      </c>
      <c r="Q727" s="11" t="s">
        <v>407</v>
      </c>
      <c r="R727" s="25" t="s">
        <v>2729</v>
      </c>
      <c r="S727" s="15">
        <f t="shared" ca="1" si="25"/>
        <v>40470.53652858796</v>
      </c>
      <c r="T727" s="8">
        <f t="shared" ca="1" si="26"/>
        <v>4</v>
      </c>
      <c r="U727" s="25" t="s">
        <v>28</v>
      </c>
      <c r="V727" s="11" t="s">
        <v>42</v>
      </c>
      <c r="W727" s="11" t="s">
        <v>42</v>
      </c>
      <c r="X727" s="11" t="s">
        <v>42</v>
      </c>
      <c r="Y727" s="25" t="s">
        <v>2649</v>
      </c>
      <c r="AC727" s="12" t="s">
        <v>1416</v>
      </c>
      <c r="AH727" s="11" t="s">
        <v>1416</v>
      </c>
    </row>
    <row r="728" spans="1:34">
      <c r="A728" s="1">
        <v>726</v>
      </c>
      <c r="B728" s="14">
        <v>40330</v>
      </c>
      <c r="C728" s="15">
        <v>40334</v>
      </c>
      <c r="E728" s="8" t="s">
        <v>2175</v>
      </c>
      <c r="G728" s="11" t="s">
        <v>37</v>
      </c>
      <c r="H728" s="1">
        <v>11</v>
      </c>
      <c r="I728" s="11" t="s">
        <v>2176</v>
      </c>
      <c r="L728" s="11" t="s">
        <v>24</v>
      </c>
      <c r="M728" s="15">
        <v>40334</v>
      </c>
      <c r="N728" s="1">
        <v>1</v>
      </c>
      <c r="O728" s="11" t="s">
        <v>25</v>
      </c>
      <c r="Q728" s="11" t="s">
        <v>27</v>
      </c>
      <c r="R728" s="25" t="s">
        <v>56</v>
      </c>
      <c r="S728" s="15">
        <f t="shared" ca="1" si="25"/>
        <v>40470.53652858796</v>
      </c>
      <c r="T728" s="8">
        <f t="shared" ca="1" si="26"/>
        <v>4</v>
      </c>
      <c r="U728" s="25" t="s">
        <v>56</v>
      </c>
      <c r="V728" s="11" t="s">
        <v>42</v>
      </c>
      <c r="W728" s="11" t="s">
        <v>42</v>
      </c>
      <c r="X728" s="11" t="s">
        <v>42</v>
      </c>
      <c r="Y728" s="25" t="s">
        <v>2650</v>
      </c>
      <c r="AC728" s="12" t="s">
        <v>1416</v>
      </c>
      <c r="AH728" s="11" t="s">
        <v>1416</v>
      </c>
    </row>
    <row r="729" spans="1:34">
      <c r="A729" s="1">
        <v>727</v>
      </c>
      <c r="B729" s="14">
        <v>40330</v>
      </c>
      <c r="C729" s="15">
        <v>40336</v>
      </c>
      <c r="E729" s="8" t="s">
        <v>2177</v>
      </c>
      <c r="G729" s="11" t="s">
        <v>20</v>
      </c>
      <c r="H729" s="1">
        <v>53</v>
      </c>
      <c r="I729" s="11" t="s">
        <v>2178</v>
      </c>
      <c r="J729" s="8" t="s">
        <v>2179</v>
      </c>
      <c r="L729" s="11" t="s">
        <v>24</v>
      </c>
      <c r="M729" s="15">
        <v>40336</v>
      </c>
      <c r="N729" s="1">
        <v>1</v>
      </c>
      <c r="O729" s="11" t="s">
        <v>25</v>
      </c>
      <c r="Q729" s="11" t="s">
        <v>27</v>
      </c>
      <c r="R729" s="11" t="s">
        <v>28</v>
      </c>
      <c r="S729" s="15">
        <f t="shared" ca="1" si="25"/>
        <v>40470.53652858796</v>
      </c>
      <c r="T729" s="8">
        <f t="shared" ca="1" si="26"/>
        <v>4</v>
      </c>
      <c r="U729" s="25" t="s">
        <v>56</v>
      </c>
      <c r="V729" s="11" t="s">
        <v>42</v>
      </c>
      <c r="W729" s="25" t="s">
        <v>2729</v>
      </c>
      <c r="X729" s="11" t="s">
        <v>42</v>
      </c>
      <c r="Y729" s="25" t="s">
        <v>2650</v>
      </c>
      <c r="AC729" s="12" t="s">
        <v>1416</v>
      </c>
      <c r="AH729" s="11" t="s">
        <v>1416</v>
      </c>
    </row>
    <row r="730" spans="1:34">
      <c r="A730" s="1">
        <v>728</v>
      </c>
      <c r="B730" s="14">
        <v>40330</v>
      </c>
      <c r="C730" s="15">
        <v>40337</v>
      </c>
      <c r="E730" s="8" t="s">
        <v>2180</v>
      </c>
      <c r="G730" s="11" t="s">
        <v>37</v>
      </c>
      <c r="H730" s="1">
        <v>17</v>
      </c>
      <c r="I730" s="11" t="s">
        <v>2181</v>
      </c>
      <c r="J730" s="8" t="s">
        <v>2182</v>
      </c>
      <c r="L730" s="11" t="s">
        <v>24</v>
      </c>
      <c r="M730" s="15">
        <v>40337</v>
      </c>
      <c r="N730" s="1">
        <v>1</v>
      </c>
      <c r="O730" s="11" t="s">
        <v>40</v>
      </c>
      <c r="P730" s="11" t="s">
        <v>213</v>
      </c>
      <c r="Q730" s="11" t="s">
        <v>27</v>
      </c>
      <c r="R730" s="25" t="s">
        <v>56</v>
      </c>
      <c r="S730" s="15">
        <f t="shared" ca="1" si="25"/>
        <v>40470.53652858796</v>
      </c>
      <c r="T730" s="8">
        <f t="shared" ca="1" si="26"/>
        <v>4</v>
      </c>
      <c r="U730" s="11" t="s">
        <v>42</v>
      </c>
      <c r="V730" s="11" t="s">
        <v>42</v>
      </c>
      <c r="W730" s="11" t="s">
        <v>42</v>
      </c>
      <c r="X730" s="11" t="s">
        <v>42</v>
      </c>
      <c r="Y730" s="25" t="s">
        <v>2650</v>
      </c>
      <c r="AC730" s="12" t="s">
        <v>1416</v>
      </c>
      <c r="AH730" s="11" t="s">
        <v>1416</v>
      </c>
    </row>
    <row r="731" spans="1:34">
      <c r="A731" s="1">
        <v>729</v>
      </c>
      <c r="B731" s="14">
        <v>40330</v>
      </c>
      <c r="C731" s="15">
        <v>40337</v>
      </c>
      <c r="E731" s="8" t="s">
        <v>2183</v>
      </c>
      <c r="G731" s="11" t="s">
        <v>37</v>
      </c>
      <c r="H731" s="1">
        <v>30</v>
      </c>
      <c r="I731" s="11" t="s">
        <v>2184</v>
      </c>
      <c r="L731" s="11" t="s">
        <v>24</v>
      </c>
      <c r="M731" s="15">
        <v>40337</v>
      </c>
      <c r="N731" s="1">
        <v>1</v>
      </c>
      <c r="O731" s="11" t="s">
        <v>25</v>
      </c>
      <c r="Q731" s="11" t="s">
        <v>27</v>
      </c>
      <c r="R731" s="25" t="s">
        <v>2729</v>
      </c>
      <c r="S731" s="15">
        <f t="shared" ca="1" si="25"/>
        <v>40470.53652858796</v>
      </c>
      <c r="T731" s="8">
        <f t="shared" ca="1" si="26"/>
        <v>4</v>
      </c>
      <c r="U731" s="25" t="s">
        <v>56</v>
      </c>
      <c r="V731" s="11" t="s">
        <v>42</v>
      </c>
      <c r="W731" s="11" t="s">
        <v>42</v>
      </c>
      <c r="X731" s="11" t="s">
        <v>42</v>
      </c>
      <c r="Y731" s="25" t="s">
        <v>2650</v>
      </c>
      <c r="AC731" s="12" t="s">
        <v>1416</v>
      </c>
      <c r="AH731" s="11" t="s">
        <v>1416</v>
      </c>
    </row>
    <row r="732" spans="1:34">
      <c r="A732" s="1">
        <v>730</v>
      </c>
      <c r="B732" s="14">
        <v>40330</v>
      </c>
      <c r="C732" s="15">
        <v>40337</v>
      </c>
      <c r="E732" s="8" t="s">
        <v>2185</v>
      </c>
      <c r="G732" s="11" t="s">
        <v>20</v>
      </c>
      <c r="H732" s="1">
        <v>22</v>
      </c>
      <c r="I732" s="11" t="s">
        <v>2186</v>
      </c>
      <c r="J732" s="8" t="s">
        <v>2187</v>
      </c>
      <c r="L732" s="11" t="s">
        <v>24</v>
      </c>
      <c r="M732" s="15">
        <v>40337</v>
      </c>
      <c r="N732" s="1">
        <v>1</v>
      </c>
      <c r="O732" s="11" t="s">
        <v>40</v>
      </c>
      <c r="P732" s="11" t="s">
        <v>109</v>
      </c>
      <c r="Q732" s="11" t="s">
        <v>27</v>
      </c>
      <c r="R732" s="25" t="s">
        <v>56</v>
      </c>
      <c r="S732" s="15">
        <f t="shared" ca="1" si="25"/>
        <v>40470.53652858796</v>
      </c>
      <c r="T732" s="8">
        <f t="shared" ca="1" si="26"/>
        <v>4</v>
      </c>
      <c r="U732" s="11" t="s">
        <v>42</v>
      </c>
      <c r="V732" s="11" t="s">
        <v>42</v>
      </c>
      <c r="W732" s="11" t="s">
        <v>42</v>
      </c>
      <c r="X732" s="11" t="s">
        <v>42</v>
      </c>
      <c r="Y732" s="25" t="s">
        <v>2650</v>
      </c>
      <c r="AC732" s="12" t="s">
        <v>1416</v>
      </c>
      <c r="AH732" s="11" t="s">
        <v>1416</v>
      </c>
    </row>
    <row r="733" spans="1:34">
      <c r="A733" s="1">
        <v>731</v>
      </c>
      <c r="B733" s="14">
        <v>40330</v>
      </c>
      <c r="C733" s="15">
        <v>40338</v>
      </c>
      <c r="E733" s="8" t="s">
        <v>2188</v>
      </c>
      <c r="G733" s="11" t="s">
        <v>20</v>
      </c>
      <c r="H733" s="1">
        <v>35</v>
      </c>
      <c r="I733" s="11" t="s">
        <v>2189</v>
      </c>
      <c r="J733" s="8" t="s">
        <v>2190</v>
      </c>
      <c r="L733" s="11" t="s">
        <v>24</v>
      </c>
      <c r="M733" s="15">
        <v>40338</v>
      </c>
      <c r="N733" s="1">
        <v>1</v>
      </c>
      <c r="O733" s="11" t="s">
        <v>25</v>
      </c>
      <c r="Q733" s="11" t="s">
        <v>27</v>
      </c>
      <c r="R733" s="11" t="s">
        <v>60</v>
      </c>
      <c r="S733" s="15">
        <f t="shared" ca="1" si="25"/>
        <v>40470.53652858796</v>
      </c>
      <c r="T733" s="8">
        <f t="shared" ca="1" si="26"/>
        <v>4</v>
      </c>
      <c r="U733" s="11" t="s">
        <v>42</v>
      </c>
      <c r="V733" s="25" t="s">
        <v>56</v>
      </c>
      <c r="W733" s="11" t="s">
        <v>42</v>
      </c>
      <c r="X733" s="11" t="s">
        <v>42</v>
      </c>
      <c r="Y733" s="25" t="s">
        <v>2650</v>
      </c>
      <c r="AC733" s="12" t="s">
        <v>1416</v>
      </c>
      <c r="AH733" s="11" t="s">
        <v>1416</v>
      </c>
    </row>
    <row r="734" spans="1:34">
      <c r="A734" s="1">
        <v>732</v>
      </c>
      <c r="B734" s="14">
        <v>40330</v>
      </c>
      <c r="C734" s="15">
        <v>40338</v>
      </c>
      <c r="E734" s="8" t="s">
        <v>2191</v>
      </c>
      <c r="G734" s="11" t="s">
        <v>20</v>
      </c>
      <c r="H734" s="1">
        <v>21</v>
      </c>
      <c r="I734" s="11" t="s">
        <v>2192</v>
      </c>
      <c r="L734" s="11" t="s">
        <v>24</v>
      </c>
      <c r="M734" s="15">
        <v>40338</v>
      </c>
      <c r="N734" s="1">
        <v>2</v>
      </c>
      <c r="O734" s="11" t="s">
        <v>25</v>
      </c>
      <c r="Q734" s="11" t="s">
        <v>381</v>
      </c>
      <c r="R734" s="11" t="s">
        <v>60</v>
      </c>
      <c r="S734" s="15">
        <f t="shared" ca="1" si="25"/>
        <v>40470.53652858796</v>
      </c>
      <c r="T734" s="8">
        <f t="shared" ca="1" si="26"/>
        <v>4</v>
      </c>
      <c r="U734" s="11" t="s">
        <v>42</v>
      </c>
      <c r="V734" s="11" t="s">
        <v>42</v>
      </c>
      <c r="W734" s="11" t="s">
        <v>42</v>
      </c>
      <c r="X734" s="11" t="s">
        <v>42</v>
      </c>
      <c r="Y734" s="25" t="s">
        <v>2649</v>
      </c>
      <c r="AC734" s="12" t="s">
        <v>1416</v>
      </c>
      <c r="AH734" s="11" t="s">
        <v>1416</v>
      </c>
    </row>
    <row r="735" spans="1:34">
      <c r="A735" s="1">
        <v>733</v>
      </c>
      <c r="B735" s="14">
        <v>40330</v>
      </c>
      <c r="C735" s="15">
        <v>40338</v>
      </c>
      <c r="E735" s="8" t="s">
        <v>2193</v>
      </c>
      <c r="G735" s="11" t="s">
        <v>20</v>
      </c>
      <c r="H735" s="1">
        <v>85</v>
      </c>
      <c r="I735" s="11" t="s">
        <v>2194</v>
      </c>
      <c r="J735" s="8" t="s">
        <v>2195</v>
      </c>
      <c r="L735" s="11" t="s">
        <v>24</v>
      </c>
      <c r="M735" s="15">
        <v>40338</v>
      </c>
      <c r="N735" s="1">
        <v>1</v>
      </c>
      <c r="O735" s="11" t="s">
        <v>25</v>
      </c>
      <c r="Q735" s="11" t="s">
        <v>27</v>
      </c>
      <c r="R735" s="11" t="s">
        <v>56</v>
      </c>
      <c r="S735" s="15">
        <f t="shared" ca="1" si="25"/>
        <v>40470.53652858796</v>
      </c>
      <c r="T735" s="8">
        <f t="shared" ca="1" si="26"/>
        <v>4</v>
      </c>
      <c r="U735" s="11" t="s">
        <v>42</v>
      </c>
      <c r="V735" s="11" t="s">
        <v>42</v>
      </c>
      <c r="W735" s="11" t="s">
        <v>42</v>
      </c>
      <c r="X735" s="11" t="s">
        <v>42</v>
      </c>
      <c r="Y735" s="25" t="s">
        <v>2649</v>
      </c>
      <c r="AC735" s="12" t="s">
        <v>122</v>
      </c>
      <c r="AD735" s="25">
        <v>40339</v>
      </c>
      <c r="AH735" s="25" t="s">
        <v>122</v>
      </c>
    </row>
    <row r="736" spans="1:34">
      <c r="A736" s="1">
        <v>734</v>
      </c>
      <c r="B736" s="14">
        <v>40330</v>
      </c>
      <c r="C736" s="15">
        <v>40340</v>
      </c>
      <c r="E736" s="8" t="s">
        <v>2196</v>
      </c>
      <c r="G736" s="11" t="s">
        <v>37</v>
      </c>
      <c r="H736" s="1">
        <v>27</v>
      </c>
      <c r="I736" s="11" t="s">
        <v>2197</v>
      </c>
      <c r="J736" s="8" t="s">
        <v>2198</v>
      </c>
      <c r="L736" s="11" t="s">
        <v>24</v>
      </c>
      <c r="M736" s="15">
        <v>40340</v>
      </c>
      <c r="N736" s="1">
        <v>1</v>
      </c>
      <c r="O736" s="11" t="s">
        <v>40</v>
      </c>
      <c r="P736" s="11" t="s">
        <v>72</v>
      </c>
      <c r="Q736" s="11" t="s">
        <v>27</v>
      </c>
      <c r="R736" s="11" t="s">
        <v>42</v>
      </c>
      <c r="S736" s="15">
        <f t="shared" ca="1" si="25"/>
        <v>40470.53652858796</v>
      </c>
      <c r="T736" s="8">
        <f t="shared" ca="1" si="26"/>
        <v>4</v>
      </c>
      <c r="U736" s="11" t="s">
        <v>42</v>
      </c>
      <c r="V736" s="11" t="s">
        <v>42</v>
      </c>
      <c r="W736" s="11" t="s">
        <v>42</v>
      </c>
      <c r="X736" s="11" t="s">
        <v>42</v>
      </c>
      <c r="Y736" s="25" t="s">
        <v>2650</v>
      </c>
      <c r="AC736" s="12" t="s">
        <v>1416</v>
      </c>
      <c r="AH736" s="11" t="s">
        <v>1416</v>
      </c>
    </row>
    <row r="737" spans="1:34">
      <c r="A737" s="1">
        <v>735</v>
      </c>
      <c r="B737" s="14">
        <v>40330</v>
      </c>
      <c r="C737" s="15">
        <v>40343</v>
      </c>
      <c r="E737" s="8" t="s">
        <v>2199</v>
      </c>
      <c r="G737" s="11" t="s">
        <v>37</v>
      </c>
      <c r="H737" s="1">
        <v>32</v>
      </c>
      <c r="I737" s="11" t="s">
        <v>2200</v>
      </c>
      <c r="J737" s="8" t="s">
        <v>2201</v>
      </c>
      <c r="L737" s="11" t="s">
        <v>24</v>
      </c>
      <c r="M737" s="15">
        <v>40343</v>
      </c>
      <c r="N737" s="1">
        <v>1</v>
      </c>
      <c r="O737" s="11" t="s">
        <v>25</v>
      </c>
      <c r="Q737" s="11" t="s">
        <v>27</v>
      </c>
      <c r="R737" s="11" t="s">
        <v>28</v>
      </c>
      <c r="S737" s="15">
        <f t="shared" ca="1" si="25"/>
        <v>40470.53652858796</v>
      </c>
      <c r="T737" s="8">
        <f t="shared" ca="1" si="26"/>
        <v>4</v>
      </c>
      <c r="U737" s="25" t="s">
        <v>56</v>
      </c>
      <c r="V737" s="11" t="s">
        <v>42</v>
      </c>
      <c r="W737" s="11" t="s">
        <v>42</v>
      </c>
      <c r="X737" s="11" t="s">
        <v>42</v>
      </c>
      <c r="Y737" s="25" t="s">
        <v>2650</v>
      </c>
      <c r="AC737" s="12" t="s">
        <v>1416</v>
      </c>
      <c r="AH737" s="11" t="s">
        <v>1416</v>
      </c>
    </row>
    <row r="738" spans="1:34">
      <c r="A738" s="1">
        <v>736</v>
      </c>
      <c r="B738" s="14">
        <v>40330</v>
      </c>
      <c r="C738" s="15">
        <v>40345</v>
      </c>
      <c r="E738" s="8" t="s">
        <v>2202</v>
      </c>
      <c r="G738" s="11" t="s">
        <v>37</v>
      </c>
      <c r="H738" s="1">
        <v>45</v>
      </c>
      <c r="I738" s="11" t="s">
        <v>2203</v>
      </c>
      <c r="J738" s="8" t="s">
        <v>2204</v>
      </c>
      <c r="L738" s="11" t="s">
        <v>24</v>
      </c>
      <c r="M738" s="15">
        <v>40345</v>
      </c>
      <c r="N738" s="1">
        <v>1</v>
      </c>
      <c r="O738" s="11" t="s">
        <v>25</v>
      </c>
      <c r="Q738" s="11" t="s">
        <v>27</v>
      </c>
      <c r="R738" s="11" t="s">
        <v>65</v>
      </c>
      <c r="S738" s="15">
        <f t="shared" ca="1" si="25"/>
        <v>40470.53652858796</v>
      </c>
      <c r="T738" s="8">
        <f t="shared" ca="1" si="26"/>
        <v>4</v>
      </c>
      <c r="U738" s="25" t="s">
        <v>42</v>
      </c>
      <c r="V738" s="25" t="s">
        <v>56</v>
      </c>
      <c r="W738" s="25" t="s">
        <v>56</v>
      </c>
      <c r="X738" s="11" t="s">
        <v>42</v>
      </c>
      <c r="Y738" s="25" t="s">
        <v>2650</v>
      </c>
      <c r="AC738" s="12" t="s">
        <v>1416</v>
      </c>
      <c r="AH738" s="11" t="s">
        <v>1416</v>
      </c>
    </row>
    <row r="739" spans="1:34">
      <c r="A739" s="1">
        <v>737</v>
      </c>
      <c r="B739" s="14">
        <v>40330</v>
      </c>
      <c r="C739" s="15">
        <v>40345</v>
      </c>
      <c r="E739" s="8" t="s">
        <v>2205</v>
      </c>
      <c r="G739" s="11" t="s">
        <v>37</v>
      </c>
      <c r="H739" s="1">
        <v>45</v>
      </c>
      <c r="I739" s="11" t="s">
        <v>2206</v>
      </c>
      <c r="J739" s="8" t="s">
        <v>2207</v>
      </c>
      <c r="L739" s="11" t="s">
        <v>24</v>
      </c>
      <c r="M739" s="15">
        <v>40345</v>
      </c>
      <c r="N739" s="1">
        <v>1</v>
      </c>
      <c r="O739" s="11" t="s">
        <v>40</v>
      </c>
      <c r="P739" s="11" t="s">
        <v>2208</v>
      </c>
      <c r="Q739" s="11" t="s">
        <v>27</v>
      </c>
      <c r="R739" s="11" t="s">
        <v>42</v>
      </c>
      <c r="S739" s="15">
        <f t="shared" ca="1" si="25"/>
        <v>40470.53652858796</v>
      </c>
      <c r="T739" s="8">
        <f t="shared" ca="1" si="26"/>
        <v>4</v>
      </c>
      <c r="U739" s="11" t="s">
        <v>42</v>
      </c>
      <c r="V739" s="11" t="s">
        <v>42</v>
      </c>
      <c r="W739" s="11" t="s">
        <v>42</v>
      </c>
      <c r="X739" s="11" t="s">
        <v>42</v>
      </c>
      <c r="Y739" s="25" t="s">
        <v>2649</v>
      </c>
      <c r="AC739" s="12" t="s">
        <v>1416</v>
      </c>
      <c r="AH739" s="11" t="s">
        <v>1416</v>
      </c>
    </row>
    <row r="740" spans="1:34">
      <c r="A740" s="1">
        <v>738</v>
      </c>
      <c r="B740" s="14">
        <v>40330</v>
      </c>
      <c r="C740" s="15">
        <v>40346</v>
      </c>
      <c r="E740" s="8" t="s">
        <v>2209</v>
      </c>
      <c r="G740" s="11" t="s">
        <v>37</v>
      </c>
      <c r="H740" s="1">
        <v>19</v>
      </c>
      <c r="I740" s="11" t="s">
        <v>2210</v>
      </c>
      <c r="L740" s="11" t="s">
        <v>24</v>
      </c>
      <c r="M740" s="15">
        <v>40346</v>
      </c>
      <c r="N740" s="1">
        <v>2</v>
      </c>
      <c r="O740" s="11" t="s">
        <v>25</v>
      </c>
      <c r="Q740" s="11" t="s">
        <v>381</v>
      </c>
      <c r="R740" s="11" t="s">
        <v>60</v>
      </c>
      <c r="S740" s="15">
        <f t="shared" ca="1" si="25"/>
        <v>40470.53652858796</v>
      </c>
      <c r="T740" s="8">
        <f t="shared" ca="1" si="26"/>
        <v>4</v>
      </c>
      <c r="U740" s="25" t="s">
        <v>28</v>
      </c>
      <c r="V740" s="25" t="s">
        <v>28</v>
      </c>
      <c r="W740" s="25" t="s">
        <v>56</v>
      </c>
      <c r="X740" s="11" t="s">
        <v>42</v>
      </c>
      <c r="Y740" s="25" t="s">
        <v>2649</v>
      </c>
      <c r="AC740" s="12" t="s">
        <v>132</v>
      </c>
      <c r="AD740" s="25">
        <v>40381</v>
      </c>
      <c r="AH740" s="25" t="s">
        <v>132</v>
      </c>
    </row>
    <row r="741" spans="1:34">
      <c r="A741" s="1">
        <v>739</v>
      </c>
      <c r="B741" s="14">
        <v>40330</v>
      </c>
      <c r="C741" s="15">
        <v>40346</v>
      </c>
      <c r="E741" s="8" t="s">
        <v>2211</v>
      </c>
      <c r="G741" s="11" t="s">
        <v>37</v>
      </c>
      <c r="H741" s="1">
        <v>13</v>
      </c>
      <c r="I741" s="11" t="s">
        <v>2212</v>
      </c>
      <c r="L741" s="11" t="s">
        <v>24</v>
      </c>
      <c r="M741" s="15">
        <v>40346</v>
      </c>
      <c r="N741" s="1">
        <v>1</v>
      </c>
      <c r="O741" s="11" t="s">
        <v>40</v>
      </c>
      <c r="P741" s="11" t="s">
        <v>2208</v>
      </c>
      <c r="Q741" s="11" t="s">
        <v>27</v>
      </c>
      <c r="R741" s="11" t="s">
        <v>42</v>
      </c>
      <c r="S741" s="15">
        <f t="shared" ca="1" si="25"/>
        <v>40470.53652858796</v>
      </c>
      <c r="T741" s="8">
        <f t="shared" ca="1" si="26"/>
        <v>4</v>
      </c>
      <c r="U741" s="11" t="s">
        <v>42</v>
      </c>
      <c r="V741" s="11" t="s">
        <v>42</v>
      </c>
      <c r="W741" s="11" t="s">
        <v>42</v>
      </c>
      <c r="X741" s="11" t="s">
        <v>42</v>
      </c>
      <c r="Y741" s="25" t="s">
        <v>2650</v>
      </c>
      <c r="AC741" s="12" t="s">
        <v>1416</v>
      </c>
      <c r="AH741" s="11" t="s">
        <v>1416</v>
      </c>
    </row>
    <row r="742" spans="1:34">
      <c r="A742" s="1">
        <v>740</v>
      </c>
      <c r="B742" s="14">
        <v>40330</v>
      </c>
      <c r="C742" s="15">
        <v>40350</v>
      </c>
      <c r="E742" s="8" t="s">
        <v>2213</v>
      </c>
      <c r="G742" s="11" t="s">
        <v>37</v>
      </c>
      <c r="H742" s="1">
        <v>20</v>
      </c>
      <c r="I742" s="11" t="s">
        <v>2249</v>
      </c>
      <c r="J742" s="8" t="s">
        <v>2250</v>
      </c>
      <c r="L742" s="11" t="s">
        <v>24</v>
      </c>
      <c r="M742" s="15">
        <v>40350</v>
      </c>
      <c r="N742" s="1">
        <v>1</v>
      </c>
      <c r="O742" s="11" t="s">
        <v>40</v>
      </c>
      <c r="P742" s="11" t="s">
        <v>2251</v>
      </c>
      <c r="Q742" s="11" t="s">
        <v>27</v>
      </c>
      <c r="R742" s="11" t="s">
        <v>56</v>
      </c>
      <c r="S742" s="15">
        <f t="shared" ca="1" si="25"/>
        <v>40470.53652858796</v>
      </c>
      <c r="T742" s="8">
        <f t="shared" ca="1" si="26"/>
        <v>4</v>
      </c>
      <c r="U742" s="11" t="s">
        <v>42</v>
      </c>
      <c r="V742" s="11" t="s">
        <v>42</v>
      </c>
      <c r="W742" s="11" t="s">
        <v>42</v>
      </c>
      <c r="X742" s="11" t="s">
        <v>42</v>
      </c>
      <c r="Y742" s="25" t="s">
        <v>2650</v>
      </c>
      <c r="AC742" s="12" t="s">
        <v>1416</v>
      </c>
      <c r="AH742" s="11" t="s">
        <v>1416</v>
      </c>
    </row>
    <row r="743" spans="1:34">
      <c r="A743" s="1">
        <v>741</v>
      </c>
      <c r="B743" s="14">
        <v>40330</v>
      </c>
      <c r="C743" s="15">
        <v>40350</v>
      </c>
      <c r="E743" s="8" t="s">
        <v>2252</v>
      </c>
      <c r="G743" s="11" t="s">
        <v>20</v>
      </c>
      <c r="H743" s="1">
        <v>23</v>
      </c>
      <c r="I743" s="11" t="s">
        <v>2253</v>
      </c>
      <c r="J743" s="8" t="s">
        <v>2254</v>
      </c>
      <c r="L743" s="11" t="s">
        <v>24</v>
      </c>
      <c r="M743" s="15">
        <v>40350</v>
      </c>
      <c r="N743" s="1">
        <v>1</v>
      </c>
      <c r="O743" s="11" t="s">
        <v>25</v>
      </c>
      <c r="Q743" s="11" t="s">
        <v>27</v>
      </c>
      <c r="R743" s="11" t="s">
        <v>28</v>
      </c>
      <c r="S743" s="15">
        <f t="shared" ca="1" si="25"/>
        <v>40470.53652858796</v>
      </c>
      <c r="T743" s="8">
        <f t="shared" ca="1" si="26"/>
        <v>4</v>
      </c>
      <c r="U743" s="25" t="s">
        <v>56</v>
      </c>
      <c r="V743" s="11" t="s">
        <v>42</v>
      </c>
      <c r="W743" s="11" t="s">
        <v>42</v>
      </c>
      <c r="X743" s="11" t="s">
        <v>42</v>
      </c>
      <c r="Y743" s="25" t="s">
        <v>2650</v>
      </c>
      <c r="AC743" s="12" t="s">
        <v>1416</v>
      </c>
      <c r="AH743" s="11" t="s">
        <v>1416</v>
      </c>
    </row>
    <row r="744" spans="1:34">
      <c r="A744" s="1">
        <v>742</v>
      </c>
      <c r="B744" s="14">
        <v>40330</v>
      </c>
      <c r="C744" s="15">
        <v>40350</v>
      </c>
      <c r="E744" s="8" t="s">
        <v>2255</v>
      </c>
      <c r="G744" s="11" t="s">
        <v>37</v>
      </c>
      <c r="H744" s="1">
        <v>42</v>
      </c>
      <c r="I744" s="11" t="s">
        <v>2256</v>
      </c>
      <c r="J744" s="8" t="s">
        <v>2257</v>
      </c>
      <c r="L744" s="11" t="s">
        <v>24</v>
      </c>
      <c r="M744" s="15">
        <v>40350</v>
      </c>
      <c r="N744" s="1">
        <v>1</v>
      </c>
      <c r="O744" s="11" t="s">
        <v>25</v>
      </c>
      <c r="Q744" s="11" t="s">
        <v>27</v>
      </c>
      <c r="R744" s="11" t="s">
        <v>2258</v>
      </c>
      <c r="S744" s="15">
        <f t="shared" ca="1" si="25"/>
        <v>40470.53652858796</v>
      </c>
      <c r="T744" s="8">
        <f t="shared" ca="1" si="26"/>
        <v>4</v>
      </c>
      <c r="U744" s="11" t="s">
        <v>42</v>
      </c>
      <c r="V744" s="11" t="s">
        <v>42</v>
      </c>
      <c r="W744" s="11" t="s">
        <v>42</v>
      </c>
      <c r="X744" s="11" t="s">
        <v>42</v>
      </c>
      <c r="Y744" s="25" t="s">
        <v>2649</v>
      </c>
      <c r="AC744" s="12" t="s">
        <v>1416</v>
      </c>
      <c r="AH744" s="11" t="s">
        <v>1416</v>
      </c>
    </row>
    <row r="745" spans="1:34">
      <c r="A745" s="1">
        <v>743</v>
      </c>
      <c r="B745" s="14">
        <v>40330</v>
      </c>
      <c r="C745" s="15">
        <v>40351</v>
      </c>
      <c r="E745" s="8" t="s">
        <v>2259</v>
      </c>
      <c r="G745" s="11" t="s">
        <v>20</v>
      </c>
      <c r="H745" s="1">
        <v>42</v>
      </c>
      <c r="I745" s="11" t="s">
        <v>2260</v>
      </c>
      <c r="J745" s="8" t="s">
        <v>2261</v>
      </c>
      <c r="L745" s="11" t="s">
        <v>24</v>
      </c>
      <c r="M745" s="15">
        <v>40351</v>
      </c>
      <c r="N745" s="1">
        <v>1</v>
      </c>
      <c r="O745" s="11" t="s">
        <v>25</v>
      </c>
      <c r="Q745" s="11" t="s">
        <v>27</v>
      </c>
      <c r="R745" s="25" t="s">
        <v>60</v>
      </c>
      <c r="S745" s="15">
        <f t="shared" ca="1" si="25"/>
        <v>40470.53652858796</v>
      </c>
      <c r="T745" s="8">
        <f t="shared" ca="1" si="26"/>
        <v>4</v>
      </c>
      <c r="U745" s="25" t="s">
        <v>56</v>
      </c>
      <c r="Y745" s="25" t="s">
        <v>2650</v>
      </c>
      <c r="AC745" s="12" t="s">
        <v>1416</v>
      </c>
      <c r="AH745" s="11" t="s">
        <v>1416</v>
      </c>
    </row>
    <row r="746" spans="1:34">
      <c r="A746" s="1">
        <v>744</v>
      </c>
      <c r="B746" s="14">
        <v>40330</v>
      </c>
      <c r="C746" s="15">
        <v>40351</v>
      </c>
      <c r="E746" s="8" t="s">
        <v>2262</v>
      </c>
      <c r="G746" s="11" t="s">
        <v>37</v>
      </c>
      <c r="H746" s="1">
        <v>15</v>
      </c>
      <c r="I746" s="11" t="s">
        <v>2263</v>
      </c>
      <c r="J746" s="8" t="s">
        <v>2264</v>
      </c>
      <c r="L746" s="11" t="s">
        <v>24</v>
      </c>
      <c r="M746" s="15">
        <v>40351</v>
      </c>
      <c r="N746" s="1">
        <v>1</v>
      </c>
      <c r="O746" s="11" t="s">
        <v>40</v>
      </c>
      <c r="P746" s="11" t="s">
        <v>2251</v>
      </c>
      <c r="Q746" s="11" t="s">
        <v>27</v>
      </c>
      <c r="R746" s="11" t="s">
        <v>42</v>
      </c>
      <c r="S746" s="15">
        <f t="shared" ca="1" si="25"/>
        <v>40470.53652858796</v>
      </c>
      <c r="T746" s="8">
        <f t="shared" ca="1" si="26"/>
        <v>4</v>
      </c>
      <c r="U746" s="11" t="s">
        <v>42</v>
      </c>
      <c r="V746" s="11" t="s">
        <v>42</v>
      </c>
      <c r="W746" s="11" t="s">
        <v>42</v>
      </c>
      <c r="X746" s="11" t="s">
        <v>42</v>
      </c>
      <c r="Y746" s="25" t="s">
        <v>2650</v>
      </c>
      <c r="AC746" s="12" t="s">
        <v>1416</v>
      </c>
      <c r="AH746" s="11" t="s">
        <v>1416</v>
      </c>
    </row>
    <row r="747" spans="1:34">
      <c r="A747" s="1">
        <v>745</v>
      </c>
      <c r="B747" s="14">
        <v>40330</v>
      </c>
      <c r="C747" s="15">
        <v>40351</v>
      </c>
      <c r="E747" s="8" t="s">
        <v>2265</v>
      </c>
      <c r="G747" s="11" t="s">
        <v>37</v>
      </c>
      <c r="H747" s="1">
        <v>60</v>
      </c>
      <c r="I747" s="11" t="s">
        <v>2266</v>
      </c>
      <c r="J747" s="8" t="s">
        <v>2267</v>
      </c>
      <c r="L747" s="11" t="s">
        <v>24</v>
      </c>
      <c r="M747" s="15">
        <v>40351</v>
      </c>
      <c r="N747" s="1">
        <v>1</v>
      </c>
      <c r="O747" s="11" t="s">
        <v>25</v>
      </c>
      <c r="Q747" s="11" t="s">
        <v>27</v>
      </c>
      <c r="R747" s="11" t="s">
        <v>60</v>
      </c>
      <c r="S747" s="15">
        <f t="shared" ca="1" si="25"/>
        <v>40470.53652858796</v>
      </c>
      <c r="T747" s="8">
        <f t="shared" ca="1" si="26"/>
        <v>4</v>
      </c>
      <c r="U747" s="25" t="s">
        <v>56</v>
      </c>
      <c r="V747" s="11" t="s">
        <v>42</v>
      </c>
      <c r="W747" s="11" t="s">
        <v>42</v>
      </c>
      <c r="X747" s="11" t="s">
        <v>42</v>
      </c>
      <c r="AC747" s="12" t="s">
        <v>2519</v>
      </c>
      <c r="AD747" s="25">
        <v>40374</v>
      </c>
      <c r="AH747" s="25" t="s">
        <v>158</v>
      </c>
    </row>
    <row r="748" spans="1:34">
      <c r="A748" s="1">
        <v>746</v>
      </c>
      <c r="B748" s="14">
        <v>40330</v>
      </c>
      <c r="C748" s="15">
        <v>40352</v>
      </c>
      <c r="E748" s="8" t="s">
        <v>2268</v>
      </c>
      <c r="G748" s="11" t="s">
        <v>37</v>
      </c>
      <c r="H748" s="1">
        <v>30</v>
      </c>
      <c r="I748" s="11" t="s">
        <v>2269</v>
      </c>
      <c r="J748" s="8" t="s">
        <v>2270</v>
      </c>
      <c r="L748" s="11" t="s">
        <v>24</v>
      </c>
      <c r="M748" s="15">
        <v>40352</v>
      </c>
      <c r="N748" s="1">
        <v>2</v>
      </c>
      <c r="O748" s="11" t="s">
        <v>25</v>
      </c>
      <c r="Q748" s="11" t="s">
        <v>381</v>
      </c>
      <c r="R748" s="25" t="s">
        <v>2731</v>
      </c>
      <c r="S748" s="15">
        <f t="shared" ca="1" si="25"/>
        <v>40470.53652858796</v>
      </c>
      <c r="T748" s="8">
        <f t="shared" ca="1" si="26"/>
        <v>4</v>
      </c>
      <c r="U748" s="11" t="s">
        <v>42</v>
      </c>
      <c r="V748" s="11" t="s">
        <v>42</v>
      </c>
      <c r="W748" s="11" t="s">
        <v>42</v>
      </c>
      <c r="X748" s="11" t="s">
        <v>42</v>
      </c>
      <c r="Y748" s="25" t="s">
        <v>2649</v>
      </c>
      <c r="AC748" s="12" t="s">
        <v>1416</v>
      </c>
      <c r="AH748" s="11" t="s">
        <v>1416</v>
      </c>
    </row>
    <row r="749" spans="1:34">
      <c r="A749" s="1">
        <v>747</v>
      </c>
      <c r="B749" s="14">
        <v>40330</v>
      </c>
      <c r="C749" s="15">
        <v>40353</v>
      </c>
      <c r="E749" s="8" t="s">
        <v>2271</v>
      </c>
      <c r="G749" s="11" t="s">
        <v>37</v>
      </c>
      <c r="H749" s="1">
        <v>35</v>
      </c>
      <c r="I749" s="11" t="s">
        <v>2272</v>
      </c>
      <c r="J749" s="8" t="s">
        <v>2273</v>
      </c>
      <c r="L749" s="11" t="s">
        <v>24</v>
      </c>
      <c r="M749" s="15">
        <v>40353</v>
      </c>
      <c r="N749" s="1">
        <v>2</v>
      </c>
      <c r="O749" s="11" t="s">
        <v>40</v>
      </c>
      <c r="P749" s="11" t="s">
        <v>2096</v>
      </c>
      <c r="Q749" s="11" t="s">
        <v>27</v>
      </c>
      <c r="R749" s="25" t="s">
        <v>56</v>
      </c>
      <c r="S749" s="15">
        <f t="shared" ca="1" si="25"/>
        <v>40470.53652858796</v>
      </c>
      <c r="T749" s="8">
        <f t="shared" ca="1" si="26"/>
        <v>4</v>
      </c>
      <c r="U749" s="11" t="s">
        <v>42</v>
      </c>
      <c r="V749" s="11" t="s">
        <v>42</v>
      </c>
      <c r="W749" s="11" t="s">
        <v>42</v>
      </c>
      <c r="X749" s="11" t="s">
        <v>42</v>
      </c>
      <c r="AC749" s="12" t="s">
        <v>2519</v>
      </c>
      <c r="AD749" s="25">
        <v>40379</v>
      </c>
      <c r="AH749" s="25" t="s">
        <v>158</v>
      </c>
    </row>
    <row r="750" spans="1:34">
      <c r="A750" s="1">
        <v>748</v>
      </c>
      <c r="B750" s="14">
        <v>40330</v>
      </c>
      <c r="C750" s="15">
        <v>40354</v>
      </c>
      <c r="E750" s="8" t="s">
        <v>2274</v>
      </c>
      <c r="G750" s="11" t="s">
        <v>20</v>
      </c>
      <c r="H750" s="1">
        <v>18</v>
      </c>
      <c r="I750" s="11" t="s">
        <v>2275</v>
      </c>
      <c r="L750" s="11" t="s">
        <v>24</v>
      </c>
      <c r="M750" s="15">
        <v>40354</v>
      </c>
      <c r="N750" s="1">
        <v>1</v>
      </c>
      <c r="O750" s="11" t="s">
        <v>40</v>
      </c>
      <c r="P750" s="11" t="s">
        <v>109</v>
      </c>
      <c r="Q750" s="11" t="s">
        <v>27</v>
      </c>
      <c r="R750" s="11" t="s">
        <v>42</v>
      </c>
      <c r="S750" s="15">
        <f t="shared" ca="1" si="25"/>
        <v>40470.53652858796</v>
      </c>
      <c r="T750" s="8">
        <f t="shared" ca="1" si="26"/>
        <v>4</v>
      </c>
      <c r="U750" s="11" t="s">
        <v>42</v>
      </c>
      <c r="V750" s="11" t="s">
        <v>42</v>
      </c>
      <c r="W750" s="11" t="s">
        <v>42</v>
      </c>
      <c r="X750" s="11" t="s">
        <v>42</v>
      </c>
      <c r="Y750" s="25" t="s">
        <v>2649</v>
      </c>
      <c r="AC750" s="12" t="s">
        <v>1416</v>
      </c>
      <c r="AH750" s="11" t="s">
        <v>1416</v>
      </c>
    </row>
    <row r="751" spans="1:34">
      <c r="A751" s="1">
        <v>749</v>
      </c>
      <c r="B751" s="14">
        <v>40330</v>
      </c>
      <c r="C751" s="15">
        <v>40358</v>
      </c>
      <c r="E751" s="8" t="s">
        <v>2276</v>
      </c>
      <c r="G751" s="11" t="s">
        <v>37</v>
      </c>
      <c r="H751" s="1">
        <v>44</v>
      </c>
      <c r="I751" s="11" t="s">
        <v>2277</v>
      </c>
      <c r="J751" s="8" t="s">
        <v>2278</v>
      </c>
      <c r="L751" s="11" t="s">
        <v>24</v>
      </c>
      <c r="M751" s="15">
        <v>40358</v>
      </c>
      <c r="N751" s="1">
        <v>1</v>
      </c>
      <c r="O751" s="11" t="s">
        <v>40</v>
      </c>
      <c r="P751" s="11" t="s">
        <v>72</v>
      </c>
      <c r="Q751" s="11" t="s">
        <v>27</v>
      </c>
      <c r="R751" s="25" t="s">
        <v>2729</v>
      </c>
      <c r="S751" s="15">
        <f t="shared" ca="1" si="25"/>
        <v>40470.53652858796</v>
      </c>
      <c r="T751" s="8">
        <f t="shared" ca="1" si="26"/>
        <v>4</v>
      </c>
      <c r="U751" s="11" t="s">
        <v>42</v>
      </c>
      <c r="V751" s="11" t="s">
        <v>42</v>
      </c>
      <c r="W751" s="11" t="s">
        <v>42</v>
      </c>
      <c r="X751" s="11" t="s">
        <v>42</v>
      </c>
      <c r="Y751" s="25" t="s">
        <v>2649</v>
      </c>
      <c r="AC751" s="12" t="s">
        <v>1416</v>
      </c>
      <c r="AH751" s="11" t="s">
        <v>1416</v>
      </c>
    </row>
    <row r="752" spans="1:34">
      <c r="A752" s="1">
        <v>750</v>
      </c>
      <c r="B752" s="14">
        <v>40360</v>
      </c>
      <c r="C752" s="15">
        <v>40364</v>
      </c>
      <c r="E752" s="8" t="s">
        <v>2279</v>
      </c>
      <c r="G752" s="11" t="s">
        <v>37</v>
      </c>
      <c r="H752" s="1">
        <v>9</v>
      </c>
      <c r="I752" s="11" t="s">
        <v>2280</v>
      </c>
      <c r="L752" s="11" t="s">
        <v>24</v>
      </c>
      <c r="M752" s="15">
        <v>40364</v>
      </c>
      <c r="N752" s="1">
        <v>1</v>
      </c>
      <c r="O752" s="11" t="s">
        <v>40</v>
      </c>
      <c r="P752" s="11" t="s">
        <v>72</v>
      </c>
      <c r="Q752" s="11" t="s">
        <v>27</v>
      </c>
      <c r="R752" s="25" t="s">
        <v>2729</v>
      </c>
      <c r="S752" s="15">
        <f t="shared" ca="1" si="25"/>
        <v>40470.53652858796</v>
      </c>
      <c r="T752" s="8">
        <f t="shared" ca="1" si="26"/>
        <v>3</v>
      </c>
      <c r="U752" s="11" t="s">
        <v>42</v>
      </c>
      <c r="V752" s="11" t="s">
        <v>42</v>
      </c>
      <c r="W752" s="11" t="s">
        <v>42</v>
      </c>
      <c r="X752" s="11" t="s">
        <v>42</v>
      </c>
      <c r="Y752" s="25" t="s">
        <v>2649</v>
      </c>
      <c r="AC752" s="12" t="s">
        <v>1416</v>
      </c>
      <c r="AH752" s="11" t="s">
        <v>1416</v>
      </c>
    </row>
    <row r="753" spans="1:34">
      <c r="A753" s="1">
        <v>751</v>
      </c>
      <c r="B753" s="14">
        <v>40380</v>
      </c>
      <c r="C753" s="15">
        <v>40364</v>
      </c>
      <c r="D753" s="13"/>
      <c r="E753" s="8" t="s">
        <v>2279</v>
      </c>
      <c r="F753" s="13"/>
      <c r="G753" s="11" t="s">
        <v>37</v>
      </c>
      <c r="H753" s="1">
        <v>9</v>
      </c>
      <c r="I753" s="11" t="s">
        <v>2281</v>
      </c>
      <c r="L753" s="11" t="s">
        <v>2282</v>
      </c>
      <c r="M753" s="15">
        <v>40364</v>
      </c>
      <c r="N753" s="1">
        <v>1</v>
      </c>
      <c r="O753" s="11" t="s">
        <v>40</v>
      </c>
      <c r="P753" s="11" t="s">
        <v>2096</v>
      </c>
      <c r="Q753" s="11" t="s">
        <v>27</v>
      </c>
      <c r="R753" s="25" t="s">
        <v>2729</v>
      </c>
      <c r="S753" s="15">
        <f t="shared" ca="1" si="25"/>
        <v>40470.53652858796</v>
      </c>
      <c r="T753" s="8">
        <f t="shared" ca="1" si="26"/>
        <v>3</v>
      </c>
      <c r="U753" s="25" t="s">
        <v>42</v>
      </c>
      <c r="V753" s="25" t="s">
        <v>42</v>
      </c>
      <c r="W753" s="25" t="s">
        <v>42</v>
      </c>
      <c r="X753" s="25" t="s">
        <v>42</v>
      </c>
      <c r="Y753" s="19" t="s">
        <v>2649</v>
      </c>
      <c r="AA753" s="11"/>
      <c r="AC753" s="39" t="s">
        <v>2283</v>
      </c>
      <c r="AF753" s="13"/>
      <c r="AG753" s="13"/>
      <c r="AH753" s="11" t="s">
        <v>1416</v>
      </c>
    </row>
    <row r="754" spans="1:34">
      <c r="A754" s="1">
        <v>752</v>
      </c>
      <c r="B754" s="14">
        <v>40369</v>
      </c>
      <c r="C754" s="15">
        <v>40365</v>
      </c>
      <c r="D754" s="13"/>
      <c r="E754" s="8" t="s">
        <v>2284</v>
      </c>
      <c r="F754" s="13"/>
      <c r="G754" s="11" t="s">
        <v>37</v>
      </c>
      <c r="H754" s="1">
        <v>50</v>
      </c>
      <c r="I754" s="11" t="s">
        <v>2285</v>
      </c>
      <c r="L754" s="11" t="s">
        <v>2282</v>
      </c>
      <c r="M754" s="15">
        <v>40365</v>
      </c>
      <c r="N754" s="1">
        <v>2</v>
      </c>
      <c r="O754" s="11" t="s">
        <v>25</v>
      </c>
      <c r="Q754" s="11" t="s">
        <v>122</v>
      </c>
      <c r="R754" s="11" t="s">
        <v>60</v>
      </c>
      <c r="S754" s="15">
        <f t="shared" ca="1" si="25"/>
        <v>40470.53652858796</v>
      </c>
      <c r="T754" s="8">
        <f t="shared" ca="1" si="26"/>
        <v>3</v>
      </c>
      <c r="U754" s="25"/>
      <c r="Y754" s="19" t="s">
        <v>2649</v>
      </c>
      <c r="AA754" s="11"/>
      <c r="AC754" s="39" t="s">
        <v>2733</v>
      </c>
      <c r="AD754" s="25">
        <v>40435</v>
      </c>
      <c r="AF754" s="13"/>
      <c r="AG754" s="13"/>
      <c r="AH754" s="25" t="s">
        <v>2733</v>
      </c>
    </row>
    <row r="755" spans="1:34">
      <c r="A755" s="1">
        <v>753</v>
      </c>
      <c r="B755" s="14">
        <v>40339</v>
      </c>
      <c r="C755" s="15">
        <v>40358</v>
      </c>
      <c r="D755" s="13"/>
      <c r="E755" s="8" t="s">
        <v>2286</v>
      </c>
      <c r="F755" s="13"/>
      <c r="G755" s="11" t="s">
        <v>37</v>
      </c>
      <c r="H755" s="1">
        <v>36</v>
      </c>
      <c r="I755" s="11" t="s">
        <v>2287</v>
      </c>
      <c r="J755" s="8" t="s">
        <v>2288</v>
      </c>
      <c r="L755" s="11" t="s">
        <v>2282</v>
      </c>
      <c r="M755" s="15">
        <v>40358</v>
      </c>
      <c r="N755" s="1">
        <v>2</v>
      </c>
      <c r="O755" s="11" t="s">
        <v>40</v>
      </c>
      <c r="P755" s="11" t="s">
        <v>2096</v>
      </c>
      <c r="Q755" s="11" t="s">
        <v>2289</v>
      </c>
      <c r="R755" s="25" t="s">
        <v>2731</v>
      </c>
      <c r="S755" s="15">
        <f t="shared" ca="1" si="25"/>
        <v>40470.53652858796</v>
      </c>
      <c r="T755" s="8">
        <f t="shared" ca="1" si="26"/>
        <v>4</v>
      </c>
      <c r="U755" s="25" t="s">
        <v>42</v>
      </c>
      <c r="V755" s="25" t="s">
        <v>42</v>
      </c>
      <c r="W755" s="25" t="s">
        <v>42</v>
      </c>
      <c r="X755" s="25" t="s">
        <v>42</v>
      </c>
      <c r="Y755" s="19" t="s">
        <v>2649</v>
      </c>
      <c r="AA755" s="11"/>
      <c r="AC755" s="39" t="s">
        <v>2283</v>
      </c>
      <c r="AF755" s="13"/>
      <c r="AG755" s="13"/>
      <c r="AH755" s="11" t="s">
        <v>1416</v>
      </c>
    </row>
    <row r="756" spans="1:34">
      <c r="A756" s="1">
        <v>754</v>
      </c>
      <c r="B756" s="14">
        <v>40339</v>
      </c>
      <c r="C756" s="15">
        <v>40358</v>
      </c>
      <c r="D756" s="13"/>
      <c r="E756" s="8" t="s">
        <v>2290</v>
      </c>
      <c r="F756" s="13"/>
      <c r="G756" s="11" t="s">
        <v>20</v>
      </c>
      <c r="H756" s="1">
        <v>15</v>
      </c>
      <c r="I756" s="11" t="s">
        <v>2291</v>
      </c>
      <c r="J756" s="8" t="s">
        <v>2292</v>
      </c>
      <c r="L756" s="11" t="s">
        <v>2282</v>
      </c>
      <c r="M756" s="15">
        <v>40358</v>
      </c>
      <c r="N756" s="1">
        <v>2</v>
      </c>
      <c r="O756" s="11" t="s">
        <v>40</v>
      </c>
      <c r="P756" s="11" t="s">
        <v>2208</v>
      </c>
      <c r="Q756" s="11" t="s">
        <v>122</v>
      </c>
      <c r="R756" s="25" t="s">
        <v>56</v>
      </c>
      <c r="S756" s="15">
        <f t="shared" ca="1" si="25"/>
        <v>40470.53652858796</v>
      </c>
      <c r="T756" s="8">
        <f t="shared" ca="1" si="26"/>
        <v>4</v>
      </c>
      <c r="U756" s="25" t="s">
        <v>42</v>
      </c>
      <c r="V756" s="25" t="s">
        <v>42</v>
      </c>
      <c r="W756" s="25" t="s">
        <v>42</v>
      </c>
      <c r="X756" s="25" t="s">
        <v>42</v>
      </c>
      <c r="Y756" s="19" t="s">
        <v>2649</v>
      </c>
      <c r="AA756" s="11"/>
      <c r="AC756" s="39" t="s">
        <v>2283</v>
      </c>
      <c r="AF756" s="13"/>
      <c r="AG756" s="13"/>
      <c r="AH756" s="11" t="s">
        <v>1416</v>
      </c>
    </row>
    <row r="757" spans="1:34">
      <c r="A757" s="1">
        <v>755</v>
      </c>
      <c r="B757" s="14">
        <v>40339</v>
      </c>
      <c r="C757" s="15">
        <v>40358</v>
      </c>
      <c r="D757" s="13"/>
      <c r="E757" s="8" t="s">
        <v>2293</v>
      </c>
      <c r="F757" s="13"/>
      <c r="G757" s="11" t="s">
        <v>37</v>
      </c>
      <c r="H757" s="1">
        <v>45</v>
      </c>
      <c r="I757" s="11" t="s">
        <v>2294</v>
      </c>
      <c r="J757" s="8" t="s">
        <v>2295</v>
      </c>
      <c r="L757" s="11" t="s">
        <v>2282</v>
      </c>
      <c r="M757" s="15">
        <v>40358</v>
      </c>
      <c r="N757" s="1">
        <v>1</v>
      </c>
      <c r="O757" s="11" t="s">
        <v>40</v>
      </c>
      <c r="P757" s="11" t="s">
        <v>2096</v>
      </c>
      <c r="Q757" s="11" t="s">
        <v>27</v>
      </c>
      <c r="R757" s="25" t="s">
        <v>2729</v>
      </c>
      <c r="S757" s="15">
        <f t="shared" ca="1" si="25"/>
        <v>40470.53652858796</v>
      </c>
      <c r="T757" s="8">
        <f t="shared" ca="1" si="26"/>
        <v>4</v>
      </c>
      <c r="U757" s="25" t="s">
        <v>42</v>
      </c>
      <c r="V757" s="25" t="s">
        <v>42</v>
      </c>
      <c r="W757" s="25" t="s">
        <v>42</v>
      </c>
      <c r="X757" s="25" t="s">
        <v>42</v>
      </c>
      <c r="Y757" s="19" t="s">
        <v>2649</v>
      </c>
      <c r="AA757" s="11"/>
      <c r="AC757" s="39" t="s">
        <v>2289</v>
      </c>
      <c r="AD757" s="25">
        <v>40423</v>
      </c>
      <c r="AF757" s="13"/>
      <c r="AG757" s="13"/>
      <c r="AH757" s="25" t="s">
        <v>2289</v>
      </c>
    </row>
    <row r="758" spans="1:34">
      <c r="A758" s="1">
        <v>756</v>
      </c>
      <c r="B758" s="14">
        <v>40360</v>
      </c>
      <c r="C758" s="15">
        <v>40361</v>
      </c>
      <c r="D758" s="13"/>
      <c r="E758" s="8" t="s">
        <v>2296</v>
      </c>
      <c r="F758" s="13"/>
      <c r="G758" s="11" t="s">
        <v>20</v>
      </c>
      <c r="H758" s="1">
        <v>12</v>
      </c>
      <c r="I758" s="11" t="s">
        <v>2297</v>
      </c>
      <c r="J758" s="8" t="s">
        <v>2298</v>
      </c>
      <c r="L758" s="11" t="s">
        <v>2282</v>
      </c>
      <c r="M758" s="15">
        <v>40361</v>
      </c>
      <c r="N758" s="1">
        <v>1</v>
      </c>
      <c r="O758" s="11" t="s">
        <v>25</v>
      </c>
      <c r="Q758" s="11" t="s">
        <v>27</v>
      </c>
      <c r="R758" s="11" t="s">
        <v>56</v>
      </c>
      <c r="S758" s="15">
        <f t="shared" ca="1" si="25"/>
        <v>40470.53652858796</v>
      </c>
      <c r="T758" s="8">
        <f t="shared" ca="1" si="26"/>
        <v>3</v>
      </c>
      <c r="U758" s="25" t="s">
        <v>42</v>
      </c>
      <c r="V758" s="25" t="s">
        <v>42</v>
      </c>
      <c r="Y758" s="19" t="s">
        <v>2649</v>
      </c>
      <c r="AA758" s="11"/>
      <c r="AC758" s="39" t="s">
        <v>2283</v>
      </c>
      <c r="AF758" s="13"/>
      <c r="AG758" s="13"/>
      <c r="AH758" s="11" t="s">
        <v>1416</v>
      </c>
    </row>
    <row r="759" spans="1:34">
      <c r="A759" s="1">
        <v>757</v>
      </c>
      <c r="B759" s="14">
        <v>40380</v>
      </c>
      <c r="C759" s="15">
        <v>40365</v>
      </c>
      <c r="D759" s="13"/>
      <c r="E759" s="8" t="s">
        <v>2299</v>
      </c>
      <c r="F759" s="13"/>
      <c r="G759" s="11" t="s">
        <v>37</v>
      </c>
      <c r="H759" s="1">
        <v>50</v>
      </c>
      <c r="I759" s="11" t="s">
        <v>2300</v>
      </c>
      <c r="L759" s="11" t="s">
        <v>2282</v>
      </c>
      <c r="M759" s="15">
        <v>40365</v>
      </c>
      <c r="N759" s="1">
        <v>1</v>
      </c>
      <c r="O759" s="11" t="s">
        <v>25</v>
      </c>
      <c r="Q759" s="11" t="s">
        <v>27</v>
      </c>
      <c r="R759" s="11" t="s">
        <v>60</v>
      </c>
      <c r="S759" s="15">
        <f t="shared" ca="1" si="25"/>
        <v>40470.53652858796</v>
      </c>
      <c r="T759" s="8">
        <f t="shared" ca="1" si="26"/>
        <v>3</v>
      </c>
      <c r="U759" s="25" t="s">
        <v>65</v>
      </c>
      <c r="V759" s="25" t="s">
        <v>28</v>
      </c>
      <c r="Y759" s="19" t="s">
        <v>2649</v>
      </c>
      <c r="AA759" s="11"/>
      <c r="AC759" s="39" t="s">
        <v>2283</v>
      </c>
      <c r="AF759" s="13"/>
      <c r="AG759" s="13"/>
      <c r="AH759" s="11" t="s">
        <v>1416</v>
      </c>
    </row>
    <row r="760" spans="1:34">
      <c r="A760" s="1">
        <v>758</v>
      </c>
      <c r="B760" s="14">
        <v>40369</v>
      </c>
      <c r="C760" s="15">
        <v>40366</v>
      </c>
      <c r="D760" s="13"/>
      <c r="E760" s="8" t="s">
        <v>2301</v>
      </c>
      <c r="F760" s="13"/>
      <c r="G760" s="11" t="s">
        <v>37</v>
      </c>
      <c r="H760" s="1">
        <v>15</v>
      </c>
      <c r="I760" s="11" t="s">
        <v>2302</v>
      </c>
      <c r="J760" s="8" t="s">
        <v>2303</v>
      </c>
      <c r="L760" s="11" t="s">
        <v>2282</v>
      </c>
      <c r="M760" s="15">
        <v>40366</v>
      </c>
      <c r="N760" s="1">
        <v>1</v>
      </c>
      <c r="O760" s="11" t="s">
        <v>25</v>
      </c>
      <c r="Q760" s="11" t="s">
        <v>27</v>
      </c>
      <c r="R760" s="25" t="s">
        <v>60</v>
      </c>
      <c r="S760" s="15">
        <f t="shared" ca="1" si="25"/>
        <v>40470.53652858796</v>
      </c>
      <c r="T760" s="8">
        <f t="shared" ca="1" si="26"/>
        <v>3</v>
      </c>
      <c r="Y760" s="19" t="s">
        <v>2649</v>
      </c>
      <c r="AA760" s="11"/>
      <c r="AC760" s="39" t="s">
        <v>2283</v>
      </c>
      <c r="AF760" s="13"/>
      <c r="AG760" s="13"/>
      <c r="AH760" s="11" t="s">
        <v>1416</v>
      </c>
    </row>
    <row r="761" spans="1:34">
      <c r="A761" s="1">
        <v>759</v>
      </c>
      <c r="B761" s="14">
        <v>40360</v>
      </c>
      <c r="C761" s="15">
        <v>40366</v>
      </c>
      <c r="D761" s="13"/>
      <c r="E761" s="8" t="s">
        <v>2304</v>
      </c>
      <c r="F761" s="13"/>
      <c r="G761" s="11" t="s">
        <v>20</v>
      </c>
      <c r="H761" s="1">
        <v>14</v>
      </c>
      <c r="I761" s="11" t="s">
        <v>2305</v>
      </c>
      <c r="L761" s="11" t="s">
        <v>2282</v>
      </c>
      <c r="M761" s="15">
        <v>40366</v>
      </c>
      <c r="N761" s="1">
        <v>1</v>
      </c>
      <c r="O761" s="11" t="s">
        <v>25</v>
      </c>
      <c r="Q761" s="11" t="s">
        <v>27</v>
      </c>
      <c r="R761" s="11" t="s">
        <v>56</v>
      </c>
      <c r="S761" s="15">
        <f t="shared" ca="1" si="25"/>
        <v>40470.53652858796</v>
      </c>
      <c r="T761" s="8">
        <f t="shared" ca="1" si="26"/>
        <v>3</v>
      </c>
      <c r="U761" s="25" t="s">
        <v>56</v>
      </c>
      <c r="Y761" s="19" t="s">
        <v>2649</v>
      </c>
      <c r="AA761" s="11"/>
      <c r="AC761" s="39" t="s">
        <v>2283</v>
      </c>
      <c r="AF761" s="13"/>
      <c r="AG761" s="13"/>
      <c r="AH761" s="11" t="s">
        <v>1416</v>
      </c>
    </row>
    <row r="762" spans="1:34">
      <c r="A762" s="1">
        <v>760</v>
      </c>
      <c r="B762" s="14">
        <v>40360</v>
      </c>
      <c r="C762" s="15">
        <v>40368</v>
      </c>
      <c r="D762" s="13"/>
      <c r="E762" s="8" t="s">
        <v>2306</v>
      </c>
      <c r="F762" s="13"/>
      <c r="G762" s="11" t="s">
        <v>37</v>
      </c>
      <c r="H762" s="1">
        <v>20</v>
      </c>
      <c r="I762" s="11" t="s">
        <v>2307</v>
      </c>
      <c r="J762" s="8" t="s">
        <v>2308</v>
      </c>
      <c r="L762" s="11" t="s">
        <v>2282</v>
      </c>
      <c r="M762" s="15">
        <v>40368</v>
      </c>
      <c r="N762" s="1">
        <v>1</v>
      </c>
      <c r="O762" s="11" t="s">
        <v>40</v>
      </c>
      <c r="P762" s="11" t="s">
        <v>2096</v>
      </c>
      <c r="Q762" s="11" t="s">
        <v>27</v>
      </c>
      <c r="R762" s="11" t="s">
        <v>28</v>
      </c>
      <c r="S762" s="15">
        <f t="shared" ca="1" si="25"/>
        <v>40470.53652858796</v>
      </c>
      <c r="T762" s="8">
        <f t="shared" ca="1" si="26"/>
        <v>3</v>
      </c>
      <c r="U762" s="25" t="s">
        <v>42</v>
      </c>
      <c r="V762" s="25" t="s">
        <v>42</v>
      </c>
      <c r="W762" s="25" t="s">
        <v>42</v>
      </c>
      <c r="X762" s="25" t="s">
        <v>42</v>
      </c>
      <c r="Y762" s="19" t="s">
        <v>2649</v>
      </c>
      <c r="AA762" s="11"/>
      <c r="AC762" s="39" t="s">
        <v>2283</v>
      </c>
      <c r="AF762" s="13"/>
      <c r="AG762" s="13"/>
      <c r="AH762" s="11" t="s">
        <v>1416</v>
      </c>
    </row>
    <row r="763" spans="1:34">
      <c r="A763" s="1">
        <v>761</v>
      </c>
      <c r="B763" s="14">
        <v>40360</v>
      </c>
      <c r="C763" s="15">
        <v>40368</v>
      </c>
      <c r="D763" s="13"/>
      <c r="E763" s="8" t="s">
        <v>2309</v>
      </c>
      <c r="F763" s="13"/>
      <c r="G763" s="11" t="s">
        <v>20</v>
      </c>
      <c r="H763" s="1">
        <v>50</v>
      </c>
      <c r="I763" s="11" t="s">
        <v>2310</v>
      </c>
      <c r="J763" s="8" t="s">
        <v>2311</v>
      </c>
      <c r="L763" s="11" t="s">
        <v>2282</v>
      </c>
      <c r="M763" s="15">
        <v>40368</v>
      </c>
      <c r="N763" s="1">
        <v>2</v>
      </c>
      <c r="O763" s="11" t="s">
        <v>2312</v>
      </c>
      <c r="Q763" s="11" t="s">
        <v>49</v>
      </c>
      <c r="R763" s="11" t="s">
        <v>60</v>
      </c>
      <c r="S763" s="15">
        <f t="shared" ca="1" si="25"/>
        <v>40470.53652858796</v>
      </c>
      <c r="T763" s="8">
        <f t="shared" ca="1" si="26"/>
        <v>3</v>
      </c>
      <c r="V763" s="25" t="s">
        <v>65</v>
      </c>
      <c r="Y763" s="19" t="s">
        <v>2649</v>
      </c>
      <c r="AA763" s="11"/>
      <c r="AC763" s="39" t="s">
        <v>132</v>
      </c>
      <c r="AD763" s="25">
        <v>40441</v>
      </c>
      <c r="AF763" s="13"/>
      <c r="AG763" s="13"/>
      <c r="AH763" s="25" t="s">
        <v>132</v>
      </c>
    </row>
    <row r="764" spans="1:34">
      <c r="A764" s="1">
        <v>762</v>
      </c>
      <c r="B764" s="14">
        <v>40360</v>
      </c>
      <c r="C764" s="15">
        <v>40371</v>
      </c>
      <c r="D764" s="13"/>
      <c r="E764" s="8" t="s">
        <v>2313</v>
      </c>
      <c r="F764" s="13"/>
      <c r="G764" s="11" t="s">
        <v>37</v>
      </c>
      <c r="H764" s="1">
        <v>11</v>
      </c>
      <c r="I764" s="11" t="s">
        <v>2314</v>
      </c>
      <c r="L764" s="11" t="s">
        <v>2282</v>
      </c>
      <c r="M764" s="15">
        <v>40371</v>
      </c>
      <c r="N764" s="1">
        <v>1</v>
      </c>
      <c r="O764" s="11" t="s">
        <v>2312</v>
      </c>
      <c r="Q764" s="11" t="s">
        <v>27</v>
      </c>
      <c r="R764" s="11" t="s">
        <v>60</v>
      </c>
      <c r="S764" s="15">
        <f t="shared" ca="1" si="25"/>
        <v>40470.53652858796</v>
      </c>
      <c r="T764" s="8">
        <f t="shared" ca="1" si="26"/>
        <v>3</v>
      </c>
      <c r="U764" s="25" t="s">
        <v>2729</v>
      </c>
      <c r="V764" s="25" t="s">
        <v>2729</v>
      </c>
      <c r="Y764" s="19" t="s">
        <v>2649</v>
      </c>
      <c r="AA764" s="11"/>
      <c r="AC764" s="39" t="s">
        <v>2283</v>
      </c>
      <c r="AF764" s="13"/>
      <c r="AG764" s="13"/>
      <c r="AH764" s="11" t="s">
        <v>1416</v>
      </c>
    </row>
    <row r="765" spans="1:34">
      <c r="A765" s="1">
        <v>763</v>
      </c>
      <c r="B765" s="14">
        <v>40360</v>
      </c>
      <c r="C765" s="15">
        <v>40371</v>
      </c>
      <c r="D765" s="13"/>
      <c r="E765" s="8" t="s">
        <v>2315</v>
      </c>
      <c r="F765" s="13"/>
      <c r="G765" s="11" t="s">
        <v>37</v>
      </c>
      <c r="H765" s="1">
        <v>25</v>
      </c>
      <c r="I765" s="11" t="s">
        <v>2316</v>
      </c>
      <c r="J765" s="8" t="s">
        <v>2317</v>
      </c>
      <c r="L765" s="11" t="s">
        <v>2282</v>
      </c>
      <c r="M765" s="15">
        <v>40371</v>
      </c>
      <c r="N765" s="1">
        <v>1</v>
      </c>
      <c r="O765" s="11" t="s">
        <v>40</v>
      </c>
      <c r="P765" s="11" t="s">
        <v>2096</v>
      </c>
      <c r="Q765" s="11" t="s">
        <v>27</v>
      </c>
      <c r="R765" s="25" t="s">
        <v>56</v>
      </c>
      <c r="S765" s="15">
        <f t="shared" ca="1" si="25"/>
        <v>40470.53652858796</v>
      </c>
      <c r="T765" s="8">
        <f t="shared" ca="1" si="26"/>
        <v>3</v>
      </c>
      <c r="U765" s="25" t="s">
        <v>42</v>
      </c>
      <c r="V765" s="25" t="s">
        <v>42</v>
      </c>
      <c r="W765" s="25" t="s">
        <v>42</v>
      </c>
      <c r="X765" s="25" t="s">
        <v>42</v>
      </c>
      <c r="Y765" s="19" t="s">
        <v>2649</v>
      </c>
      <c r="AA765" s="11"/>
      <c r="AC765" s="39" t="s">
        <v>122</v>
      </c>
      <c r="AD765" s="25">
        <v>40441</v>
      </c>
      <c r="AF765" s="13"/>
      <c r="AG765" s="13"/>
      <c r="AH765" s="25" t="s">
        <v>122</v>
      </c>
    </row>
    <row r="766" spans="1:34">
      <c r="A766" s="1">
        <v>764</v>
      </c>
      <c r="B766" s="14">
        <v>40360</v>
      </c>
      <c r="C766" s="15">
        <v>40371</v>
      </c>
      <c r="D766" s="13"/>
      <c r="E766" s="8" t="s">
        <v>2318</v>
      </c>
      <c r="F766" s="13"/>
      <c r="G766" s="11" t="s">
        <v>37</v>
      </c>
      <c r="H766" s="1">
        <v>17</v>
      </c>
      <c r="I766" s="11" t="s">
        <v>2134</v>
      </c>
      <c r="J766" s="8" t="s">
        <v>2135</v>
      </c>
      <c r="L766" s="11" t="s">
        <v>2282</v>
      </c>
      <c r="M766" s="15">
        <v>40371</v>
      </c>
      <c r="N766" s="1">
        <v>1</v>
      </c>
      <c r="O766" s="11" t="s">
        <v>2312</v>
      </c>
      <c r="Q766" s="11" t="s">
        <v>27</v>
      </c>
      <c r="R766" s="11" t="s">
        <v>56</v>
      </c>
      <c r="S766" s="15">
        <f t="shared" ca="1" si="25"/>
        <v>40470.53652858796</v>
      </c>
      <c r="T766" s="8">
        <f t="shared" ca="1" si="26"/>
        <v>3</v>
      </c>
      <c r="U766" s="25" t="s">
        <v>56</v>
      </c>
      <c r="Y766" s="19" t="s">
        <v>2649</v>
      </c>
      <c r="AA766" s="11"/>
      <c r="AC766" s="39" t="s">
        <v>2283</v>
      </c>
      <c r="AF766" s="13"/>
      <c r="AG766" s="13"/>
      <c r="AH766" s="11" t="s">
        <v>1416</v>
      </c>
    </row>
    <row r="767" spans="1:34">
      <c r="A767" s="1">
        <v>765</v>
      </c>
      <c r="B767" s="14">
        <v>40360</v>
      </c>
      <c r="C767" s="15">
        <v>40371</v>
      </c>
      <c r="D767" s="13"/>
      <c r="E767" s="8" t="s">
        <v>2136</v>
      </c>
      <c r="F767" s="13"/>
      <c r="G767" s="11" t="s">
        <v>20</v>
      </c>
      <c r="H767" s="1">
        <v>24</v>
      </c>
      <c r="I767" s="11" t="s">
        <v>2358</v>
      </c>
      <c r="L767" s="11" t="s">
        <v>2282</v>
      </c>
      <c r="M767" s="15">
        <v>40371</v>
      </c>
      <c r="N767" s="1">
        <v>2</v>
      </c>
      <c r="O767" s="11" t="s">
        <v>2312</v>
      </c>
      <c r="Q767" s="11" t="s">
        <v>122</v>
      </c>
      <c r="R767" s="11" t="s">
        <v>60</v>
      </c>
      <c r="S767" s="15">
        <f t="shared" ca="1" si="25"/>
        <v>40470.53652858796</v>
      </c>
      <c r="T767" s="8">
        <f t="shared" ca="1" si="26"/>
        <v>3</v>
      </c>
      <c r="Y767" s="19" t="s">
        <v>2649</v>
      </c>
      <c r="AA767" s="11"/>
      <c r="AC767" s="39" t="s">
        <v>2283</v>
      </c>
      <c r="AF767" s="13"/>
      <c r="AG767" s="13"/>
      <c r="AH767" s="11" t="s">
        <v>1416</v>
      </c>
    </row>
    <row r="768" spans="1:34">
      <c r="A768" s="1">
        <v>766</v>
      </c>
      <c r="B768" s="14">
        <v>40360</v>
      </c>
      <c r="C768" s="15">
        <v>40372</v>
      </c>
      <c r="D768" s="13"/>
      <c r="E768" s="8" t="s">
        <v>2359</v>
      </c>
      <c r="F768" s="13"/>
      <c r="G768" s="11" t="s">
        <v>37</v>
      </c>
      <c r="H768" s="1">
        <v>40</v>
      </c>
      <c r="I768" s="11" t="s">
        <v>2360</v>
      </c>
      <c r="L768" s="11" t="s">
        <v>2282</v>
      </c>
      <c r="M768" s="15">
        <v>40372</v>
      </c>
      <c r="N768" s="1">
        <v>1</v>
      </c>
      <c r="O768" s="11" t="s">
        <v>40</v>
      </c>
      <c r="P768" s="11" t="s">
        <v>2361</v>
      </c>
      <c r="Q768" s="11" t="s">
        <v>27</v>
      </c>
      <c r="R768" s="25" t="s">
        <v>42</v>
      </c>
      <c r="S768" s="15">
        <f t="shared" ca="1" si="25"/>
        <v>40470.53652858796</v>
      </c>
      <c r="T768" s="8">
        <f t="shared" ca="1" si="26"/>
        <v>3</v>
      </c>
      <c r="U768" s="25" t="s">
        <v>42</v>
      </c>
      <c r="V768" s="25" t="s">
        <v>42</v>
      </c>
      <c r="W768" s="25" t="s">
        <v>42</v>
      </c>
      <c r="X768" s="25" t="s">
        <v>42</v>
      </c>
      <c r="Y768" s="19" t="s">
        <v>2649</v>
      </c>
      <c r="AA768" s="11"/>
      <c r="AC768" s="39" t="s">
        <v>2283</v>
      </c>
      <c r="AF768" s="13"/>
      <c r="AG768" s="13"/>
      <c r="AH768" s="11" t="s">
        <v>1416</v>
      </c>
    </row>
    <row r="769" spans="1:34">
      <c r="A769" s="1">
        <v>767</v>
      </c>
      <c r="B769" s="14">
        <v>40360</v>
      </c>
      <c r="C769" s="15">
        <v>40373</v>
      </c>
      <c r="D769" s="13"/>
      <c r="E769" s="8" t="s">
        <v>2362</v>
      </c>
      <c r="F769" s="13"/>
      <c r="G769" s="11" t="s">
        <v>37</v>
      </c>
      <c r="H769" s="1">
        <v>18</v>
      </c>
      <c r="I769" s="11" t="s">
        <v>2363</v>
      </c>
      <c r="J769" s="8" t="s">
        <v>2364</v>
      </c>
      <c r="L769" s="11" t="s">
        <v>2282</v>
      </c>
      <c r="M769" s="15">
        <v>40373</v>
      </c>
      <c r="N769" s="1">
        <v>1</v>
      </c>
      <c r="O769" s="11" t="s">
        <v>2312</v>
      </c>
      <c r="Q769" s="11" t="s">
        <v>27</v>
      </c>
      <c r="R769" s="25" t="s">
        <v>28</v>
      </c>
      <c r="S769" s="15">
        <f t="shared" ca="1" si="25"/>
        <v>40470.53652858796</v>
      </c>
      <c r="T769" s="8">
        <f t="shared" ca="1" si="26"/>
        <v>3</v>
      </c>
      <c r="Y769" s="19" t="s">
        <v>2649</v>
      </c>
      <c r="AA769" s="11"/>
      <c r="AC769" s="39" t="s">
        <v>2283</v>
      </c>
      <c r="AF769" s="13"/>
      <c r="AG769" s="13"/>
      <c r="AH769" s="11" t="s">
        <v>1416</v>
      </c>
    </row>
    <row r="770" spans="1:34">
      <c r="A770" s="1">
        <v>768</v>
      </c>
      <c r="B770" s="14">
        <v>40360</v>
      </c>
      <c r="C770" s="15">
        <v>40374</v>
      </c>
      <c r="D770" s="13"/>
      <c r="E770" s="8" t="s">
        <v>2365</v>
      </c>
      <c r="F770" s="13"/>
      <c r="G770" s="11" t="s">
        <v>20</v>
      </c>
      <c r="H770" s="1">
        <v>18</v>
      </c>
      <c r="I770" s="11" t="s">
        <v>2366</v>
      </c>
      <c r="L770" s="11" t="s">
        <v>2282</v>
      </c>
      <c r="M770" s="15">
        <v>40374</v>
      </c>
      <c r="N770" s="1">
        <v>1</v>
      </c>
      <c r="O770" s="11" t="s">
        <v>40</v>
      </c>
      <c r="P770" s="11" t="s">
        <v>2251</v>
      </c>
      <c r="Q770" s="11" t="s">
        <v>27</v>
      </c>
      <c r="R770" s="25" t="s">
        <v>56</v>
      </c>
      <c r="S770" s="15">
        <f t="shared" ref="S770:S806" ca="1" si="27">NOW()</f>
        <v>40470.53652858796</v>
      </c>
      <c r="T770" s="8">
        <f t="shared" ca="1" si="26"/>
        <v>3</v>
      </c>
      <c r="U770" s="25" t="s">
        <v>42</v>
      </c>
      <c r="V770" s="25" t="s">
        <v>42</v>
      </c>
      <c r="W770" s="25" t="s">
        <v>42</v>
      </c>
      <c r="X770" s="25" t="s">
        <v>42</v>
      </c>
      <c r="Y770" s="19" t="s">
        <v>2649</v>
      </c>
      <c r="AA770" s="11"/>
      <c r="AC770" s="39" t="s">
        <v>2283</v>
      </c>
      <c r="AF770" s="13"/>
      <c r="AG770" s="13"/>
      <c r="AH770" s="11" t="s">
        <v>1416</v>
      </c>
    </row>
    <row r="771" spans="1:34">
      <c r="A771" s="1">
        <v>769</v>
      </c>
      <c r="B771" s="14">
        <v>40360</v>
      </c>
      <c r="C771" s="15">
        <v>40375</v>
      </c>
      <c r="D771" s="13"/>
      <c r="E771" s="8" t="s">
        <v>2367</v>
      </c>
      <c r="F771" s="13"/>
      <c r="G771" s="11" t="s">
        <v>20</v>
      </c>
      <c r="H771" s="1">
        <v>17</v>
      </c>
      <c r="I771" s="11" t="s">
        <v>2368</v>
      </c>
      <c r="J771" s="8" t="s">
        <v>2369</v>
      </c>
      <c r="L771" s="11" t="s">
        <v>2282</v>
      </c>
      <c r="M771" s="15">
        <v>40375</v>
      </c>
      <c r="N771" s="1">
        <v>2</v>
      </c>
      <c r="O771" s="11" t="s">
        <v>40</v>
      </c>
      <c r="P771" s="11" t="s">
        <v>2370</v>
      </c>
      <c r="Q771" s="11" t="s">
        <v>122</v>
      </c>
      <c r="R771" s="25" t="s">
        <v>42</v>
      </c>
      <c r="S771" s="15">
        <f t="shared" ca="1" si="27"/>
        <v>40470.53652858796</v>
      </c>
      <c r="T771" s="8">
        <f t="shared" ca="1" si="26"/>
        <v>3</v>
      </c>
      <c r="U771" s="25" t="s">
        <v>42</v>
      </c>
      <c r="V771" s="25" t="s">
        <v>42</v>
      </c>
      <c r="W771" s="25" t="s">
        <v>42</v>
      </c>
      <c r="X771" s="25" t="s">
        <v>42</v>
      </c>
      <c r="Y771" s="19" t="s">
        <v>2649</v>
      </c>
      <c r="AA771" s="11"/>
      <c r="AC771" s="39" t="s">
        <v>2283</v>
      </c>
      <c r="AF771" s="13"/>
      <c r="AG771" s="13"/>
      <c r="AH771" s="11" t="s">
        <v>1416</v>
      </c>
    </row>
    <row r="772" spans="1:34">
      <c r="A772" s="1">
        <v>770</v>
      </c>
      <c r="B772" s="14">
        <v>40360</v>
      </c>
      <c r="C772" s="15">
        <v>40378</v>
      </c>
      <c r="D772" s="13"/>
      <c r="E772" s="8" t="s">
        <v>2371</v>
      </c>
      <c r="F772" s="13"/>
      <c r="G772" s="11" t="s">
        <v>37</v>
      </c>
      <c r="H772" s="1">
        <v>45</v>
      </c>
      <c r="I772" s="11" t="s">
        <v>2372</v>
      </c>
      <c r="L772" s="11" t="s">
        <v>2282</v>
      </c>
      <c r="M772" s="15">
        <v>40378</v>
      </c>
      <c r="N772" s="1">
        <v>1</v>
      </c>
      <c r="O772" s="11" t="s">
        <v>2312</v>
      </c>
      <c r="Q772" s="11" t="s">
        <v>27</v>
      </c>
      <c r="R772" s="11" t="s">
        <v>60</v>
      </c>
      <c r="S772" s="15">
        <f t="shared" ca="1" si="27"/>
        <v>40470.53652858796</v>
      </c>
      <c r="T772" s="8">
        <f t="shared" ca="1" si="26"/>
        <v>3</v>
      </c>
      <c r="U772" s="25" t="s">
        <v>28</v>
      </c>
      <c r="Y772" s="19" t="s">
        <v>2649</v>
      </c>
      <c r="AA772" s="11"/>
      <c r="AC772" s="39" t="s">
        <v>2283</v>
      </c>
      <c r="AF772" s="13"/>
      <c r="AG772" s="13"/>
      <c r="AH772" s="11" t="s">
        <v>1416</v>
      </c>
    </row>
    <row r="773" spans="1:34">
      <c r="A773" s="1">
        <v>771</v>
      </c>
      <c r="B773" s="14">
        <v>40360</v>
      </c>
      <c r="C773" s="15">
        <v>40378</v>
      </c>
      <c r="D773" s="13"/>
      <c r="E773" s="8" t="s">
        <v>2373</v>
      </c>
      <c r="F773" s="13"/>
      <c r="G773" s="11" t="s">
        <v>37</v>
      </c>
      <c r="H773" s="1">
        <v>19</v>
      </c>
      <c r="I773" s="11" t="s">
        <v>2374</v>
      </c>
      <c r="L773" s="11" t="s">
        <v>2282</v>
      </c>
      <c r="M773" s="15">
        <v>40378</v>
      </c>
      <c r="N773" s="1">
        <v>1</v>
      </c>
      <c r="O773" s="11" t="s">
        <v>2312</v>
      </c>
      <c r="Q773" s="11" t="s">
        <v>27</v>
      </c>
      <c r="R773" s="11" t="s">
        <v>60</v>
      </c>
      <c r="S773" s="15">
        <f t="shared" ca="1" si="27"/>
        <v>40470.53652858796</v>
      </c>
      <c r="T773" s="8">
        <f t="shared" ca="1" si="26"/>
        <v>3</v>
      </c>
      <c r="U773" s="25" t="s">
        <v>56</v>
      </c>
      <c r="Y773" s="19" t="s">
        <v>2649</v>
      </c>
      <c r="AA773" s="11"/>
      <c r="AC773" s="39" t="s">
        <v>2283</v>
      </c>
      <c r="AF773" s="13"/>
      <c r="AG773" s="13"/>
      <c r="AH773" s="11" t="s">
        <v>1416</v>
      </c>
    </row>
    <row r="774" spans="1:34">
      <c r="A774" s="1">
        <v>772</v>
      </c>
      <c r="B774" s="14">
        <v>40360</v>
      </c>
      <c r="C774" s="15">
        <v>40378</v>
      </c>
      <c r="D774" s="13"/>
      <c r="E774" s="8" t="s">
        <v>2375</v>
      </c>
      <c r="F774" s="13"/>
      <c r="G774" s="11" t="s">
        <v>20</v>
      </c>
      <c r="H774" s="1">
        <v>50</v>
      </c>
      <c r="I774" s="11" t="s">
        <v>2376</v>
      </c>
      <c r="L774" s="11" t="s">
        <v>2282</v>
      </c>
      <c r="M774" s="15">
        <v>40378</v>
      </c>
      <c r="N774" s="1">
        <v>1</v>
      </c>
      <c r="O774" s="11" t="s">
        <v>2312</v>
      </c>
      <c r="Q774" s="11" t="s">
        <v>27</v>
      </c>
      <c r="S774" s="15">
        <f t="shared" ca="1" si="27"/>
        <v>40470.53652858796</v>
      </c>
      <c r="T774" s="8">
        <f t="shared" ca="1" si="26"/>
        <v>3</v>
      </c>
      <c r="Y774" s="19" t="s">
        <v>2649</v>
      </c>
      <c r="AA774" s="11"/>
      <c r="AC774" s="39" t="s">
        <v>2283</v>
      </c>
      <c r="AF774" s="13"/>
      <c r="AG774" s="13"/>
      <c r="AH774" s="11" t="s">
        <v>1416</v>
      </c>
    </row>
    <row r="775" spans="1:34">
      <c r="A775" s="1">
        <v>773</v>
      </c>
      <c r="B775" s="14">
        <v>40360</v>
      </c>
      <c r="C775" s="15">
        <v>40378</v>
      </c>
      <c r="D775" s="13"/>
      <c r="E775" s="8" t="s">
        <v>2377</v>
      </c>
      <c r="F775" s="13"/>
      <c r="G775" s="11" t="s">
        <v>37</v>
      </c>
      <c r="H775" s="1">
        <v>25</v>
      </c>
      <c r="I775" s="11" t="s">
        <v>2378</v>
      </c>
      <c r="J775" s="8" t="s">
        <v>2379</v>
      </c>
      <c r="L775" s="11" t="s">
        <v>2282</v>
      </c>
      <c r="M775" s="15">
        <v>40378</v>
      </c>
      <c r="N775" s="1">
        <v>1</v>
      </c>
      <c r="O775" s="11" t="s">
        <v>2312</v>
      </c>
      <c r="Q775" s="11" t="s">
        <v>27</v>
      </c>
      <c r="R775" s="25" t="s">
        <v>2729</v>
      </c>
      <c r="S775" s="15">
        <f t="shared" ca="1" si="27"/>
        <v>40470.53652858796</v>
      </c>
      <c r="T775" s="8">
        <f t="shared" ca="1" si="26"/>
        <v>3</v>
      </c>
      <c r="Y775" s="19" t="s">
        <v>2649</v>
      </c>
      <c r="AA775" s="11"/>
      <c r="AC775" s="39" t="s">
        <v>2283</v>
      </c>
      <c r="AF775" s="13"/>
      <c r="AG775" s="13"/>
      <c r="AH775" s="11" t="s">
        <v>1416</v>
      </c>
    </row>
    <row r="776" spans="1:34">
      <c r="A776" s="1">
        <v>774</v>
      </c>
      <c r="B776" s="14">
        <v>40360</v>
      </c>
      <c r="C776" s="15">
        <v>40378</v>
      </c>
      <c r="D776" s="13"/>
      <c r="E776" s="8" t="s">
        <v>2380</v>
      </c>
      <c r="F776" s="13"/>
      <c r="G776" s="11" t="s">
        <v>37</v>
      </c>
      <c r="H776" s="1">
        <v>40</v>
      </c>
      <c r="I776" s="11" t="s">
        <v>2381</v>
      </c>
      <c r="J776" s="8" t="s">
        <v>2382</v>
      </c>
      <c r="L776" s="11" t="s">
        <v>2282</v>
      </c>
      <c r="M776" s="15">
        <v>40378</v>
      </c>
      <c r="N776" s="1">
        <v>1</v>
      </c>
      <c r="O776" s="11" t="s">
        <v>2312</v>
      </c>
      <c r="Q776" s="11" t="s">
        <v>27</v>
      </c>
      <c r="R776" s="25" t="s">
        <v>2729</v>
      </c>
      <c r="S776" s="15">
        <f t="shared" ca="1" si="27"/>
        <v>40470.53652858796</v>
      </c>
      <c r="T776" s="8">
        <f t="shared" ca="1" si="26"/>
        <v>3</v>
      </c>
      <c r="Y776" s="19" t="s">
        <v>2649</v>
      </c>
      <c r="AA776" s="11"/>
      <c r="AC776" s="39" t="s">
        <v>2283</v>
      </c>
      <c r="AF776" s="13"/>
      <c r="AG776" s="13"/>
      <c r="AH776" s="11" t="s">
        <v>1416</v>
      </c>
    </row>
    <row r="777" spans="1:34">
      <c r="A777" s="1">
        <v>775</v>
      </c>
      <c r="B777" s="14">
        <v>40360</v>
      </c>
      <c r="C777" s="15">
        <v>40378</v>
      </c>
      <c r="D777" s="13"/>
      <c r="E777" s="8" t="s">
        <v>2383</v>
      </c>
      <c r="F777" s="13"/>
      <c r="G777" s="11" t="s">
        <v>37</v>
      </c>
      <c r="H777" s="1">
        <v>45</v>
      </c>
      <c r="I777" s="11" t="s">
        <v>2384</v>
      </c>
      <c r="J777" s="8" t="s">
        <v>2385</v>
      </c>
      <c r="L777" s="11" t="s">
        <v>2282</v>
      </c>
      <c r="M777" s="15">
        <v>40378</v>
      </c>
      <c r="N777" s="1">
        <v>1</v>
      </c>
      <c r="O777" s="11" t="s">
        <v>2312</v>
      </c>
      <c r="Q777" s="11" t="s">
        <v>27</v>
      </c>
      <c r="S777" s="15">
        <f t="shared" ca="1" si="27"/>
        <v>40470.53652858796</v>
      </c>
      <c r="T777" s="8">
        <f t="shared" ca="1" si="26"/>
        <v>3</v>
      </c>
      <c r="Y777" s="19" t="s">
        <v>2649</v>
      </c>
      <c r="AA777" s="11"/>
      <c r="AC777" s="39" t="s">
        <v>2283</v>
      </c>
      <c r="AF777" s="13"/>
      <c r="AG777" s="13"/>
      <c r="AH777" s="11" t="s">
        <v>1416</v>
      </c>
    </row>
    <row r="778" spans="1:34">
      <c r="A778" s="1">
        <v>776</v>
      </c>
      <c r="B778" s="14">
        <v>40360</v>
      </c>
      <c r="C778" s="15">
        <v>40379</v>
      </c>
      <c r="D778" s="13"/>
      <c r="E778" s="8" t="s">
        <v>2386</v>
      </c>
      <c r="F778" s="13"/>
      <c r="G778" s="11" t="s">
        <v>37</v>
      </c>
      <c r="H778" s="1">
        <v>32</v>
      </c>
      <c r="I778" s="11" t="s">
        <v>2387</v>
      </c>
      <c r="J778" s="8" t="s">
        <v>2388</v>
      </c>
      <c r="L778" s="11" t="s">
        <v>2282</v>
      </c>
      <c r="M778" s="15">
        <v>40379</v>
      </c>
      <c r="N778" s="1">
        <v>1</v>
      </c>
      <c r="O778" s="11" t="s">
        <v>2312</v>
      </c>
      <c r="Q778" s="11" t="s">
        <v>27</v>
      </c>
      <c r="R778" s="25" t="s">
        <v>56</v>
      </c>
      <c r="S778" s="15">
        <f t="shared" ca="1" si="27"/>
        <v>40470.53652858796</v>
      </c>
      <c r="T778" s="8">
        <f t="shared" ca="1" si="26"/>
        <v>3</v>
      </c>
      <c r="U778" s="25" t="s">
        <v>2729</v>
      </c>
      <c r="Y778" s="19" t="s">
        <v>2649</v>
      </c>
      <c r="AA778" s="11"/>
      <c r="AC778" s="39" t="s">
        <v>2283</v>
      </c>
      <c r="AF778" s="13"/>
      <c r="AG778" s="13"/>
      <c r="AH778" s="11" t="s">
        <v>1416</v>
      </c>
    </row>
    <row r="779" spans="1:34">
      <c r="A779" s="1">
        <v>777</v>
      </c>
      <c r="B779" s="14">
        <v>40360</v>
      </c>
      <c r="C779" s="15">
        <v>40379</v>
      </c>
      <c r="D779" s="13"/>
      <c r="E779" s="8" t="s">
        <v>2389</v>
      </c>
      <c r="F779" s="13"/>
      <c r="G779" s="11" t="s">
        <v>37</v>
      </c>
      <c r="H779" s="1">
        <v>34</v>
      </c>
      <c r="I779" s="11" t="s">
        <v>2390</v>
      </c>
      <c r="J779" s="8" t="s">
        <v>2391</v>
      </c>
      <c r="L779" s="11" t="s">
        <v>2282</v>
      </c>
      <c r="M779" s="15">
        <v>40379</v>
      </c>
      <c r="N779" s="1">
        <v>1</v>
      </c>
      <c r="O779" s="11" t="s">
        <v>2312</v>
      </c>
      <c r="Q779" s="11" t="s">
        <v>27</v>
      </c>
      <c r="R779" s="25" t="s">
        <v>56</v>
      </c>
      <c r="S779" s="15">
        <f t="shared" ca="1" si="27"/>
        <v>40470.53652858796</v>
      </c>
      <c r="T779" s="8">
        <f t="shared" ca="1" si="26"/>
        <v>3</v>
      </c>
      <c r="U779" s="25" t="s">
        <v>56</v>
      </c>
      <c r="Y779" s="19" t="s">
        <v>2649</v>
      </c>
      <c r="AA779" s="11"/>
      <c r="AC779" s="39" t="s">
        <v>2283</v>
      </c>
      <c r="AF779" s="13"/>
      <c r="AG779" s="13"/>
      <c r="AH779" s="11" t="s">
        <v>1416</v>
      </c>
    </row>
    <row r="780" spans="1:34">
      <c r="A780" s="1">
        <v>778</v>
      </c>
      <c r="B780" s="14">
        <v>40360</v>
      </c>
      <c r="C780" s="15">
        <v>40379</v>
      </c>
      <c r="D780" s="13"/>
      <c r="E780" s="8" t="s">
        <v>2392</v>
      </c>
      <c r="F780" s="13"/>
      <c r="G780" s="11" t="s">
        <v>37</v>
      </c>
      <c r="H780" s="1">
        <v>21</v>
      </c>
      <c r="I780" s="11" t="s">
        <v>2393</v>
      </c>
      <c r="J780" s="8" t="s">
        <v>2394</v>
      </c>
      <c r="L780" s="11" t="s">
        <v>2282</v>
      </c>
      <c r="M780" s="15">
        <v>40379</v>
      </c>
      <c r="N780" s="1">
        <v>1</v>
      </c>
      <c r="O780" s="11" t="s">
        <v>40</v>
      </c>
      <c r="P780" s="11" t="s">
        <v>2395</v>
      </c>
      <c r="Q780" s="11" t="s">
        <v>27</v>
      </c>
      <c r="R780" s="25" t="s">
        <v>2731</v>
      </c>
      <c r="S780" s="15">
        <f t="shared" ca="1" si="27"/>
        <v>40470.53652858796</v>
      </c>
      <c r="T780" s="8">
        <f t="shared" ca="1" si="26"/>
        <v>3</v>
      </c>
      <c r="U780" s="25" t="s">
        <v>42</v>
      </c>
      <c r="V780" s="25" t="s">
        <v>42</v>
      </c>
      <c r="W780" s="25" t="s">
        <v>42</v>
      </c>
      <c r="X780" s="25" t="s">
        <v>42</v>
      </c>
      <c r="Y780" s="19" t="s">
        <v>2649</v>
      </c>
      <c r="AA780" s="11"/>
      <c r="AC780" s="39" t="s">
        <v>2283</v>
      </c>
      <c r="AF780" s="13"/>
      <c r="AG780" s="13"/>
      <c r="AH780" s="11" t="s">
        <v>1416</v>
      </c>
    </row>
    <row r="781" spans="1:34">
      <c r="A781" s="1">
        <v>779</v>
      </c>
      <c r="B781" s="14">
        <v>40360</v>
      </c>
      <c r="C781" s="15">
        <v>40379</v>
      </c>
      <c r="D781" s="13"/>
      <c r="E781" s="8" t="s">
        <v>2396</v>
      </c>
      <c r="F781" s="13"/>
      <c r="G781" s="11" t="s">
        <v>37</v>
      </c>
      <c r="H781" s="1">
        <v>22</v>
      </c>
      <c r="I781" s="11" t="s">
        <v>2397</v>
      </c>
      <c r="J781" s="8" t="s">
        <v>2398</v>
      </c>
      <c r="L781" s="11" t="s">
        <v>2282</v>
      </c>
      <c r="M781" s="15">
        <v>40379</v>
      </c>
      <c r="N781" s="1">
        <v>1</v>
      </c>
      <c r="O781" s="11" t="s">
        <v>40</v>
      </c>
      <c r="P781" s="11" t="s">
        <v>2096</v>
      </c>
      <c r="Q781" s="11" t="s">
        <v>27</v>
      </c>
      <c r="R781" s="25" t="s">
        <v>56</v>
      </c>
      <c r="S781" s="15">
        <f t="shared" ca="1" si="27"/>
        <v>40470.53652858796</v>
      </c>
      <c r="T781" s="8">
        <f t="shared" ca="1" si="26"/>
        <v>3</v>
      </c>
      <c r="U781" s="25" t="s">
        <v>42</v>
      </c>
      <c r="V781" s="25" t="s">
        <v>42</v>
      </c>
      <c r="W781" s="25" t="s">
        <v>42</v>
      </c>
      <c r="X781" s="25" t="s">
        <v>42</v>
      </c>
      <c r="Y781" s="19" t="s">
        <v>2649</v>
      </c>
      <c r="AA781" s="11"/>
      <c r="AC781" s="39" t="s">
        <v>2283</v>
      </c>
      <c r="AF781" s="13"/>
      <c r="AG781" s="13"/>
      <c r="AH781" s="11" t="s">
        <v>1416</v>
      </c>
    </row>
    <row r="782" spans="1:34">
      <c r="A782" s="1">
        <v>780</v>
      </c>
      <c r="B782" s="14">
        <v>40360</v>
      </c>
      <c r="C782" s="15">
        <v>40379</v>
      </c>
      <c r="D782" s="13"/>
      <c r="E782" s="8" t="s">
        <v>2399</v>
      </c>
      <c r="F782" s="13"/>
      <c r="G782" s="11" t="s">
        <v>37</v>
      </c>
      <c r="H782" s="1">
        <v>22</v>
      </c>
      <c r="I782" s="11" t="s">
        <v>2400</v>
      </c>
      <c r="L782" s="11" t="s">
        <v>2282</v>
      </c>
      <c r="M782" s="15">
        <v>40379</v>
      </c>
      <c r="N782" s="1">
        <v>1</v>
      </c>
      <c r="O782" s="11" t="s">
        <v>2312</v>
      </c>
      <c r="Q782" s="11" t="s">
        <v>27</v>
      </c>
      <c r="R782" s="25" t="s">
        <v>65</v>
      </c>
      <c r="S782" s="15">
        <f t="shared" ca="1" si="27"/>
        <v>40470.53652858796</v>
      </c>
      <c r="T782" s="8">
        <f t="shared" ref="T782:T806" ca="1" si="28">(YEAR(S782)-YEAR(M782))*12+MONTH(S782)-MONTH(M782)</f>
        <v>3</v>
      </c>
      <c r="U782" s="25" t="s">
        <v>28</v>
      </c>
      <c r="V782" s="25" t="s">
        <v>2729</v>
      </c>
      <c r="Y782" s="19" t="s">
        <v>2649</v>
      </c>
      <c r="AA782" s="11"/>
      <c r="AC782" s="39" t="s">
        <v>2283</v>
      </c>
      <c r="AF782" s="13"/>
      <c r="AG782" s="13"/>
      <c r="AH782" s="11" t="s">
        <v>1416</v>
      </c>
    </row>
    <row r="783" spans="1:34">
      <c r="A783" s="1">
        <v>781</v>
      </c>
      <c r="B783" s="14">
        <v>40360</v>
      </c>
      <c r="C783" s="15">
        <v>40379</v>
      </c>
      <c r="D783" s="13"/>
      <c r="E783" s="8" t="s">
        <v>2401</v>
      </c>
      <c r="F783" s="13"/>
      <c r="G783" s="11" t="s">
        <v>37</v>
      </c>
      <c r="H783" s="1">
        <v>50</v>
      </c>
      <c r="I783" s="11" t="s">
        <v>2402</v>
      </c>
      <c r="J783" s="8" t="s">
        <v>2403</v>
      </c>
      <c r="L783" s="11" t="s">
        <v>2282</v>
      </c>
      <c r="M783" s="15">
        <v>40379</v>
      </c>
      <c r="N783" s="1">
        <v>1</v>
      </c>
      <c r="O783" s="11" t="s">
        <v>2312</v>
      </c>
      <c r="Q783" s="11" t="s">
        <v>27</v>
      </c>
      <c r="R783" s="25" t="s">
        <v>56</v>
      </c>
      <c r="S783" s="15">
        <f t="shared" ca="1" si="27"/>
        <v>40470.53652858796</v>
      </c>
      <c r="T783" s="8">
        <f t="shared" ca="1" si="28"/>
        <v>3</v>
      </c>
      <c r="U783" s="25" t="s">
        <v>2729</v>
      </c>
      <c r="Y783" s="19" t="s">
        <v>2649</v>
      </c>
      <c r="AA783" s="11"/>
      <c r="AC783" s="39" t="s">
        <v>2283</v>
      </c>
      <c r="AF783" s="13"/>
      <c r="AG783" s="13"/>
      <c r="AH783" s="11" t="s">
        <v>1416</v>
      </c>
    </row>
    <row r="784" spans="1:34">
      <c r="A784" s="1">
        <v>782</v>
      </c>
      <c r="B784" s="14">
        <v>40360</v>
      </c>
      <c r="C784" s="15">
        <v>40380</v>
      </c>
      <c r="D784" s="13"/>
      <c r="E784" s="8" t="s">
        <v>2404</v>
      </c>
      <c r="F784" s="13"/>
      <c r="G784" s="11" t="s">
        <v>37</v>
      </c>
      <c r="H784" s="1">
        <v>14</v>
      </c>
      <c r="I784" s="11" t="s">
        <v>2405</v>
      </c>
      <c r="L784" s="11" t="s">
        <v>2282</v>
      </c>
      <c r="M784" s="15">
        <v>40380</v>
      </c>
      <c r="N784" s="1">
        <v>1</v>
      </c>
      <c r="O784" s="11" t="s">
        <v>2312</v>
      </c>
      <c r="Q784" s="11" t="s">
        <v>27</v>
      </c>
      <c r="R784" s="25" t="s">
        <v>65</v>
      </c>
      <c r="S784" s="15">
        <f t="shared" ca="1" si="27"/>
        <v>40470.53652858796</v>
      </c>
      <c r="T784" s="8">
        <f t="shared" ca="1" si="28"/>
        <v>3</v>
      </c>
      <c r="U784" s="25" t="s">
        <v>56</v>
      </c>
      <c r="Y784" s="19" t="s">
        <v>2649</v>
      </c>
      <c r="AA784" s="11"/>
      <c r="AC784" s="39" t="s">
        <v>2283</v>
      </c>
      <c r="AF784" s="13"/>
      <c r="AG784" s="13"/>
      <c r="AH784" s="11" t="s">
        <v>1416</v>
      </c>
    </row>
    <row r="785" spans="1:34">
      <c r="A785" s="1">
        <v>783</v>
      </c>
      <c r="B785" s="14">
        <v>40360</v>
      </c>
      <c r="C785" s="15">
        <v>40380</v>
      </c>
      <c r="D785" s="13"/>
      <c r="E785" s="8" t="s">
        <v>2406</v>
      </c>
      <c r="F785" s="13"/>
      <c r="G785" s="11" t="s">
        <v>37</v>
      </c>
      <c r="H785" s="1">
        <v>20</v>
      </c>
      <c r="I785" s="11" t="s">
        <v>2407</v>
      </c>
      <c r="J785" s="8" t="s">
        <v>2408</v>
      </c>
      <c r="L785" s="11" t="s">
        <v>2282</v>
      </c>
      <c r="M785" s="15">
        <v>40380</v>
      </c>
      <c r="N785" s="1">
        <v>2</v>
      </c>
      <c r="O785" s="11" t="s">
        <v>2312</v>
      </c>
      <c r="Q785" s="11" t="s">
        <v>477</v>
      </c>
      <c r="R785" s="11" t="s">
        <v>56</v>
      </c>
      <c r="S785" s="15">
        <f t="shared" ca="1" si="27"/>
        <v>40470.53652858796</v>
      </c>
      <c r="T785" s="8">
        <f t="shared" ca="1" si="28"/>
        <v>3</v>
      </c>
      <c r="U785" s="25" t="s">
        <v>42</v>
      </c>
      <c r="V785" s="25" t="s">
        <v>2729</v>
      </c>
      <c r="Y785" s="19" t="s">
        <v>2649</v>
      </c>
      <c r="AA785" s="11"/>
      <c r="AC785" s="39" t="s">
        <v>2283</v>
      </c>
      <c r="AF785" s="13"/>
      <c r="AG785" s="13"/>
      <c r="AH785" s="11" t="s">
        <v>1416</v>
      </c>
    </row>
    <row r="786" spans="1:34">
      <c r="A786" s="1">
        <v>784</v>
      </c>
      <c r="B786" s="14">
        <v>40360</v>
      </c>
      <c r="C786" s="15">
        <v>40380</v>
      </c>
      <c r="E786" s="15" t="s">
        <v>2409</v>
      </c>
      <c r="G786" s="11" t="s">
        <v>37</v>
      </c>
      <c r="H786" s="1">
        <v>45</v>
      </c>
      <c r="I786" s="11" t="s">
        <v>2410</v>
      </c>
      <c r="J786" s="8" t="s">
        <v>2230</v>
      </c>
      <c r="K786" s="11"/>
      <c r="L786" s="8" t="s">
        <v>2282</v>
      </c>
      <c r="M786" s="15" t="s">
        <v>2231</v>
      </c>
      <c r="N786" s="1">
        <v>2</v>
      </c>
      <c r="O786" s="15" t="s">
        <v>40</v>
      </c>
      <c r="P786" s="1" t="s">
        <v>2232</v>
      </c>
      <c r="Q786" s="11" t="s">
        <v>477</v>
      </c>
      <c r="R786" s="25" t="s">
        <v>2731</v>
      </c>
      <c r="S786" s="15">
        <f t="shared" ca="1" si="27"/>
        <v>40470.53652858796</v>
      </c>
      <c r="T786" s="8">
        <f t="shared" ca="1" si="28"/>
        <v>3</v>
      </c>
      <c r="U786" s="8" t="s">
        <v>42</v>
      </c>
      <c r="V786" s="25" t="s">
        <v>42</v>
      </c>
      <c r="W786" s="25" t="s">
        <v>42</v>
      </c>
      <c r="X786" s="25" t="s">
        <v>42</v>
      </c>
      <c r="Y786" s="19" t="s">
        <v>2649</v>
      </c>
      <c r="Z786" s="11"/>
      <c r="AC786" s="39" t="s">
        <v>2283</v>
      </c>
      <c r="AH786" s="11" t="s">
        <v>1416</v>
      </c>
    </row>
    <row r="787" spans="1:34">
      <c r="A787" s="1">
        <v>785</v>
      </c>
      <c r="B787" s="14">
        <v>40360</v>
      </c>
      <c r="C787" s="15">
        <v>40380</v>
      </c>
      <c r="E787" s="15" t="s">
        <v>2233</v>
      </c>
      <c r="G787" s="1" t="s">
        <v>20</v>
      </c>
      <c r="H787" s="1">
        <v>19</v>
      </c>
      <c r="I787" s="1" t="s">
        <v>2234</v>
      </c>
      <c r="J787" s="8" t="s">
        <v>2408</v>
      </c>
      <c r="L787" s="8" t="s">
        <v>2282</v>
      </c>
      <c r="M787" s="15">
        <v>40380</v>
      </c>
      <c r="N787" s="1">
        <v>1</v>
      </c>
      <c r="O787" s="1" t="s">
        <v>25</v>
      </c>
      <c r="Q787" s="11" t="s">
        <v>27</v>
      </c>
      <c r="R787" s="11" t="s">
        <v>65</v>
      </c>
      <c r="S787" s="15">
        <f t="shared" ca="1" si="27"/>
        <v>40470.53652858796</v>
      </c>
      <c r="T787" s="8">
        <f t="shared" ca="1" si="28"/>
        <v>3</v>
      </c>
      <c r="U787" s="8" t="s">
        <v>56</v>
      </c>
      <c r="Y787" s="19" t="s">
        <v>2649</v>
      </c>
      <c r="Z787" s="11"/>
      <c r="AC787" s="39" t="s">
        <v>2283</v>
      </c>
      <c r="AH787" s="11" t="s">
        <v>1416</v>
      </c>
    </row>
    <row r="788" spans="1:34">
      <c r="A788" s="1">
        <v>786</v>
      </c>
      <c r="B788" s="14">
        <v>40360</v>
      </c>
      <c r="C788" s="15">
        <v>40381</v>
      </c>
      <c r="E788" s="15" t="s">
        <v>2235</v>
      </c>
      <c r="G788" s="1" t="s">
        <v>37</v>
      </c>
      <c r="H788" s="1">
        <v>36</v>
      </c>
      <c r="I788" s="1" t="s">
        <v>2236</v>
      </c>
      <c r="J788" s="8" t="s">
        <v>2237</v>
      </c>
      <c r="L788" s="8" t="s">
        <v>2282</v>
      </c>
      <c r="M788" s="15">
        <v>40381</v>
      </c>
      <c r="N788" s="1">
        <v>1</v>
      </c>
      <c r="O788" s="1" t="s">
        <v>40</v>
      </c>
      <c r="P788" s="11" t="s">
        <v>176</v>
      </c>
      <c r="Q788" s="11" t="s">
        <v>27</v>
      </c>
      <c r="R788" s="25" t="s">
        <v>56</v>
      </c>
      <c r="S788" s="15">
        <f t="shared" ca="1" si="27"/>
        <v>40470.53652858796</v>
      </c>
      <c r="T788" s="8">
        <f t="shared" ca="1" si="28"/>
        <v>3</v>
      </c>
      <c r="U788" s="8" t="s">
        <v>42</v>
      </c>
      <c r="V788" s="25" t="s">
        <v>42</v>
      </c>
      <c r="W788" s="25" t="s">
        <v>42</v>
      </c>
      <c r="X788" s="25" t="s">
        <v>42</v>
      </c>
      <c r="Y788" s="19" t="s">
        <v>2649</v>
      </c>
      <c r="Z788" s="11"/>
      <c r="AC788" s="39" t="s">
        <v>2283</v>
      </c>
      <c r="AH788" s="11" t="s">
        <v>1416</v>
      </c>
    </row>
    <row r="789" spans="1:34">
      <c r="A789" s="1">
        <v>787</v>
      </c>
      <c r="B789" s="14">
        <v>40360</v>
      </c>
      <c r="C789" s="15">
        <v>40381</v>
      </c>
      <c r="E789" s="8" t="s">
        <v>2238</v>
      </c>
      <c r="G789" s="11" t="s">
        <v>20</v>
      </c>
      <c r="H789" s="1">
        <v>35</v>
      </c>
      <c r="I789" s="11" t="s">
        <v>2239</v>
      </c>
      <c r="J789" s="8" t="s">
        <v>2240</v>
      </c>
      <c r="L789" s="8" t="s">
        <v>2282</v>
      </c>
      <c r="M789" s="15">
        <v>40381</v>
      </c>
      <c r="N789" s="1">
        <v>1</v>
      </c>
      <c r="O789" s="11" t="s">
        <v>40</v>
      </c>
      <c r="P789" s="11" t="s">
        <v>2096</v>
      </c>
      <c r="Q789" s="11" t="s">
        <v>27</v>
      </c>
      <c r="R789" s="25" t="s">
        <v>42</v>
      </c>
      <c r="S789" s="15">
        <f t="shared" ca="1" si="27"/>
        <v>40470.53652858796</v>
      </c>
      <c r="T789" s="8">
        <f t="shared" ca="1" si="28"/>
        <v>3</v>
      </c>
      <c r="U789" s="25" t="s">
        <v>42</v>
      </c>
      <c r="V789" s="25" t="s">
        <v>42</v>
      </c>
      <c r="W789" s="25" t="s">
        <v>42</v>
      </c>
      <c r="X789" s="25" t="s">
        <v>42</v>
      </c>
      <c r="Y789" s="19" t="s">
        <v>2649</v>
      </c>
      <c r="AC789" s="39" t="s">
        <v>2283</v>
      </c>
      <c r="AH789" s="11" t="s">
        <v>1416</v>
      </c>
    </row>
    <row r="790" spans="1:34">
      <c r="A790" s="1">
        <v>788</v>
      </c>
      <c r="B790" s="14">
        <v>40360</v>
      </c>
      <c r="C790" s="15">
        <v>40382</v>
      </c>
      <c r="E790" s="8" t="s">
        <v>2241</v>
      </c>
      <c r="G790" s="11" t="s">
        <v>37</v>
      </c>
      <c r="H790" s="1">
        <v>10</v>
      </c>
      <c r="I790" s="11" t="s">
        <v>2242</v>
      </c>
      <c r="J790" s="8" t="s">
        <v>2243</v>
      </c>
      <c r="L790" s="8" t="s">
        <v>2282</v>
      </c>
      <c r="M790" s="15">
        <v>40382</v>
      </c>
      <c r="N790" s="1">
        <v>1</v>
      </c>
      <c r="O790" s="11" t="s">
        <v>40</v>
      </c>
      <c r="P790" s="11" t="s">
        <v>2096</v>
      </c>
      <c r="Q790" s="11" t="s">
        <v>27</v>
      </c>
      <c r="R790" s="25" t="s">
        <v>42</v>
      </c>
      <c r="S790" s="15">
        <f t="shared" ca="1" si="27"/>
        <v>40470.53652858796</v>
      </c>
      <c r="T790" s="8">
        <f t="shared" ca="1" si="28"/>
        <v>3</v>
      </c>
      <c r="U790" s="25" t="s">
        <v>42</v>
      </c>
      <c r="V790" s="25" t="s">
        <v>42</v>
      </c>
      <c r="W790" s="25" t="s">
        <v>42</v>
      </c>
      <c r="X790" s="25" t="s">
        <v>42</v>
      </c>
      <c r="Y790" s="19" t="s">
        <v>2649</v>
      </c>
      <c r="AC790" s="39" t="s">
        <v>2283</v>
      </c>
      <c r="AH790" s="11" t="s">
        <v>1416</v>
      </c>
    </row>
    <row r="791" spans="1:34">
      <c r="A791" s="1">
        <v>789</v>
      </c>
      <c r="B791" s="14">
        <v>40360</v>
      </c>
      <c r="C791" s="15">
        <v>40382</v>
      </c>
      <c r="E791" s="8" t="s">
        <v>2244</v>
      </c>
      <c r="G791" s="11" t="s">
        <v>20</v>
      </c>
      <c r="H791" s="1">
        <v>21</v>
      </c>
      <c r="I791" s="11" t="s">
        <v>2245</v>
      </c>
      <c r="J791" s="8" t="s">
        <v>2246</v>
      </c>
      <c r="L791" s="8" t="s">
        <v>2282</v>
      </c>
      <c r="M791" s="15">
        <v>40382</v>
      </c>
      <c r="N791" s="1">
        <v>1</v>
      </c>
      <c r="O791" s="11" t="s">
        <v>25</v>
      </c>
      <c r="Q791" s="11" t="s">
        <v>27</v>
      </c>
      <c r="R791" s="11" t="s">
        <v>56</v>
      </c>
      <c r="S791" s="15">
        <f t="shared" ca="1" si="27"/>
        <v>40470.53652858796</v>
      </c>
      <c r="T791" s="8">
        <f t="shared" ca="1" si="28"/>
        <v>3</v>
      </c>
      <c r="U791" s="25" t="s">
        <v>56</v>
      </c>
      <c r="Y791" s="19" t="s">
        <v>2649</v>
      </c>
      <c r="AC791" s="39" t="s">
        <v>2283</v>
      </c>
      <c r="AH791" s="11" t="s">
        <v>1416</v>
      </c>
    </row>
    <row r="792" spans="1:34">
      <c r="A792" s="1">
        <v>790</v>
      </c>
      <c r="B792" s="14">
        <v>40360</v>
      </c>
      <c r="C792" s="15">
        <v>40382</v>
      </c>
      <c r="E792" s="8" t="s">
        <v>2247</v>
      </c>
      <c r="G792" s="11" t="s">
        <v>20</v>
      </c>
      <c r="H792" s="1">
        <v>18</v>
      </c>
      <c r="I792" s="11" t="s">
        <v>2248</v>
      </c>
      <c r="J792" s="8" t="s">
        <v>2468</v>
      </c>
      <c r="L792" s="8" t="s">
        <v>2282</v>
      </c>
      <c r="M792" s="15">
        <v>40382</v>
      </c>
      <c r="N792" s="1">
        <v>2</v>
      </c>
      <c r="O792" s="11" t="s">
        <v>40</v>
      </c>
      <c r="P792" s="11" t="s">
        <v>41</v>
      </c>
      <c r="Q792" s="11" t="s">
        <v>477</v>
      </c>
      <c r="R792" s="25" t="s">
        <v>2729</v>
      </c>
      <c r="S792" s="15">
        <f t="shared" ca="1" si="27"/>
        <v>40470.53652858796</v>
      </c>
      <c r="T792" s="8">
        <f t="shared" ca="1" si="28"/>
        <v>3</v>
      </c>
      <c r="U792" s="25" t="s">
        <v>42</v>
      </c>
      <c r="V792" s="25" t="s">
        <v>42</v>
      </c>
      <c r="W792" s="25" t="s">
        <v>42</v>
      </c>
      <c r="X792" s="25" t="s">
        <v>42</v>
      </c>
      <c r="Y792" s="19" t="s">
        <v>2649</v>
      </c>
      <c r="AC792" s="39" t="s">
        <v>1380</v>
      </c>
      <c r="AH792" s="11" t="s">
        <v>1416</v>
      </c>
    </row>
    <row r="793" spans="1:34">
      <c r="A793" s="1">
        <v>791</v>
      </c>
      <c r="B793" s="14">
        <v>40360</v>
      </c>
      <c r="C793" s="15">
        <v>40382</v>
      </c>
      <c r="E793" s="8" t="s">
        <v>2469</v>
      </c>
      <c r="G793" s="11" t="s">
        <v>37</v>
      </c>
      <c r="H793" s="1">
        <v>55</v>
      </c>
      <c r="I793" s="11" t="s">
        <v>2470</v>
      </c>
      <c r="L793" s="8" t="s">
        <v>2282</v>
      </c>
      <c r="M793" s="15">
        <v>40382</v>
      </c>
      <c r="N793" s="1">
        <v>1</v>
      </c>
      <c r="O793" s="11" t="s">
        <v>25</v>
      </c>
      <c r="Q793" s="11" t="s">
        <v>27</v>
      </c>
      <c r="R793" s="11" t="s">
        <v>56</v>
      </c>
      <c r="S793" s="15">
        <f t="shared" ca="1" si="27"/>
        <v>40470.53652858796</v>
      </c>
      <c r="T793" s="8">
        <f t="shared" ca="1" si="28"/>
        <v>3</v>
      </c>
      <c r="U793" s="25" t="s">
        <v>56</v>
      </c>
      <c r="Y793" s="19" t="s">
        <v>2649</v>
      </c>
      <c r="AC793" s="39" t="s">
        <v>1380</v>
      </c>
      <c r="AH793" s="11" t="s">
        <v>1416</v>
      </c>
    </row>
    <row r="794" spans="1:34">
      <c r="A794" s="1">
        <v>792</v>
      </c>
      <c r="B794" s="14">
        <v>40360</v>
      </c>
      <c r="C794" s="15">
        <v>40385</v>
      </c>
      <c r="E794" s="8" t="s">
        <v>2471</v>
      </c>
      <c r="G794" s="11" t="s">
        <v>20</v>
      </c>
      <c r="H794" s="1">
        <v>90</v>
      </c>
      <c r="I794" s="11" t="s">
        <v>2472</v>
      </c>
      <c r="J794" s="8" t="s">
        <v>2473</v>
      </c>
      <c r="L794" s="8" t="s">
        <v>2282</v>
      </c>
      <c r="M794" s="15">
        <v>40385</v>
      </c>
      <c r="N794" s="1">
        <v>1</v>
      </c>
      <c r="O794" s="11" t="s">
        <v>25</v>
      </c>
      <c r="Q794" s="11" t="s">
        <v>27</v>
      </c>
      <c r="R794" s="11" t="s">
        <v>60</v>
      </c>
      <c r="S794" s="15">
        <f t="shared" ca="1" si="27"/>
        <v>40470.53652858796</v>
      </c>
      <c r="T794" s="8">
        <f t="shared" ca="1" si="28"/>
        <v>3</v>
      </c>
      <c r="U794" s="25" t="s">
        <v>42</v>
      </c>
      <c r="Y794" s="19" t="s">
        <v>2649</v>
      </c>
      <c r="AC794" s="39" t="s">
        <v>1380</v>
      </c>
      <c r="AH794" s="11" t="s">
        <v>1416</v>
      </c>
    </row>
    <row r="795" spans="1:34">
      <c r="A795" s="1">
        <v>793</v>
      </c>
      <c r="B795" s="14">
        <v>40360</v>
      </c>
      <c r="C795" s="15">
        <v>40385</v>
      </c>
      <c r="E795" s="8" t="s">
        <v>2474</v>
      </c>
      <c r="G795" s="11" t="s">
        <v>37</v>
      </c>
      <c r="H795" s="1">
        <v>13</v>
      </c>
      <c r="I795" s="11" t="s">
        <v>2475</v>
      </c>
      <c r="J795" s="8" t="s">
        <v>2476</v>
      </c>
      <c r="L795" s="8" t="s">
        <v>2282</v>
      </c>
      <c r="M795" s="15">
        <v>40385</v>
      </c>
      <c r="N795" s="1">
        <v>1</v>
      </c>
      <c r="O795" s="11" t="s">
        <v>40</v>
      </c>
      <c r="P795" s="11" t="s">
        <v>2477</v>
      </c>
      <c r="Q795" s="11" t="s">
        <v>27</v>
      </c>
      <c r="R795" s="25" t="s">
        <v>2731</v>
      </c>
      <c r="S795" s="15">
        <f t="shared" ca="1" si="27"/>
        <v>40470.53652858796</v>
      </c>
      <c r="T795" s="8">
        <f t="shared" ca="1" si="28"/>
        <v>3</v>
      </c>
      <c r="U795" s="25" t="s">
        <v>42</v>
      </c>
      <c r="V795" s="25" t="s">
        <v>42</v>
      </c>
      <c r="W795" s="25" t="s">
        <v>42</v>
      </c>
      <c r="X795" s="25" t="s">
        <v>42</v>
      </c>
      <c r="Y795" s="19" t="s">
        <v>2649</v>
      </c>
      <c r="AC795" s="39" t="s">
        <v>1380</v>
      </c>
      <c r="AH795" s="11" t="s">
        <v>1416</v>
      </c>
    </row>
    <row r="796" spans="1:34">
      <c r="A796" s="1">
        <v>794</v>
      </c>
      <c r="B796" s="14">
        <v>40360</v>
      </c>
      <c r="C796" s="15">
        <v>40385</v>
      </c>
      <c r="E796" s="8" t="s">
        <v>2478</v>
      </c>
      <c r="G796" s="11" t="s">
        <v>37</v>
      </c>
      <c r="H796" s="1">
        <v>22</v>
      </c>
      <c r="I796" s="11" t="s">
        <v>2479</v>
      </c>
      <c r="J796" s="8" t="s">
        <v>2480</v>
      </c>
      <c r="L796" s="8" t="s">
        <v>2282</v>
      </c>
      <c r="M796" s="15">
        <v>40385</v>
      </c>
      <c r="N796" s="1">
        <v>1</v>
      </c>
      <c r="O796" s="11" t="s">
        <v>25</v>
      </c>
      <c r="Q796" s="11" t="s">
        <v>27</v>
      </c>
      <c r="R796" s="11" t="s">
        <v>28</v>
      </c>
      <c r="S796" s="15">
        <f t="shared" ca="1" si="27"/>
        <v>40470.53652858796</v>
      </c>
      <c r="T796" s="8">
        <f t="shared" ca="1" si="28"/>
        <v>3</v>
      </c>
      <c r="U796" s="25" t="s">
        <v>2729</v>
      </c>
      <c r="Y796" s="19" t="s">
        <v>2649</v>
      </c>
      <c r="AC796" s="39" t="s">
        <v>1380</v>
      </c>
      <c r="AH796" s="11" t="s">
        <v>1416</v>
      </c>
    </row>
    <row r="797" spans="1:34">
      <c r="A797" s="1">
        <v>795</v>
      </c>
      <c r="B797" s="14">
        <v>40360</v>
      </c>
      <c r="C797" s="15">
        <v>40387</v>
      </c>
      <c r="E797" s="8" t="s">
        <v>2481</v>
      </c>
      <c r="G797" s="11" t="s">
        <v>37</v>
      </c>
      <c r="H797" s="1">
        <v>31</v>
      </c>
      <c r="I797" s="11" t="s">
        <v>2482</v>
      </c>
      <c r="J797" s="8" t="s">
        <v>2483</v>
      </c>
      <c r="L797" s="8" t="s">
        <v>2282</v>
      </c>
      <c r="M797" s="15">
        <v>40387</v>
      </c>
      <c r="N797" s="1">
        <v>2</v>
      </c>
      <c r="O797" s="11" t="s">
        <v>25</v>
      </c>
      <c r="Q797" s="11" t="s">
        <v>27</v>
      </c>
      <c r="R797" s="11" t="s">
        <v>56</v>
      </c>
      <c r="S797" s="15">
        <f t="shared" ca="1" si="27"/>
        <v>40470.53652858796</v>
      </c>
      <c r="T797" s="8">
        <f t="shared" ca="1" si="28"/>
        <v>3</v>
      </c>
      <c r="U797" s="25" t="s">
        <v>56</v>
      </c>
      <c r="V797" s="25" t="s">
        <v>2729</v>
      </c>
      <c r="Y797" s="19" t="s">
        <v>2649</v>
      </c>
      <c r="AC797" s="39" t="s">
        <v>1380</v>
      </c>
      <c r="AH797" s="11" t="s">
        <v>1416</v>
      </c>
    </row>
    <row r="798" spans="1:34">
      <c r="A798" s="1">
        <v>796</v>
      </c>
      <c r="B798" s="14">
        <v>40360</v>
      </c>
      <c r="C798" s="15">
        <v>40389</v>
      </c>
      <c r="E798" s="8" t="s">
        <v>2484</v>
      </c>
      <c r="G798" s="11" t="s">
        <v>37</v>
      </c>
      <c r="H798" s="1">
        <v>10</v>
      </c>
      <c r="I798" s="11" t="s">
        <v>2485</v>
      </c>
      <c r="J798" s="8" t="s">
        <v>2486</v>
      </c>
      <c r="L798" s="8" t="s">
        <v>2282</v>
      </c>
      <c r="M798" s="15">
        <v>40389</v>
      </c>
      <c r="N798" s="1">
        <v>1</v>
      </c>
      <c r="O798" s="11" t="s">
        <v>25</v>
      </c>
      <c r="Q798" s="11" t="s">
        <v>27</v>
      </c>
      <c r="S798" s="15">
        <f t="shared" ca="1" si="27"/>
        <v>40470.53652858796</v>
      </c>
      <c r="T798" s="8">
        <f t="shared" ca="1" si="28"/>
        <v>3</v>
      </c>
      <c r="Y798" s="19" t="s">
        <v>2649</v>
      </c>
      <c r="AC798" s="39" t="s">
        <v>122</v>
      </c>
      <c r="AD798" s="25">
        <v>40369</v>
      </c>
      <c r="AH798" s="25" t="s">
        <v>122</v>
      </c>
    </row>
    <row r="799" spans="1:34">
      <c r="A799" s="1">
        <v>797</v>
      </c>
      <c r="B799" s="14">
        <v>40360</v>
      </c>
      <c r="C799" s="15">
        <v>40389</v>
      </c>
      <c r="E799" s="8" t="s">
        <v>2487</v>
      </c>
      <c r="G799" s="11" t="s">
        <v>20</v>
      </c>
      <c r="H799" s="1">
        <v>12</v>
      </c>
      <c r="I799" s="11" t="s">
        <v>2488</v>
      </c>
      <c r="J799" s="8" t="s">
        <v>2489</v>
      </c>
      <c r="L799" s="8" t="s">
        <v>2282</v>
      </c>
      <c r="M799" s="15">
        <v>40389</v>
      </c>
      <c r="N799" s="1">
        <v>1</v>
      </c>
      <c r="O799" s="11" t="s">
        <v>25</v>
      </c>
      <c r="Q799" s="11" t="s">
        <v>27</v>
      </c>
      <c r="R799" s="25" t="s">
        <v>2729</v>
      </c>
      <c r="S799" s="15">
        <f t="shared" ca="1" si="27"/>
        <v>40470.53652858796</v>
      </c>
      <c r="T799" s="8">
        <f t="shared" ca="1" si="28"/>
        <v>3</v>
      </c>
      <c r="Y799" s="19" t="s">
        <v>2649</v>
      </c>
      <c r="AC799" s="39" t="s">
        <v>1380</v>
      </c>
      <c r="AH799" s="11" t="s">
        <v>1416</v>
      </c>
    </row>
    <row r="800" spans="1:34">
      <c r="A800" s="1">
        <v>798</v>
      </c>
      <c r="B800" s="8" t="s">
        <v>2490</v>
      </c>
      <c r="C800" s="15">
        <v>40392</v>
      </c>
      <c r="E800" s="8" t="s">
        <v>2491</v>
      </c>
      <c r="G800" s="11" t="s">
        <v>20</v>
      </c>
      <c r="H800" s="1">
        <v>24</v>
      </c>
      <c r="I800" s="11" t="s">
        <v>2492</v>
      </c>
      <c r="J800" s="8" t="s">
        <v>2493</v>
      </c>
      <c r="L800" s="8" t="s">
        <v>2282</v>
      </c>
      <c r="M800" s="15">
        <v>40392</v>
      </c>
      <c r="N800" s="1">
        <v>1</v>
      </c>
      <c r="O800" s="11" t="s">
        <v>40</v>
      </c>
      <c r="P800" s="11" t="s">
        <v>2208</v>
      </c>
      <c r="Q800" s="11" t="s">
        <v>27</v>
      </c>
      <c r="R800" s="25" t="s">
        <v>42</v>
      </c>
      <c r="S800" s="15">
        <f t="shared" ca="1" si="27"/>
        <v>40470.53652858796</v>
      </c>
      <c r="T800" s="8">
        <f t="shared" ca="1" si="28"/>
        <v>2</v>
      </c>
      <c r="U800" s="25" t="s">
        <v>42</v>
      </c>
      <c r="V800" s="25" t="s">
        <v>42</v>
      </c>
      <c r="W800" s="25" t="s">
        <v>42</v>
      </c>
      <c r="X800" s="25" t="s">
        <v>42</v>
      </c>
      <c r="Y800" s="19" t="s">
        <v>2649</v>
      </c>
      <c r="AC800" s="39" t="s">
        <v>1380</v>
      </c>
      <c r="AH800" s="11" t="s">
        <v>1416</v>
      </c>
    </row>
    <row r="801" spans="1:34">
      <c r="A801" s="1">
        <v>799</v>
      </c>
      <c r="B801" s="8" t="s">
        <v>2490</v>
      </c>
      <c r="C801" s="15">
        <v>40392</v>
      </c>
      <c r="E801" s="8" t="s">
        <v>2494</v>
      </c>
      <c r="G801" s="11" t="s">
        <v>37</v>
      </c>
      <c r="H801" s="1">
        <v>55</v>
      </c>
      <c r="I801" s="11" t="s">
        <v>2495</v>
      </c>
      <c r="L801" s="8" t="s">
        <v>2282</v>
      </c>
      <c r="M801" s="15">
        <v>40392</v>
      </c>
      <c r="N801" s="1">
        <v>1</v>
      </c>
      <c r="O801" s="11" t="s">
        <v>40</v>
      </c>
      <c r="P801" s="25" t="s">
        <v>176</v>
      </c>
      <c r="Q801" s="11" t="s">
        <v>27</v>
      </c>
      <c r="R801" s="25" t="s">
        <v>2729</v>
      </c>
      <c r="S801" s="15">
        <f t="shared" ca="1" si="27"/>
        <v>40470.53652858796</v>
      </c>
      <c r="T801" s="8">
        <f t="shared" ca="1" si="28"/>
        <v>2</v>
      </c>
      <c r="U801" s="25" t="s">
        <v>42</v>
      </c>
      <c r="V801" s="25" t="s">
        <v>42</v>
      </c>
      <c r="W801" s="25" t="s">
        <v>42</v>
      </c>
      <c r="X801" s="25" t="s">
        <v>42</v>
      </c>
      <c r="Y801" s="19" t="s">
        <v>2649</v>
      </c>
      <c r="AC801" s="39" t="s">
        <v>2289</v>
      </c>
      <c r="AD801" s="25">
        <v>40273</v>
      </c>
      <c r="AH801" s="25" t="s">
        <v>2289</v>
      </c>
    </row>
    <row r="802" spans="1:34">
      <c r="A802" s="1">
        <v>800</v>
      </c>
      <c r="B802" s="8" t="s">
        <v>2490</v>
      </c>
      <c r="C802" s="15">
        <v>40392</v>
      </c>
      <c r="E802" s="8" t="s">
        <v>2496</v>
      </c>
      <c r="G802" s="11" t="s">
        <v>20</v>
      </c>
      <c r="H802" s="1">
        <v>40</v>
      </c>
      <c r="I802" s="11" t="s">
        <v>2497</v>
      </c>
      <c r="J802" s="8" t="s">
        <v>2498</v>
      </c>
      <c r="L802" s="8" t="s">
        <v>2282</v>
      </c>
      <c r="M802" s="15">
        <v>40392</v>
      </c>
      <c r="N802" s="1">
        <v>1</v>
      </c>
      <c r="O802" s="11" t="s">
        <v>40</v>
      </c>
      <c r="P802" s="11" t="s">
        <v>1527</v>
      </c>
      <c r="Q802" s="11" t="s">
        <v>27</v>
      </c>
      <c r="R802" s="25" t="s">
        <v>42</v>
      </c>
      <c r="S802" s="15">
        <f t="shared" ca="1" si="27"/>
        <v>40470.53652858796</v>
      </c>
      <c r="T802" s="8">
        <f t="shared" ca="1" si="28"/>
        <v>2</v>
      </c>
      <c r="U802" s="25" t="s">
        <v>42</v>
      </c>
      <c r="V802" s="25" t="s">
        <v>42</v>
      </c>
      <c r="W802" s="25" t="s">
        <v>42</v>
      </c>
      <c r="X802" s="25" t="s">
        <v>42</v>
      </c>
      <c r="Y802" s="19" t="s">
        <v>2649</v>
      </c>
      <c r="AC802" s="39" t="s">
        <v>1380</v>
      </c>
      <c r="AH802" s="11" t="s">
        <v>1416</v>
      </c>
    </row>
    <row r="803" spans="1:34">
      <c r="A803" s="1">
        <v>801</v>
      </c>
      <c r="B803" s="8" t="s">
        <v>2490</v>
      </c>
      <c r="C803" s="15">
        <v>40392</v>
      </c>
      <c r="E803" s="8" t="s">
        <v>2499</v>
      </c>
      <c r="G803" s="11" t="s">
        <v>20</v>
      </c>
      <c r="H803" s="1">
        <v>26</v>
      </c>
      <c r="I803" s="11" t="s">
        <v>2500</v>
      </c>
      <c r="J803" s="8" t="s">
        <v>2501</v>
      </c>
      <c r="L803" s="8" t="s">
        <v>2282</v>
      </c>
      <c r="M803" s="15">
        <v>40392</v>
      </c>
      <c r="N803" s="1">
        <v>1</v>
      </c>
      <c r="O803" s="11" t="s">
        <v>40</v>
      </c>
      <c r="P803" s="11" t="s">
        <v>2096</v>
      </c>
      <c r="Q803" s="11" t="s">
        <v>27</v>
      </c>
      <c r="R803" s="25" t="s">
        <v>56</v>
      </c>
      <c r="S803" s="15">
        <f t="shared" ca="1" si="27"/>
        <v>40470.53652858796</v>
      </c>
      <c r="T803" s="8">
        <f t="shared" ca="1" si="28"/>
        <v>2</v>
      </c>
      <c r="U803" s="25" t="s">
        <v>42</v>
      </c>
      <c r="V803" s="25" t="s">
        <v>42</v>
      </c>
      <c r="W803" s="25" t="s">
        <v>42</v>
      </c>
      <c r="X803" s="25" t="s">
        <v>42</v>
      </c>
      <c r="Y803" s="19" t="s">
        <v>2649</v>
      </c>
      <c r="AC803" s="39" t="s">
        <v>1380</v>
      </c>
      <c r="AH803" s="11" t="s">
        <v>1416</v>
      </c>
    </row>
    <row r="804" spans="1:34">
      <c r="A804" s="1">
        <v>802</v>
      </c>
      <c r="B804" s="8" t="s">
        <v>2490</v>
      </c>
      <c r="C804" s="15">
        <v>40392</v>
      </c>
      <c r="E804" s="8" t="s">
        <v>2502</v>
      </c>
      <c r="G804" s="11" t="s">
        <v>37</v>
      </c>
      <c r="H804" s="1">
        <v>30</v>
      </c>
      <c r="I804" s="11" t="s">
        <v>2503</v>
      </c>
      <c r="J804" s="8" t="s">
        <v>2504</v>
      </c>
      <c r="L804" s="8" t="s">
        <v>2282</v>
      </c>
      <c r="M804" s="15">
        <v>40392</v>
      </c>
      <c r="N804" s="1">
        <v>1</v>
      </c>
      <c r="O804" s="11" t="s">
        <v>25</v>
      </c>
      <c r="Q804" s="11" t="s">
        <v>110</v>
      </c>
      <c r="R804" s="11" t="s">
        <v>56</v>
      </c>
      <c r="U804" s="25" t="s">
        <v>56</v>
      </c>
      <c r="Y804" s="19" t="s">
        <v>2649</v>
      </c>
      <c r="AC804" s="39" t="s">
        <v>1380</v>
      </c>
      <c r="AH804" s="11" t="s">
        <v>1416</v>
      </c>
    </row>
    <row r="805" spans="1:34">
      <c r="A805" s="1">
        <v>803</v>
      </c>
      <c r="B805" s="8" t="s">
        <v>2490</v>
      </c>
      <c r="C805" s="15">
        <v>40392</v>
      </c>
      <c r="E805" s="8" t="s">
        <v>2505</v>
      </c>
      <c r="G805" s="11" t="s">
        <v>20</v>
      </c>
      <c r="H805" s="1">
        <v>14</v>
      </c>
      <c r="I805" s="11" t="s">
        <v>2319</v>
      </c>
      <c r="L805" s="8" t="s">
        <v>2282</v>
      </c>
      <c r="M805" s="15">
        <v>40392</v>
      </c>
      <c r="N805" s="1">
        <v>1</v>
      </c>
      <c r="O805" s="11" t="s">
        <v>40</v>
      </c>
      <c r="P805" s="11" t="s">
        <v>1527</v>
      </c>
      <c r="Q805" s="11" t="s">
        <v>27</v>
      </c>
      <c r="R805" s="25" t="s">
        <v>42</v>
      </c>
      <c r="S805" s="15">
        <f t="shared" ca="1" si="27"/>
        <v>40470.53652858796</v>
      </c>
      <c r="T805" s="8">
        <f t="shared" ca="1" si="28"/>
        <v>2</v>
      </c>
      <c r="U805" s="25" t="s">
        <v>42</v>
      </c>
      <c r="V805" s="25" t="s">
        <v>42</v>
      </c>
      <c r="W805" s="25" t="s">
        <v>42</v>
      </c>
      <c r="X805" s="25" t="s">
        <v>42</v>
      </c>
      <c r="Y805" s="19" t="s">
        <v>2649</v>
      </c>
      <c r="AC805" s="39" t="s">
        <v>1380</v>
      </c>
      <c r="AH805" s="11" t="s">
        <v>1416</v>
      </c>
    </row>
    <row r="806" spans="1:34">
      <c r="A806" s="1">
        <v>804</v>
      </c>
      <c r="B806" s="8" t="s">
        <v>2490</v>
      </c>
      <c r="C806" s="15">
        <v>40392</v>
      </c>
      <c r="E806" s="8" t="s">
        <v>2320</v>
      </c>
      <c r="G806" s="11" t="s">
        <v>37</v>
      </c>
      <c r="H806" s="1">
        <v>30</v>
      </c>
      <c r="I806" s="11" t="s">
        <v>2321</v>
      </c>
      <c r="L806" s="8" t="s">
        <v>2282</v>
      </c>
      <c r="M806" s="15">
        <v>40392</v>
      </c>
      <c r="N806" s="1">
        <v>1</v>
      </c>
      <c r="O806" s="11" t="s">
        <v>40</v>
      </c>
      <c r="P806" s="11" t="s">
        <v>2096</v>
      </c>
      <c r="Q806" s="11" t="s">
        <v>27</v>
      </c>
      <c r="R806" s="25" t="s">
        <v>56</v>
      </c>
      <c r="S806" s="15">
        <f t="shared" ca="1" si="27"/>
        <v>40470.53652858796</v>
      </c>
      <c r="T806" s="8">
        <f t="shared" ca="1" si="28"/>
        <v>2</v>
      </c>
      <c r="U806" s="25" t="s">
        <v>42</v>
      </c>
      <c r="V806" s="25" t="s">
        <v>42</v>
      </c>
      <c r="W806" s="25" t="s">
        <v>42</v>
      </c>
      <c r="X806" s="25" t="s">
        <v>42</v>
      </c>
      <c r="Y806" s="19" t="s">
        <v>2649</v>
      </c>
      <c r="AC806" s="39" t="s">
        <v>1380</v>
      </c>
      <c r="AH806" s="11" t="s">
        <v>1416</v>
      </c>
    </row>
    <row r="807" spans="1:34">
      <c r="A807" s="1">
        <v>805</v>
      </c>
      <c r="B807" s="8" t="s">
        <v>2490</v>
      </c>
      <c r="C807" s="15">
        <v>40394</v>
      </c>
      <c r="E807" s="8" t="s">
        <v>2322</v>
      </c>
      <c r="G807" s="11" t="s">
        <v>37</v>
      </c>
      <c r="H807" s="1">
        <v>22</v>
      </c>
      <c r="I807" s="11" t="s">
        <v>2323</v>
      </c>
      <c r="J807" s="8" t="s">
        <v>2324</v>
      </c>
      <c r="L807" s="8" t="s">
        <v>2282</v>
      </c>
      <c r="M807" s="15">
        <v>40394</v>
      </c>
      <c r="N807" s="1">
        <v>1</v>
      </c>
      <c r="O807" s="11" t="s">
        <v>25</v>
      </c>
      <c r="Q807" s="11" t="s">
        <v>27</v>
      </c>
      <c r="R807" s="11" t="s">
        <v>60</v>
      </c>
      <c r="U807" s="25" t="s">
        <v>2729</v>
      </c>
      <c r="Y807" s="19" t="s">
        <v>2649</v>
      </c>
      <c r="AC807" s="39" t="s">
        <v>2325</v>
      </c>
      <c r="AH807" s="11" t="s">
        <v>2325</v>
      </c>
    </row>
    <row r="808" spans="1:34">
      <c r="A808" s="1">
        <v>806</v>
      </c>
      <c r="B808" s="8" t="s">
        <v>2490</v>
      </c>
      <c r="C808" s="15">
        <v>40395</v>
      </c>
      <c r="E808" s="8" t="s">
        <v>2326</v>
      </c>
      <c r="G808" s="11" t="s">
        <v>37</v>
      </c>
      <c r="H808" s="1">
        <v>35</v>
      </c>
      <c r="I808" s="11" t="s">
        <v>2327</v>
      </c>
      <c r="L808" s="8" t="s">
        <v>2282</v>
      </c>
      <c r="M808" s="15">
        <v>40395</v>
      </c>
      <c r="N808" s="1">
        <v>2</v>
      </c>
      <c r="O808" s="11" t="s">
        <v>25</v>
      </c>
      <c r="Q808" s="11" t="s">
        <v>381</v>
      </c>
      <c r="R808" s="11" t="s">
        <v>60</v>
      </c>
      <c r="Y808" s="19" t="s">
        <v>2649</v>
      </c>
      <c r="AC808" s="39" t="s">
        <v>1380</v>
      </c>
      <c r="AH808" s="11" t="s">
        <v>1416</v>
      </c>
    </row>
    <row r="809" spans="1:34">
      <c r="A809" s="1">
        <v>807</v>
      </c>
      <c r="B809" s="8" t="s">
        <v>2490</v>
      </c>
      <c r="C809" s="15">
        <v>40399</v>
      </c>
      <c r="E809" s="8" t="s">
        <v>2328</v>
      </c>
      <c r="G809" s="11" t="s">
        <v>20</v>
      </c>
      <c r="H809" s="1">
        <v>55</v>
      </c>
      <c r="I809" s="11" t="s">
        <v>2329</v>
      </c>
      <c r="J809" s="8" t="s">
        <v>2330</v>
      </c>
      <c r="L809" s="8" t="s">
        <v>2282</v>
      </c>
      <c r="M809" s="15">
        <v>40399</v>
      </c>
      <c r="N809" s="1">
        <v>1</v>
      </c>
      <c r="O809" s="11" t="s">
        <v>25</v>
      </c>
      <c r="Q809" s="11" t="s">
        <v>27</v>
      </c>
      <c r="R809" s="11" t="s">
        <v>56</v>
      </c>
      <c r="Y809" s="19" t="s">
        <v>2649</v>
      </c>
      <c r="AC809" s="39" t="s">
        <v>1380</v>
      </c>
      <c r="AH809" s="11" t="s">
        <v>1416</v>
      </c>
    </row>
    <row r="810" spans="1:34">
      <c r="A810" s="1">
        <v>808</v>
      </c>
      <c r="B810" s="8" t="s">
        <v>2490</v>
      </c>
      <c r="C810" s="15">
        <v>40399</v>
      </c>
      <c r="E810" s="8" t="s">
        <v>2331</v>
      </c>
      <c r="G810" s="11" t="s">
        <v>37</v>
      </c>
      <c r="H810" s="1">
        <v>38</v>
      </c>
      <c r="I810" s="11" t="s">
        <v>2332</v>
      </c>
      <c r="L810" s="8" t="s">
        <v>2282</v>
      </c>
      <c r="M810" s="15">
        <v>40399</v>
      </c>
      <c r="N810" s="1">
        <v>1</v>
      </c>
      <c r="O810" s="11" t="s">
        <v>25</v>
      </c>
      <c r="Q810" s="11" t="s">
        <v>27</v>
      </c>
      <c r="R810" s="25" t="s">
        <v>60</v>
      </c>
      <c r="Y810" s="19" t="s">
        <v>2649</v>
      </c>
      <c r="AC810" s="39" t="s">
        <v>1380</v>
      </c>
      <c r="AH810" s="11" t="s">
        <v>1416</v>
      </c>
    </row>
    <row r="811" spans="1:34">
      <c r="A811" s="1">
        <v>809</v>
      </c>
      <c r="B811" s="8" t="s">
        <v>2490</v>
      </c>
      <c r="C811" s="15">
        <v>40400</v>
      </c>
      <c r="E811" s="8" t="s">
        <v>2333</v>
      </c>
      <c r="G811" s="11" t="s">
        <v>20</v>
      </c>
      <c r="H811" s="1">
        <v>26</v>
      </c>
      <c r="I811" s="11" t="s">
        <v>2334</v>
      </c>
      <c r="L811" s="8" t="s">
        <v>2282</v>
      </c>
      <c r="M811" s="15">
        <v>40400</v>
      </c>
      <c r="N811" s="1">
        <v>2</v>
      </c>
      <c r="O811" s="11" t="s">
        <v>40</v>
      </c>
      <c r="P811" s="11" t="s">
        <v>2208</v>
      </c>
      <c r="Q811" s="11" t="s">
        <v>49</v>
      </c>
      <c r="R811" s="25" t="s">
        <v>56</v>
      </c>
      <c r="S811" s="15">
        <f t="shared" ref="S811" ca="1" si="29">NOW()</f>
        <v>40470.53652858796</v>
      </c>
      <c r="T811" s="8">
        <f t="shared" ref="T811" ca="1" si="30">(YEAR(S811)-YEAR(M811))*12+MONTH(S811)-MONTH(M811)</f>
        <v>2</v>
      </c>
      <c r="U811" s="25" t="s">
        <v>42</v>
      </c>
      <c r="V811" s="25" t="s">
        <v>42</v>
      </c>
      <c r="W811" s="25" t="s">
        <v>42</v>
      </c>
      <c r="X811" s="25" t="s">
        <v>42</v>
      </c>
      <c r="Y811" s="19" t="s">
        <v>2649</v>
      </c>
      <c r="AC811" s="39" t="s">
        <v>1380</v>
      </c>
      <c r="AH811" s="11" t="s">
        <v>1416</v>
      </c>
    </row>
    <row r="812" spans="1:34">
      <c r="A812" s="1">
        <v>810</v>
      </c>
      <c r="B812" s="8" t="s">
        <v>2490</v>
      </c>
      <c r="C812" s="15">
        <v>40400</v>
      </c>
      <c r="E812" s="8" t="s">
        <v>2335</v>
      </c>
      <c r="G812" s="11" t="s">
        <v>20</v>
      </c>
      <c r="H812" s="1">
        <v>58</v>
      </c>
      <c r="I812" s="11" t="s">
        <v>2336</v>
      </c>
      <c r="L812" s="8" t="s">
        <v>2282</v>
      </c>
      <c r="M812" s="15">
        <v>40400</v>
      </c>
      <c r="N812" s="1">
        <v>1</v>
      </c>
      <c r="O812" s="11" t="s">
        <v>25</v>
      </c>
      <c r="Q812" s="11" t="s">
        <v>27</v>
      </c>
      <c r="R812" s="25" t="s">
        <v>28</v>
      </c>
      <c r="Y812" s="19" t="s">
        <v>2649</v>
      </c>
      <c r="AC812" s="39" t="s">
        <v>1380</v>
      </c>
      <c r="AH812" s="11" t="s">
        <v>1416</v>
      </c>
    </row>
    <row r="813" spans="1:34">
      <c r="A813" s="1">
        <v>811</v>
      </c>
      <c r="B813" s="8" t="s">
        <v>2490</v>
      </c>
      <c r="C813" s="15">
        <v>40400</v>
      </c>
      <c r="E813" s="8" t="s">
        <v>2337</v>
      </c>
      <c r="G813" s="11" t="s">
        <v>37</v>
      </c>
      <c r="H813" s="1">
        <v>20</v>
      </c>
      <c r="I813" s="11" t="s">
        <v>2338</v>
      </c>
      <c r="J813" s="8" t="s">
        <v>2339</v>
      </c>
      <c r="L813" s="8" t="s">
        <v>2282</v>
      </c>
      <c r="M813" s="15">
        <v>40400</v>
      </c>
      <c r="N813" s="1">
        <v>2</v>
      </c>
      <c r="O813" s="11" t="s">
        <v>25</v>
      </c>
      <c r="Q813" s="11" t="s">
        <v>27</v>
      </c>
      <c r="R813" s="11" t="s">
        <v>28</v>
      </c>
      <c r="Y813" s="19" t="s">
        <v>2649</v>
      </c>
      <c r="AC813" s="39" t="s">
        <v>1380</v>
      </c>
      <c r="AH813" s="11" t="s">
        <v>1416</v>
      </c>
    </row>
    <row r="814" spans="1:34">
      <c r="A814" s="1">
        <v>812</v>
      </c>
      <c r="B814" s="8" t="s">
        <v>2490</v>
      </c>
      <c r="C814" s="15">
        <v>40400</v>
      </c>
      <c r="E814" s="8" t="s">
        <v>2340</v>
      </c>
      <c r="G814" s="11" t="s">
        <v>20</v>
      </c>
      <c r="H814" s="1">
        <v>18</v>
      </c>
      <c r="I814" s="11" t="s">
        <v>2341</v>
      </c>
      <c r="L814" s="8" t="s">
        <v>2282</v>
      </c>
      <c r="M814" s="15">
        <v>40400</v>
      </c>
      <c r="N814" s="1">
        <v>2</v>
      </c>
      <c r="O814" s="11" t="s">
        <v>25</v>
      </c>
      <c r="Q814" s="11" t="s">
        <v>381</v>
      </c>
      <c r="R814" s="25" t="s">
        <v>28</v>
      </c>
      <c r="Y814" s="19" t="s">
        <v>2649</v>
      </c>
      <c r="AC814" s="39" t="s">
        <v>1380</v>
      </c>
      <c r="AH814" s="11" t="s">
        <v>1416</v>
      </c>
    </row>
    <row r="815" spans="1:34">
      <c r="A815" s="1">
        <v>813</v>
      </c>
      <c r="B815" s="8" t="s">
        <v>2490</v>
      </c>
      <c r="C815" s="15">
        <v>40401</v>
      </c>
      <c r="E815" s="8" t="s">
        <v>2342</v>
      </c>
      <c r="G815" s="11" t="s">
        <v>37</v>
      </c>
      <c r="H815" s="1">
        <v>50</v>
      </c>
      <c r="I815" s="11" t="s">
        <v>2343</v>
      </c>
      <c r="J815" s="8" t="s">
        <v>2344</v>
      </c>
      <c r="L815" s="8" t="s">
        <v>2282</v>
      </c>
      <c r="M815" s="15">
        <v>40401</v>
      </c>
      <c r="N815" s="1">
        <v>1</v>
      </c>
      <c r="O815" s="11" t="s">
        <v>25</v>
      </c>
      <c r="Q815" s="11" t="s">
        <v>27</v>
      </c>
      <c r="R815" s="25" t="s">
        <v>56</v>
      </c>
      <c r="U815" s="25" t="s">
        <v>56</v>
      </c>
      <c r="Y815" s="19" t="s">
        <v>2649</v>
      </c>
      <c r="AC815" s="39" t="s">
        <v>1380</v>
      </c>
      <c r="AH815" s="11" t="s">
        <v>1416</v>
      </c>
    </row>
    <row r="816" spans="1:34">
      <c r="A816" s="1">
        <v>814</v>
      </c>
      <c r="B816" s="8" t="s">
        <v>2490</v>
      </c>
      <c r="C816" s="15">
        <v>40401</v>
      </c>
      <c r="E816" s="8" t="s">
        <v>2345</v>
      </c>
      <c r="G816" s="11" t="s">
        <v>37</v>
      </c>
      <c r="H816" s="1">
        <v>80</v>
      </c>
      <c r="I816" s="11" t="s">
        <v>2346</v>
      </c>
      <c r="J816" s="8" t="s">
        <v>2347</v>
      </c>
      <c r="L816" s="8" t="s">
        <v>2282</v>
      </c>
      <c r="M816" s="15">
        <v>40401</v>
      </c>
      <c r="N816" s="1">
        <v>1</v>
      </c>
      <c r="O816" s="11" t="s">
        <v>40</v>
      </c>
      <c r="P816" s="11" t="s">
        <v>431</v>
      </c>
      <c r="Q816" s="11" t="s">
        <v>27</v>
      </c>
      <c r="R816" s="25" t="s">
        <v>42</v>
      </c>
      <c r="S816" s="15">
        <f t="shared" ref="S816:S820" ca="1" si="31">NOW()</f>
        <v>40470.53652858796</v>
      </c>
      <c r="T816" s="8">
        <f t="shared" ref="T816:T820" ca="1" si="32">(YEAR(S816)-YEAR(M816))*12+MONTH(S816)-MONTH(M816)</f>
        <v>2</v>
      </c>
      <c r="U816" s="25" t="s">
        <v>42</v>
      </c>
      <c r="V816" s="25" t="s">
        <v>42</v>
      </c>
      <c r="W816" s="25" t="s">
        <v>42</v>
      </c>
      <c r="X816" s="25" t="s">
        <v>42</v>
      </c>
      <c r="Y816" s="19" t="s">
        <v>2649</v>
      </c>
      <c r="AC816" s="39" t="s">
        <v>1380</v>
      </c>
      <c r="AH816" s="11" t="s">
        <v>1416</v>
      </c>
    </row>
    <row r="817" spans="1:34">
      <c r="A817" s="1">
        <v>815</v>
      </c>
      <c r="B817" s="14">
        <v>40369</v>
      </c>
      <c r="C817" s="15">
        <v>40389</v>
      </c>
      <c r="E817" s="8" t="s">
        <v>2348</v>
      </c>
      <c r="G817" s="11" t="s">
        <v>20</v>
      </c>
      <c r="H817" s="1">
        <v>14</v>
      </c>
      <c r="I817" s="11" t="s">
        <v>2349</v>
      </c>
      <c r="J817" s="8" t="s">
        <v>2350</v>
      </c>
      <c r="L817" s="8" t="s">
        <v>2282</v>
      </c>
      <c r="M817" s="15">
        <v>40389</v>
      </c>
      <c r="N817" s="1">
        <v>1</v>
      </c>
      <c r="O817" s="11" t="s">
        <v>40</v>
      </c>
      <c r="P817" s="11" t="s">
        <v>2208</v>
      </c>
      <c r="Q817" s="11" t="s">
        <v>27</v>
      </c>
      <c r="R817" s="25" t="s">
        <v>2729</v>
      </c>
      <c r="S817" s="15">
        <f t="shared" ca="1" si="31"/>
        <v>40470.53652858796</v>
      </c>
      <c r="T817" s="8">
        <f t="shared" ca="1" si="32"/>
        <v>3</v>
      </c>
      <c r="U817" s="25" t="s">
        <v>42</v>
      </c>
      <c r="V817" s="25" t="s">
        <v>42</v>
      </c>
      <c r="W817" s="25" t="s">
        <v>42</v>
      </c>
      <c r="X817" s="25" t="s">
        <v>42</v>
      </c>
      <c r="Y817" s="19" t="s">
        <v>2649</v>
      </c>
      <c r="AC817" s="39" t="s">
        <v>1380</v>
      </c>
      <c r="AH817" s="11" t="s">
        <v>1416</v>
      </c>
    </row>
    <row r="818" spans="1:34">
      <c r="A818" s="1">
        <v>816</v>
      </c>
      <c r="B818" s="8" t="s">
        <v>2490</v>
      </c>
      <c r="C818" s="15">
        <v>40403</v>
      </c>
      <c r="E818" s="8" t="s">
        <v>2351</v>
      </c>
      <c r="G818" s="11" t="s">
        <v>37</v>
      </c>
      <c r="H818" s="1">
        <v>14</v>
      </c>
      <c r="I818" s="11" t="s">
        <v>2352</v>
      </c>
      <c r="J818" s="8" t="s">
        <v>2353</v>
      </c>
      <c r="L818" s="8" t="s">
        <v>2282</v>
      </c>
      <c r="M818" s="15">
        <v>40403</v>
      </c>
      <c r="N818" s="1">
        <v>1</v>
      </c>
      <c r="O818" s="11" t="s">
        <v>40</v>
      </c>
      <c r="P818" s="11" t="s">
        <v>2208</v>
      </c>
      <c r="Q818" s="11" t="s">
        <v>27</v>
      </c>
      <c r="R818" s="25" t="s">
        <v>56</v>
      </c>
      <c r="S818" s="15">
        <f t="shared" ca="1" si="31"/>
        <v>40470.53652858796</v>
      </c>
      <c r="T818" s="8">
        <f t="shared" ca="1" si="32"/>
        <v>2</v>
      </c>
      <c r="U818" s="25" t="s">
        <v>42</v>
      </c>
      <c r="V818" s="25" t="s">
        <v>42</v>
      </c>
      <c r="W818" s="25" t="s">
        <v>42</v>
      </c>
      <c r="X818" s="25" t="s">
        <v>42</v>
      </c>
      <c r="Y818" s="19" t="s">
        <v>2649</v>
      </c>
      <c r="AC818" s="39" t="s">
        <v>1380</v>
      </c>
      <c r="AH818" s="11" t="s">
        <v>1416</v>
      </c>
    </row>
    <row r="819" spans="1:34">
      <c r="A819" s="1">
        <v>817</v>
      </c>
      <c r="B819" s="8" t="s">
        <v>2490</v>
      </c>
      <c r="C819" s="15">
        <v>40406</v>
      </c>
      <c r="E819" s="8" t="s">
        <v>2354</v>
      </c>
      <c r="G819" s="11" t="s">
        <v>37</v>
      </c>
      <c r="H819" s="1">
        <v>23</v>
      </c>
      <c r="I819" s="11" t="s">
        <v>2355</v>
      </c>
      <c r="J819" s="8" t="s">
        <v>2356</v>
      </c>
      <c r="L819" s="8" t="s">
        <v>2282</v>
      </c>
      <c r="M819" s="15">
        <v>40406</v>
      </c>
      <c r="N819" s="1">
        <v>2</v>
      </c>
      <c r="O819" s="11" t="s">
        <v>40</v>
      </c>
      <c r="P819" s="25" t="s">
        <v>2749</v>
      </c>
      <c r="Q819" s="11" t="s">
        <v>477</v>
      </c>
      <c r="R819" s="25" t="s">
        <v>42</v>
      </c>
      <c r="S819" s="15">
        <f t="shared" ca="1" si="31"/>
        <v>40470.53652858796</v>
      </c>
      <c r="T819" s="8">
        <f t="shared" ca="1" si="32"/>
        <v>2</v>
      </c>
      <c r="U819" s="25" t="s">
        <v>42</v>
      </c>
      <c r="V819" s="25" t="s">
        <v>42</v>
      </c>
      <c r="W819" s="25" t="s">
        <v>42</v>
      </c>
      <c r="X819" s="25" t="s">
        <v>42</v>
      </c>
      <c r="Y819" s="19" t="s">
        <v>2649</v>
      </c>
      <c r="AC819" s="39" t="s">
        <v>1380</v>
      </c>
      <c r="AH819" s="11" t="s">
        <v>1416</v>
      </c>
    </row>
    <row r="820" spans="1:34">
      <c r="A820" s="1">
        <v>818</v>
      </c>
      <c r="B820" s="8" t="s">
        <v>2490</v>
      </c>
      <c r="C820" s="15">
        <v>40406</v>
      </c>
      <c r="E820" s="8" t="s">
        <v>2357</v>
      </c>
      <c r="G820" s="11" t="s">
        <v>37</v>
      </c>
      <c r="H820" s="1">
        <v>20</v>
      </c>
      <c r="I820" s="25" t="s">
        <v>2750</v>
      </c>
      <c r="J820" s="8" t="s">
        <v>2576</v>
      </c>
      <c r="L820" s="8" t="s">
        <v>2282</v>
      </c>
      <c r="M820" s="15">
        <v>40406</v>
      </c>
      <c r="N820" s="1">
        <v>1</v>
      </c>
      <c r="O820" s="11" t="s">
        <v>40</v>
      </c>
      <c r="P820" s="11" t="s">
        <v>2208</v>
      </c>
      <c r="Q820" s="11" t="s">
        <v>27</v>
      </c>
      <c r="R820" s="25" t="s">
        <v>2729</v>
      </c>
      <c r="S820" s="15">
        <f t="shared" ca="1" si="31"/>
        <v>40470.53652858796</v>
      </c>
      <c r="T820" s="8">
        <f t="shared" ca="1" si="32"/>
        <v>2</v>
      </c>
      <c r="U820" s="25" t="s">
        <v>42</v>
      </c>
      <c r="V820" s="25" t="s">
        <v>42</v>
      </c>
      <c r="W820" s="25" t="s">
        <v>42</v>
      </c>
      <c r="X820" s="25" t="s">
        <v>42</v>
      </c>
      <c r="Y820" s="19" t="s">
        <v>2649</v>
      </c>
      <c r="AC820" s="39" t="s">
        <v>1380</v>
      </c>
      <c r="AH820" s="11" t="s">
        <v>1416</v>
      </c>
    </row>
    <row r="821" spans="1:34">
      <c r="A821" s="1">
        <v>819</v>
      </c>
      <c r="B821" s="8" t="s">
        <v>2490</v>
      </c>
      <c r="C821" s="15">
        <v>40406</v>
      </c>
      <c r="E821" s="8" t="s">
        <v>2577</v>
      </c>
      <c r="G821" s="11" t="s">
        <v>20</v>
      </c>
      <c r="H821" s="1">
        <v>62</v>
      </c>
      <c r="I821" s="11" t="s">
        <v>2578</v>
      </c>
      <c r="J821" s="8" t="s">
        <v>2579</v>
      </c>
      <c r="L821" s="8" t="s">
        <v>2282</v>
      </c>
      <c r="M821" s="15">
        <v>40406</v>
      </c>
      <c r="N821" s="1">
        <v>1</v>
      </c>
      <c r="O821" s="11" t="s">
        <v>25</v>
      </c>
      <c r="Q821" s="11" t="s">
        <v>27</v>
      </c>
      <c r="R821" s="11" t="s">
        <v>28</v>
      </c>
      <c r="Y821" s="19" t="s">
        <v>2649</v>
      </c>
      <c r="AC821" s="39" t="s">
        <v>1380</v>
      </c>
      <c r="AH821" s="11" t="s">
        <v>1416</v>
      </c>
    </row>
    <row r="822" spans="1:34">
      <c r="A822" s="1">
        <v>820</v>
      </c>
      <c r="B822" s="8" t="s">
        <v>2490</v>
      </c>
      <c r="C822" s="15">
        <v>40406</v>
      </c>
      <c r="E822" s="8" t="s">
        <v>2580</v>
      </c>
      <c r="G822" s="11" t="s">
        <v>37</v>
      </c>
      <c r="H822" s="1">
        <v>25</v>
      </c>
      <c r="I822" s="11" t="s">
        <v>2581</v>
      </c>
      <c r="L822" s="8" t="s">
        <v>2282</v>
      </c>
      <c r="M822" s="15">
        <v>40406</v>
      </c>
      <c r="N822" s="1">
        <v>1</v>
      </c>
      <c r="O822" s="11" t="s">
        <v>25</v>
      </c>
      <c r="Q822" s="11" t="s">
        <v>27</v>
      </c>
      <c r="R822" s="11" t="s">
        <v>56</v>
      </c>
      <c r="Y822" s="19" t="s">
        <v>2649</v>
      </c>
      <c r="AC822" s="39" t="s">
        <v>1380</v>
      </c>
      <c r="AH822" s="11" t="s">
        <v>1416</v>
      </c>
    </row>
    <row r="823" spans="1:34">
      <c r="A823" s="1">
        <v>821</v>
      </c>
      <c r="B823" s="8" t="s">
        <v>2490</v>
      </c>
      <c r="C823" s="15">
        <v>40407</v>
      </c>
      <c r="E823" s="8" t="s">
        <v>2582</v>
      </c>
      <c r="G823" s="11" t="s">
        <v>20</v>
      </c>
      <c r="H823" s="1">
        <v>18</v>
      </c>
      <c r="I823" s="11" t="s">
        <v>2583</v>
      </c>
      <c r="J823" s="8" t="s">
        <v>2584</v>
      </c>
      <c r="L823" s="8" t="s">
        <v>2282</v>
      </c>
      <c r="M823" s="15">
        <v>40407</v>
      </c>
      <c r="N823" s="1">
        <v>2</v>
      </c>
      <c r="O823" s="11" t="s">
        <v>25</v>
      </c>
      <c r="Q823" s="11" t="s">
        <v>49</v>
      </c>
      <c r="R823" s="11" t="s">
        <v>28</v>
      </c>
      <c r="Y823" s="19" t="s">
        <v>2649</v>
      </c>
      <c r="AC823" s="39" t="s">
        <v>1380</v>
      </c>
      <c r="AH823" s="11" t="s">
        <v>1416</v>
      </c>
    </row>
    <row r="824" spans="1:34">
      <c r="A824" s="1">
        <v>822</v>
      </c>
      <c r="B824" s="8" t="s">
        <v>2490</v>
      </c>
      <c r="C824" s="15">
        <v>40407</v>
      </c>
      <c r="E824" s="8" t="s">
        <v>2585</v>
      </c>
      <c r="G824" s="11" t="s">
        <v>37</v>
      </c>
      <c r="H824" s="1">
        <v>35</v>
      </c>
      <c r="I824" s="11" t="s">
        <v>2586</v>
      </c>
      <c r="J824" s="8" t="s">
        <v>2587</v>
      </c>
      <c r="L824" s="8" t="s">
        <v>2282</v>
      </c>
      <c r="M824" s="15">
        <v>40407</v>
      </c>
      <c r="N824" s="1">
        <v>2</v>
      </c>
      <c r="O824" s="11" t="s">
        <v>25</v>
      </c>
      <c r="Q824" s="11" t="s">
        <v>110</v>
      </c>
      <c r="R824" s="25" t="s">
        <v>28</v>
      </c>
      <c r="Y824" s="19" t="s">
        <v>2649</v>
      </c>
      <c r="AC824" s="39" t="s">
        <v>1380</v>
      </c>
      <c r="AH824" s="11" t="s">
        <v>1416</v>
      </c>
    </row>
    <row r="825" spans="1:34">
      <c r="A825" s="1">
        <v>823</v>
      </c>
      <c r="B825" s="8" t="s">
        <v>2490</v>
      </c>
      <c r="C825" s="15">
        <v>40407</v>
      </c>
      <c r="E825" s="8" t="s">
        <v>2588</v>
      </c>
      <c r="G825" s="11" t="s">
        <v>20</v>
      </c>
      <c r="H825" s="1">
        <v>24</v>
      </c>
      <c r="I825" s="11" t="s">
        <v>2589</v>
      </c>
      <c r="L825" s="8" t="s">
        <v>2282</v>
      </c>
      <c r="M825" s="15">
        <v>40407</v>
      </c>
      <c r="N825" s="1">
        <v>2</v>
      </c>
      <c r="O825" s="11" t="s">
        <v>40</v>
      </c>
      <c r="P825" s="25" t="s">
        <v>2751</v>
      </c>
      <c r="Q825" s="11" t="s">
        <v>27</v>
      </c>
      <c r="R825" s="25" t="s">
        <v>42</v>
      </c>
      <c r="S825" s="15">
        <f t="shared" ref="S825:S826" ca="1" si="33">NOW()</f>
        <v>40470.53652858796</v>
      </c>
      <c r="T825" s="8">
        <f t="shared" ref="T825:T826" ca="1" si="34">(YEAR(S825)-YEAR(M825))*12+MONTH(S825)-MONTH(M825)</f>
        <v>2</v>
      </c>
      <c r="U825" s="25" t="s">
        <v>42</v>
      </c>
      <c r="V825" s="25" t="s">
        <v>42</v>
      </c>
      <c r="W825" s="25" t="s">
        <v>42</v>
      </c>
      <c r="X825" s="25" t="s">
        <v>42</v>
      </c>
      <c r="Y825" s="19" t="s">
        <v>2649</v>
      </c>
      <c r="AC825" s="39" t="s">
        <v>1380</v>
      </c>
      <c r="AH825" s="11" t="s">
        <v>1416</v>
      </c>
    </row>
    <row r="826" spans="1:34">
      <c r="A826" s="1">
        <v>824</v>
      </c>
      <c r="B826" s="8" t="s">
        <v>2490</v>
      </c>
      <c r="C826" s="15">
        <v>40407</v>
      </c>
      <c r="E826" s="8" t="s">
        <v>2590</v>
      </c>
      <c r="G826" s="11" t="s">
        <v>37</v>
      </c>
      <c r="H826" s="1">
        <v>23</v>
      </c>
      <c r="I826" s="11" t="s">
        <v>2411</v>
      </c>
      <c r="J826" s="8" t="s">
        <v>2412</v>
      </c>
      <c r="L826" s="8" t="s">
        <v>2282</v>
      </c>
      <c r="M826" s="15">
        <v>40407</v>
      </c>
      <c r="N826" s="1">
        <v>1</v>
      </c>
      <c r="O826" s="11" t="s">
        <v>40</v>
      </c>
      <c r="P826" s="11" t="s">
        <v>2096</v>
      </c>
      <c r="Q826" s="11" t="s">
        <v>27</v>
      </c>
      <c r="R826" s="25" t="s">
        <v>42</v>
      </c>
      <c r="S826" s="15">
        <f t="shared" ca="1" si="33"/>
        <v>40470.53652858796</v>
      </c>
      <c r="T826" s="8">
        <f t="shared" ca="1" si="34"/>
        <v>2</v>
      </c>
      <c r="U826" s="25" t="s">
        <v>42</v>
      </c>
      <c r="V826" s="25" t="s">
        <v>42</v>
      </c>
      <c r="W826" s="25" t="s">
        <v>42</v>
      </c>
      <c r="X826" s="25" t="s">
        <v>42</v>
      </c>
      <c r="Y826" s="19" t="s">
        <v>2649</v>
      </c>
      <c r="AC826" s="39" t="s">
        <v>1380</v>
      </c>
      <c r="AH826" s="11" t="s">
        <v>1416</v>
      </c>
    </row>
    <row r="827" spans="1:34">
      <c r="A827" s="1">
        <v>825</v>
      </c>
      <c r="B827" s="8" t="s">
        <v>2490</v>
      </c>
      <c r="C827" s="15">
        <v>40408</v>
      </c>
      <c r="E827" s="8" t="s">
        <v>2413</v>
      </c>
      <c r="G827" s="11" t="s">
        <v>20</v>
      </c>
      <c r="H827" s="1">
        <v>25</v>
      </c>
      <c r="I827" s="11" t="s">
        <v>2414</v>
      </c>
      <c r="J827" s="8" t="s">
        <v>2415</v>
      </c>
      <c r="L827" s="8" t="s">
        <v>2282</v>
      </c>
      <c r="M827" s="15">
        <v>40408</v>
      </c>
      <c r="N827" s="1">
        <v>1</v>
      </c>
      <c r="O827" s="11" t="s">
        <v>25</v>
      </c>
      <c r="Q827" s="11" t="s">
        <v>27</v>
      </c>
      <c r="R827" s="25" t="s">
        <v>60</v>
      </c>
      <c r="U827" s="25" t="s">
        <v>2729</v>
      </c>
      <c r="Y827" s="19" t="s">
        <v>2649</v>
      </c>
      <c r="AC827" s="39" t="s">
        <v>1380</v>
      </c>
      <c r="AH827" s="11" t="s">
        <v>1416</v>
      </c>
    </row>
    <row r="828" spans="1:34">
      <c r="A828" s="1">
        <v>826</v>
      </c>
      <c r="B828" s="8" t="s">
        <v>2490</v>
      </c>
      <c r="C828" s="15">
        <v>40408</v>
      </c>
      <c r="E828" s="8" t="s">
        <v>2416</v>
      </c>
      <c r="G828" s="11" t="s">
        <v>37</v>
      </c>
      <c r="H828" s="1">
        <v>21</v>
      </c>
      <c r="I828" s="11" t="s">
        <v>2417</v>
      </c>
      <c r="J828" s="8" t="s">
        <v>2394</v>
      </c>
      <c r="L828" s="8" t="s">
        <v>2282</v>
      </c>
      <c r="M828" s="15">
        <v>40408</v>
      </c>
      <c r="N828" s="1">
        <v>2</v>
      </c>
      <c r="O828" s="11" t="s">
        <v>40</v>
      </c>
      <c r="P828" s="11" t="s">
        <v>2208</v>
      </c>
      <c r="Q828" s="11" t="s">
        <v>477</v>
      </c>
      <c r="R828" s="25" t="s">
        <v>2731</v>
      </c>
      <c r="S828" s="15">
        <f t="shared" ref="S828" ca="1" si="35">NOW()</f>
        <v>40470.53652858796</v>
      </c>
      <c r="T828" s="8">
        <f t="shared" ref="T828" ca="1" si="36">(YEAR(S828)-YEAR(M828))*12+MONTH(S828)-MONTH(M828)</f>
        <v>2</v>
      </c>
      <c r="U828" s="25" t="s">
        <v>42</v>
      </c>
      <c r="V828" s="25" t="s">
        <v>42</v>
      </c>
      <c r="W828" s="25" t="s">
        <v>42</v>
      </c>
      <c r="X828" s="25" t="s">
        <v>42</v>
      </c>
      <c r="Y828" s="19" t="s">
        <v>2649</v>
      </c>
      <c r="AC828" s="39" t="s">
        <v>2289</v>
      </c>
      <c r="AD828" s="25">
        <v>40407</v>
      </c>
      <c r="AH828" s="25" t="s">
        <v>2289</v>
      </c>
    </row>
    <row r="829" spans="1:34">
      <c r="A829" s="1">
        <v>827</v>
      </c>
      <c r="B829" s="8" t="s">
        <v>2490</v>
      </c>
      <c r="C829" s="15">
        <v>40409</v>
      </c>
      <c r="E829" s="8" t="s">
        <v>2418</v>
      </c>
      <c r="G829" s="11" t="s">
        <v>37</v>
      </c>
      <c r="H829" s="1">
        <v>50</v>
      </c>
      <c r="I829" s="11" t="s">
        <v>2419</v>
      </c>
      <c r="J829" s="8" t="s">
        <v>2420</v>
      </c>
      <c r="L829" s="8" t="s">
        <v>2282</v>
      </c>
      <c r="M829" s="15">
        <v>40409</v>
      </c>
      <c r="N829" s="1">
        <v>2</v>
      </c>
      <c r="O829" s="11" t="s">
        <v>25</v>
      </c>
      <c r="Q829" s="11" t="s">
        <v>477</v>
      </c>
      <c r="R829" s="11" t="s">
        <v>60</v>
      </c>
      <c r="Y829" s="19" t="s">
        <v>2649</v>
      </c>
      <c r="AC829" s="39" t="s">
        <v>1380</v>
      </c>
      <c r="AH829" s="11" t="s">
        <v>1416</v>
      </c>
    </row>
    <row r="830" spans="1:34">
      <c r="A830" s="1">
        <v>828</v>
      </c>
      <c r="B830" s="8" t="s">
        <v>2490</v>
      </c>
      <c r="C830" s="15">
        <v>40410</v>
      </c>
      <c r="E830" s="8" t="s">
        <v>2421</v>
      </c>
      <c r="G830" s="11" t="s">
        <v>37</v>
      </c>
      <c r="H830" s="1">
        <v>15</v>
      </c>
      <c r="I830" s="11" t="s">
        <v>2422</v>
      </c>
      <c r="L830" s="8" t="s">
        <v>2282</v>
      </c>
      <c r="M830" s="15">
        <v>40410</v>
      </c>
      <c r="N830" s="1">
        <v>1</v>
      </c>
      <c r="O830" s="11" t="s">
        <v>40</v>
      </c>
      <c r="P830" s="11" t="s">
        <v>2423</v>
      </c>
      <c r="Q830" s="11" t="s">
        <v>27</v>
      </c>
      <c r="R830" s="25" t="s">
        <v>56</v>
      </c>
      <c r="S830" s="15">
        <f t="shared" ref="S830" ca="1" si="37">NOW()</f>
        <v>40470.53652858796</v>
      </c>
      <c r="T830" s="8">
        <f t="shared" ref="T830" ca="1" si="38">(YEAR(S830)-YEAR(M830))*12+MONTH(S830)-MONTH(M830)</f>
        <v>2</v>
      </c>
      <c r="U830" s="25" t="s">
        <v>42</v>
      </c>
      <c r="V830" s="25" t="s">
        <v>42</v>
      </c>
      <c r="W830" s="25" t="s">
        <v>42</v>
      </c>
      <c r="X830" s="25" t="s">
        <v>42</v>
      </c>
      <c r="Y830" s="19" t="s">
        <v>2649</v>
      </c>
      <c r="AC830" s="39" t="s">
        <v>1380</v>
      </c>
      <c r="AH830" s="11" t="s">
        <v>1416</v>
      </c>
    </row>
    <row r="831" spans="1:34">
      <c r="A831" s="1">
        <v>829</v>
      </c>
      <c r="B831" s="8" t="s">
        <v>2490</v>
      </c>
      <c r="C831" s="15">
        <v>40413</v>
      </c>
      <c r="E831" s="8" t="s">
        <v>2424</v>
      </c>
      <c r="G831" s="11" t="s">
        <v>37</v>
      </c>
      <c r="H831" s="1">
        <v>19</v>
      </c>
      <c r="I831" s="11" t="s">
        <v>2425</v>
      </c>
      <c r="L831" s="8" t="s">
        <v>2282</v>
      </c>
      <c r="M831" s="15">
        <v>40413</v>
      </c>
      <c r="N831" s="1">
        <v>1</v>
      </c>
      <c r="O831" s="11" t="s">
        <v>25</v>
      </c>
      <c r="Q831" s="11" t="s">
        <v>27</v>
      </c>
      <c r="R831" s="25" t="s">
        <v>2729</v>
      </c>
      <c r="U831" s="25" t="s">
        <v>56</v>
      </c>
      <c r="Y831" s="19" t="s">
        <v>2649</v>
      </c>
      <c r="AC831" s="39" t="s">
        <v>1380</v>
      </c>
      <c r="AH831" s="11" t="s">
        <v>1416</v>
      </c>
    </row>
    <row r="832" spans="1:34">
      <c r="A832" s="1">
        <v>830</v>
      </c>
      <c r="B832" s="8" t="s">
        <v>2490</v>
      </c>
      <c r="C832" s="15">
        <v>40413</v>
      </c>
      <c r="E832" s="8" t="s">
        <v>2426</v>
      </c>
      <c r="G832" s="11" t="s">
        <v>37</v>
      </c>
      <c r="H832" s="1">
        <v>23</v>
      </c>
      <c r="I832" s="11" t="s">
        <v>2427</v>
      </c>
      <c r="J832" s="8" t="s">
        <v>2428</v>
      </c>
      <c r="L832" s="8" t="s">
        <v>2282</v>
      </c>
      <c r="M832" s="15">
        <v>40413</v>
      </c>
      <c r="N832" s="1">
        <v>1</v>
      </c>
      <c r="O832" s="11" t="s">
        <v>25</v>
      </c>
      <c r="Q832" s="11" t="s">
        <v>27</v>
      </c>
      <c r="R832" s="25" t="s">
        <v>56</v>
      </c>
      <c r="U832" s="25" t="s">
        <v>56</v>
      </c>
      <c r="Y832" s="19" t="s">
        <v>2649</v>
      </c>
      <c r="AC832" s="39" t="s">
        <v>1380</v>
      </c>
      <c r="AH832" s="11" t="s">
        <v>1416</v>
      </c>
    </row>
    <row r="833" spans="1:34">
      <c r="A833" s="1">
        <v>831</v>
      </c>
      <c r="B833" s="8" t="s">
        <v>2490</v>
      </c>
      <c r="C833" s="15">
        <v>40413</v>
      </c>
      <c r="E833" s="8" t="s">
        <v>2429</v>
      </c>
      <c r="G833" s="11" t="s">
        <v>20</v>
      </c>
      <c r="H833" s="1">
        <v>11</v>
      </c>
      <c r="I833" s="11" t="s">
        <v>2430</v>
      </c>
      <c r="L833" s="8" t="s">
        <v>2282</v>
      </c>
      <c r="M833" s="15">
        <v>40413</v>
      </c>
      <c r="N833" s="1">
        <v>1</v>
      </c>
      <c r="O833" s="11" t="s">
        <v>25</v>
      </c>
      <c r="Q833" s="11" t="s">
        <v>27</v>
      </c>
      <c r="R833" s="25" t="s">
        <v>56</v>
      </c>
      <c r="Y833" s="19" t="s">
        <v>2649</v>
      </c>
      <c r="AC833" s="39" t="s">
        <v>1380</v>
      </c>
      <c r="AH833" s="11" t="s">
        <v>1416</v>
      </c>
    </row>
    <row r="834" spans="1:34">
      <c r="A834" s="1">
        <v>832</v>
      </c>
      <c r="B834" s="8" t="s">
        <v>2490</v>
      </c>
      <c r="C834" s="15">
        <v>40413</v>
      </c>
      <c r="E834" s="8" t="s">
        <v>2431</v>
      </c>
      <c r="G834" s="11" t="s">
        <v>37</v>
      </c>
      <c r="H834" s="1">
        <v>45</v>
      </c>
      <c r="I834" s="11" t="s">
        <v>2432</v>
      </c>
      <c r="L834" s="8" t="s">
        <v>2282</v>
      </c>
      <c r="M834" s="15">
        <v>40413</v>
      </c>
      <c r="N834" s="1">
        <v>1</v>
      </c>
      <c r="O834" s="11" t="s">
        <v>25</v>
      </c>
      <c r="Q834" s="11" t="s">
        <v>27</v>
      </c>
      <c r="R834" s="11" t="s">
        <v>28</v>
      </c>
      <c r="U834" s="25" t="s">
        <v>2729</v>
      </c>
      <c r="Y834" s="19" t="s">
        <v>2649</v>
      </c>
      <c r="AC834" s="39" t="s">
        <v>1380</v>
      </c>
      <c r="AH834" s="11" t="s">
        <v>1416</v>
      </c>
    </row>
    <row r="835" spans="1:34">
      <c r="A835" s="1">
        <v>833</v>
      </c>
      <c r="B835" s="8" t="s">
        <v>2490</v>
      </c>
      <c r="C835" s="15">
        <v>40413</v>
      </c>
      <c r="E835" s="8" t="s">
        <v>2433</v>
      </c>
      <c r="G835" s="11" t="s">
        <v>20</v>
      </c>
      <c r="H835" s="1">
        <v>28</v>
      </c>
      <c r="I835" s="11" t="s">
        <v>2434</v>
      </c>
      <c r="J835" s="8" t="s">
        <v>2435</v>
      </c>
      <c r="L835" s="8" t="s">
        <v>2282</v>
      </c>
      <c r="M835" s="15">
        <v>40413</v>
      </c>
      <c r="N835" s="1">
        <v>1</v>
      </c>
      <c r="O835" s="11" t="s">
        <v>40</v>
      </c>
      <c r="P835" s="11" t="s">
        <v>2208</v>
      </c>
      <c r="Q835" s="11" t="s">
        <v>27</v>
      </c>
      <c r="R835" s="25" t="s">
        <v>56</v>
      </c>
      <c r="S835" s="15">
        <f t="shared" ref="S835" ca="1" si="39">NOW()</f>
        <v>40470.53652858796</v>
      </c>
      <c r="T835" s="8">
        <f t="shared" ref="T835" ca="1" si="40">(YEAR(S835)-YEAR(M835))*12+MONTH(S835)-MONTH(M835)</f>
        <v>2</v>
      </c>
      <c r="U835" s="25" t="s">
        <v>42</v>
      </c>
      <c r="V835" s="25" t="s">
        <v>42</v>
      </c>
      <c r="W835" s="25" t="s">
        <v>42</v>
      </c>
      <c r="X835" s="25" t="s">
        <v>42</v>
      </c>
      <c r="Y835" s="19" t="s">
        <v>2649</v>
      </c>
      <c r="AC835" s="39" t="s">
        <v>1380</v>
      </c>
      <c r="AH835" s="11" t="s">
        <v>1416</v>
      </c>
    </row>
    <row r="836" spans="1:34">
      <c r="A836" s="1">
        <v>834</v>
      </c>
      <c r="B836" s="8" t="s">
        <v>2490</v>
      </c>
      <c r="C836" s="15">
        <v>40413</v>
      </c>
      <c r="E836" s="8" t="s">
        <v>2436</v>
      </c>
      <c r="G836" s="11" t="s">
        <v>20</v>
      </c>
      <c r="H836" s="1">
        <v>19</v>
      </c>
      <c r="I836" s="11" t="s">
        <v>2437</v>
      </c>
      <c r="J836" s="8" t="s">
        <v>2438</v>
      </c>
      <c r="L836" s="8" t="s">
        <v>2282</v>
      </c>
      <c r="M836" s="15">
        <v>40413</v>
      </c>
      <c r="N836" s="1">
        <v>1</v>
      </c>
      <c r="O836" s="11" t="s">
        <v>25</v>
      </c>
      <c r="Q836" s="11" t="s">
        <v>27</v>
      </c>
      <c r="R836" s="25" t="s">
        <v>56</v>
      </c>
      <c r="Y836" s="19" t="s">
        <v>2649</v>
      </c>
      <c r="AC836" s="39" t="s">
        <v>1380</v>
      </c>
      <c r="AH836" s="11" t="s">
        <v>1416</v>
      </c>
    </row>
    <row r="837" spans="1:34">
      <c r="A837" s="1">
        <v>835</v>
      </c>
      <c r="B837" s="14">
        <v>40400</v>
      </c>
      <c r="C837" s="15">
        <v>40414</v>
      </c>
      <c r="E837" s="8" t="s">
        <v>2439</v>
      </c>
      <c r="G837" s="11" t="s">
        <v>20</v>
      </c>
      <c r="H837" s="1">
        <v>27</v>
      </c>
      <c r="I837" s="11" t="s">
        <v>2452</v>
      </c>
      <c r="J837" s="8" t="s">
        <v>2453</v>
      </c>
      <c r="L837" s="8" t="s">
        <v>2282</v>
      </c>
      <c r="M837" s="15">
        <v>40414</v>
      </c>
      <c r="N837" s="1">
        <v>1</v>
      </c>
      <c r="O837" s="11" t="s">
        <v>25</v>
      </c>
      <c r="Q837" s="11" t="s">
        <v>27</v>
      </c>
      <c r="R837" s="11" t="s">
        <v>28</v>
      </c>
      <c r="Y837" s="19" t="s">
        <v>2649</v>
      </c>
      <c r="AC837" s="39" t="s">
        <v>1380</v>
      </c>
      <c r="AH837" s="11" t="s">
        <v>1416</v>
      </c>
    </row>
    <row r="838" spans="1:34">
      <c r="A838" s="1">
        <v>836</v>
      </c>
      <c r="B838" s="14">
        <v>40401</v>
      </c>
      <c r="C838" s="15">
        <v>40414</v>
      </c>
      <c r="E838" s="8" t="s">
        <v>2440</v>
      </c>
      <c r="G838" s="11" t="s">
        <v>20</v>
      </c>
      <c r="H838" s="1">
        <v>50</v>
      </c>
      <c r="I838" s="11" t="s">
        <v>2454</v>
      </c>
      <c r="J838" s="8" t="s">
        <v>2455</v>
      </c>
      <c r="L838" s="8" t="s">
        <v>2282</v>
      </c>
      <c r="M838" s="15">
        <v>40414</v>
      </c>
      <c r="N838" s="1">
        <v>1</v>
      </c>
      <c r="O838" s="11" t="s">
        <v>25</v>
      </c>
      <c r="Q838" s="11" t="s">
        <v>27</v>
      </c>
      <c r="R838" s="11" t="s">
        <v>56</v>
      </c>
      <c r="Y838" s="19" t="s">
        <v>2649</v>
      </c>
      <c r="AC838" s="39" t="s">
        <v>1380</v>
      </c>
      <c r="AH838" s="11" t="s">
        <v>1416</v>
      </c>
    </row>
    <row r="839" spans="1:34">
      <c r="A839" s="1">
        <v>837</v>
      </c>
      <c r="B839" s="14">
        <v>40402</v>
      </c>
      <c r="C839" s="15">
        <v>40414</v>
      </c>
      <c r="E839" s="8" t="s">
        <v>2441</v>
      </c>
      <c r="G839" s="11" t="s">
        <v>20</v>
      </c>
      <c r="H839" s="1">
        <v>50</v>
      </c>
      <c r="I839" s="11" t="s">
        <v>2456</v>
      </c>
      <c r="J839" s="8" t="s">
        <v>2457</v>
      </c>
      <c r="L839" s="8" t="s">
        <v>2282</v>
      </c>
      <c r="M839" s="15">
        <v>40414</v>
      </c>
      <c r="N839" s="1">
        <v>1</v>
      </c>
      <c r="O839" s="11" t="s">
        <v>25</v>
      </c>
      <c r="Q839" s="11" t="s">
        <v>27</v>
      </c>
      <c r="R839" s="25" t="s">
        <v>28</v>
      </c>
      <c r="Y839" s="19" t="s">
        <v>2649</v>
      </c>
      <c r="AC839" s="39" t="s">
        <v>1380</v>
      </c>
      <c r="AH839" s="11" t="s">
        <v>1416</v>
      </c>
    </row>
    <row r="840" spans="1:34">
      <c r="A840" s="1">
        <v>838</v>
      </c>
      <c r="B840" s="14">
        <v>40403</v>
      </c>
      <c r="C840" s="15">
        <v>40414</v>
      </c>
      <c r="E840" s="8" t="s">
        <v>2442</v>
      </c>
      <c r="G840" s="11" t="s">
        <v>37</v>
      </c>
      <c r="H840" s="1">
        <v>55</v>
      </c>
      <c r="I840" s="11" t="s">
        <v>2458</v>
      </c>
      <c r="J840" s="8" t="s">
        <v>2459</v>
      </c>
      <c r="L840" s="8" t="s">
        <v>2282</v>
      </c>
      <c r="M840" s="15">
        <v>40414</v>
      </c>
      <c r="N840" s="1">
        <v>1</v>
      </c>
      <c r="O840" s="11" t="s">
        <v>25</v>
      </c>
      <c r="Q840" s="11" t="s">
        <v>27</v>
      </c>
      <c r="Y840" s="19" t="s">
        <v>2649</v>
      </c>
      <c r="AC840" s="39" t="s">
        <v>1380</v>
      </c>
      <c r="AH840" s="11" t="s">
        <v>1416</v>
      </c>
    </row>
    <row r="841" spans="1:34">
      <c r="A841" s="1">
        <v>839</v>
      </c>
      <c r="B841" s="14">
        <v>40404</v>
      </c>
      <c r="C841" s="15">
        <v>40414</v>
      </c>
      <c r="E841" s="8" t="s">
        <v>2443</v>
      </c>
      <c r="G841" s="11" t="s">
        <v>20</v>
      </c>
      <c r="H841" s="1">
        <v>18</v>
      </c>
      <c r="I841" s="11" t="s">
        <v>2460</v>
      </c>
      <c r="J841" s="8" t="s">
        <v>2461</v>
      </c>
      <c r="L841" s="8" t="s">
        <v>2282</v>
      </c>
      <c r="M841" s="15">
        <v>40414</v>
      </c>
      <c r="N841" s="1">
        <v>1</v>
      </c>
      <c r="O841" s="11" t="s">
        <v>25</v>
      </c>
      <c r="Q841" s="11" t="s">
        <v>27</v>
      </c>
      <c r="R841" s="11" t="s">
        <v>56</v>
      </c>
      <c r="Y841" s="19" t="s">
        <v>2649</v>
      </c>
      <c r="AC841" s="39" t="s">
        <v>1380</v>
      </c>
      <c r="AH841" s="11" t="s">
        <v>1416</v>
      </c>
    </row>
    <row r="842" spans="1:34">
      <c r="A842" s="1">
        <v>840</v>
      </c>
      <c r="B842" s="14">
        <v>40405</v>
      </c>
      <c r="C842" s="15">
        <v>40414</v>
      </c>
      <c r="E842" s="8" t="s">
        <v>2444</v>
      </c>
      <c r="G842" s="11" t="s">
        <v>37</v>
      </c>
      <c r="H842" s="1">
        <v>15</v>
      </c>
      <c r="I842" s="11" t="s">
        <v>2462</v>
      </c>
      <c r="L842" s="8" t="s">
        <v>2282</v>
      </c>
      <c r="M842" s="15">
        <v>40414</v>
      </c>
      <c r="N842" s="1">
        <v>1</v>
      </c>
      <c r="O842" s="11" t="s">
        <v>25</v>
      </c>
      <c r="Q842" s="11" t="s">
        <v>27</v>
      </c>
      <c r="R842" s="11" t="s">
        <v>60</v>
      </c>
      <c r="Y842" s="19" t="s">
        <v>2649</v>
      </c>
      <c r="AC842" s="39" t="s">
        <v>1380</v>
      </c>
      <c r="AH842" s="11" t="s">
        <v>1416</v>
      </c>
    </row>
    <row r="843" spans="1:34">
      <c r="A843" s="1">
        <v>841</v>
      </c>
      <c r="B843" s="14">
        <v>40406</v>
      </c>
      <c r="C843" s="15">
        <v>40414</v>
      </c>
      <c r="E843" s="8" t="s">
        <v>2445</v>
      </c>
      <c r="G843" s="11" t="s">
        <v>20</v>
      </c>
      <c r="H843" s="1">
        <v>25</v>
      </c>
      <c r="I843" s="11" t="s">
        <v>2463</v>
      </c>
      <c r="J843" s="8" t="s">
        <v>1783</v>
      </c>
      <c r="L843" s="8" t="s">
        <v>2282</v>
      </c>
      <c r="M843" s="15">
        <v>40414</v>
      </c>
      <c r="N843" s="1">
        <v>1</v>
      </c>
      <c r="O843" s="11" t="s">
        <v>25</v>
      </c>
      <c r="Q843" s="11" t="s">
        <v>27</v>
      </c>
      <c r="R843" s="25" t="s">
        <v>2731</v>
      </c>
      <c r="U843" s="25" t="s">
        <v>2729</v>
      </c>
      <c r="Y843" s="19" t="s">
        <v>2649</v>
      </c>
      <c r="AC843" s="39" t="s">
        <v>1380</v>
      </c>
      <c r="AH843" s="11" t="s">
        <v>1416</v>
      </c>
    </row>
    <row r="844" spans="1:34">
      <c r="A844" s="1">
        <v>842</v>
      </c>
      <c r="B844" s="14">
        <v>40407</v>
      </c>
      <c r="C844" s="15">
        <v>40415</v>
      </c>
      <c r="E844" s="8" t="s">
        <v>2446</v>
      </c>
      <c r="G844" s="11" t="s">
        <v>37</v>
      </c>
      <c r="H844" s="1">
        <v>22</v>
      </c>
      <c r="I844" s="11" t="s">
        <v>2464</v>
      </c>
      <c r="J844" s="8" t="s">
        <v>2465</v>
      </c>
      <c r="L844" s="8" t="s">
        <v>2282</v>
      </c>
      <c r="M844" s="15">
        <v>40415</v>
      </c>
      <c r="N844" s="1">
        <v>2</v>
      </c>
      <c r="O844" s="11" t="s">
        <v>25</v>
      </c>
      <c r="Q844" s="11" t="s">
        <v>407</v>
      </c>
      <c r="R844" s="11" t="s">
        <v>60</v>
      </c>
      <c r="U844" s="25" t="s">
        <v>65</v>
      </c>
      <c r="Y844" s="19" t="s">
        <v>2649</v>
      </c>
      <c r="AC844" s="39" t="s">
        <v>1380</v>
      </c>
      <c r="AH844" s="11" t="s">
        <v>1416</v>
      </c>
    </row>
    <row r="845" spans="1:34">
      <c r="A845" s="1">
        <v>843</v>
      </c>
      <c r="B845" s="14">
        <v>40408</v>
      </c>
      <c r="C845" s="15">
        <v>40415</v>
      </c>
      <c r="E845" s="8" t="s">
        <v>2447</v>
      </c>
      <c r="G845" s="11" t="s">
        <v>20</v>
      </c>
      <c r="H845" s="1">
        <v>25</v>
      </c>
      <c r="I845" s="11" t="s">
        <v>2466</v>
      </c>
      <c r="J845" s="8" t="s">
        <v>2467</v>
      </c>
      <c r="L845" s="8" t="s">
        <v>2282</v>
      </c>
      <c r="M845" s="15">
        <v>40415</v>
      </c>
      <c r="N845" s="1">
        <v>2</v>
      </c>
      <c r="O845" s="11" t="s">
        <v>25</v>
      </c>
      <c r="Q845" s="11" t="s">
        <v>49</v>
      </c>
      <c r="R845" s="25" t="s">
        <v>60</v>
      </c>
      <c r="Y845" s="19" t="s">
        <v>2649</v>
      </c>
      <c r="AC845" s="39" t="s">
        <v>1380</v>
      </c>
      <c r="AH845" s="11" t="s">
        <v>1416</v>
      </c>
    </row>
    <row r="846" spans="1:34">
      <c r="A846" s="1">
        <v>844</v>
      </c>
      <c r="B846" s="14">
        <v>40409</v>
      </c>
      <c r="C846" s="15">
        <v>40415</v>
      </c>
      <c r="E846" s="8" t="s">
        <v>2448</v>
      </c>
      <c r="G846" s="11" t="s">
        <v>20</v>
      </c>
      <c r="H846" s="1">
        <v>55</v>
      </c>
      <c r="I846" s="11" t="s">
        <v>2682</v>
      </c>
      <c r="L846" s="8" t="s">
        <v>2282</v>
      </c>
      <c r="M846" s="15">
        <v>40415</v>
      </c>
      <c r="N846" s="1">
        <v>1</v>
      </c>
      <c r="O846" s="11" t="s">
        <v>25</v>
      </c>
      <c r="Q846" s="11" t="s">
        <v>27</v>
      </c>
      <c r="R846" s="25" t="s">
        <v>28</v>
      </c>
      <c r="Y846" s="19" t="s">
        <v>2649</v>
      </c>
      <c r="AC846" s="39" t="s">
        <v>1380</v>
      </c>
      <c r="AH846" s="11" t="s">
        <v>1416</v>
      </c>
    </row>
    <row r="847" spans="1:34">
      <c r="A847" s="1">
        <v>845</v>
      </c>
      <c r="B847" s="14">
        <v>40410</v>
      </c>
      <c r="C847" s="15">
        <v>40415</v>
      </c>
      <c r="E847" s="8" t="s">
        <v>2449</v>
      </c>
      <c r="G847" s="11" t="s">
        <v>20</v>
      </c>
      <c r="H847" s="1">
        <v>9</v>
      </c>
      <c r="I847" s="11" t="s">
        <v>2506</v>
      </c>
      <c r="J847" s="8" t="s">
        <v>2507</v>
      </c>
      <c r="L847" s="8" t="s">
        <v>2282</v>
      </c>
      <c r="M847" s="15">
        <v>40415</v>
      </c>
      <c r="N847" s="1">
        <v>1</v>
      </c>
      <c r="O847" s="11" t="s">
        <v>25</v>
      </c>
      <c r="Q847" s="11" t="s">
        <v>27</v>
      </c>
      <c r="R847" s="25" t="s">
        <v>56</v>
      </c>
      <c r="Y847" s="19" t="s">
        <v>2649</v>
      </c>
      <c r="AC847" s="39" t="s">
        <v>1380</v>
      </c>
      <c r="AH847" s="11" t="s">
        <v>1416</v>
      </c>
    </row>
    <row r="848" spans="1:34">
      <c r="A848" s="1">
        <v>846</v>
      </c>
      <c r="B848" s="14">
        <v>40411</v>
      </c>
      <c r="C848" s="15">
        <v>40415</v>
      </c>
      <c r="E848" s="8" t="s">
        <v>2450</v>
      </c>
      <c r="G848" s="11" t="s">
        <v>20</v>
      </c>
      <c r="H848" s="1">
        <v>19</v>
      </c>
      <c r="I848" s="11" t="s">
        <v>2508</v>
      </c>
      <c r="J848" s="8" t="s">
        <v>2509</v>
      </c>
      <c r="L848" s="8" t="s">
        <v>2282</v>
      </c>
      <c r="M848" s="15">
        <v>40415</v>
      </c>
      <c r="N848" s="1">
        <v>1</v>
      </c>
      <c r="O848" s="11" t="s">
        <v>25</v>
      </c>
      <c r="Q848" s="11" t="s">
        <v>27</v>
      </c>
      <c r="R848" s="25" t="s">
        <v>56</v>
      </c>
      <c r="U848" s="25" t="s">
        <v>2729</v>
      </c>
      <c r="Y848" s="19" t="s">
        <v>2649</v>
      </c>
      <c r="AC848" s="39" t="s">
        <v>1380</v>
      </c>
      <c r="AH848" s="11" t="s">
        <v>1416</v>
      </c>
    </row>
    <row r="849" spans="1:34">
      <c r="A849" s="1">
        <v>847</v>
      </c>
      <c r="B849" s="14">
        <v>40412</v>
      </c>
      <c r="C849" s="15">
        <v>40416</v>
      </c>
      <c r="E849" s="8" t="s">
        <v>2451</v>
      </c>
      <c r="G849" s="11" t="s">
        <v>37</v>
      </c>
      <c r="H849" s="1">
        <v>35</v>
      </c>
      <c r="I849" s="11" t="s">
        <v>1395</v>
      </c>
      <c r="L849" s="8" t="s">
        <v>2282</v>
      </c>
      <c r="M849" s="15">
        <v>40416</v>
      </c>
      <c r="N849" s="1">
        <v>2</v>
      </c>
      <c r="O849" s="11" t="s">
        <v>25</v>
      </c>
      <c r="Q849" s="11" t="s">
        <v>49</v>
      </c>
      <c r="R849" s="11" t="s">
        <v>56</v>
      </c>
      <c r="Y849" s="19"/>
      <c r="AC849" s="39" t="s">
        <v>1380</v>
      </c>
      <c r="AH849" s="11" t="s">
        <v>1416</v>
      </c>
    </row>
    <row r="850" spans="1:34">
      <c r="A850" s="1">
        <v>848</v>
      </c>
      <c r="B850" s="14">
        <v>40400</v>
      </c>
      <c r="C850" s="15">
        <v>40417</v>
      </c>
      <c r="E850" s="8" t="s">
        <v>2539</v>
      </c>
      <c r="G850" s="25" t="s">
        <v>37</v>
      </c>
      <c r="H850" s="1">
        <v>27</v>
      </c>
      <c r="I850" s="25" t="s">
        <v>2540</v>
      </c>
      <c r="L850" s="25" t="s">
        <v>2282</v>
      </c>
      <c r="M850" s="15">
        <v>40417</v>
      </c>
      <c r="N850" s="1">
        <v>2</v>
      </c>
      <c r="O850" s="25" t="s">
        <v>25</v>
      </c>
      <c r="Q850" s="25" t="s">
        <v>110</v>
      </c>
      <c r="R850" s="25" t="s">
        <v>28</v>
      </c>
      <c r="U850" s="25" t="s">
        <v>60</v>
      </c>
      <c r="V850" s="25" t="s">
        <v>60</v>
      </c>
      <c r="Y850" s="19"/>
      <c r="AC850" s="39" t="s">
        <v>1380</v>
      </c>
      <c r="AH850" s="25" t="s">
        <v>1416</v>
      </c>
    </row>
    <row r="851" spans="1:34">
      <c r="A851" s="1">
        <v>849</v>
      </c>
      <c r="B851" s="14">
        <v>40400</v>
      </c>
      <c r="C851" s="15">
        <v>40417</v>
      </c>
      <c r="E851" s="8" t="s">
        <v>2541</v>
      </c>
      <c r="G851" s="25" t="s">
        <v>37</v>
      </c>
      <c r="H851" s="1">
        <v>28</v>
      </c>
      <c r="I851" s="25" t="s">
        <v>2542</v>
      </c>
      <c r="J851" s="8" t="s">
        <v>2543</v>
      </c>
      <c r="L851" s="25" t="s">
        <v>2282</v>
      </c>
      <c r="M851" s="15">
        <v>40417</v>
      </c>
      <c r="N851" s="1">
        <v>1</v>
      </c>
      <c r="O851" s="25" t="s">
        <v>25</v>
      </c>
      <c r="Q851" s="25" t="s">
        <v>27</v>
      </c>
      <c r="R851" s="25" t="s">
        <v>28</v>
      </c>
      <c r="Y851" s="19"/>
      <c r="AC851" s="39" t="s">
        <v>1380</v>
      </c>
      <c r="AH851" s="25" t="s">
        <v>1416</v>
      </c>
    </row>
    <row r="852" spans="1:34">
      <c r="A852" s="1">
        <v>850</v>
      </c>
      <c r="B852" s="14">
        <v>40400</v>
      </c>
      <c r="C852" s="15">
        <v>40417</v>
      </c>
      <c r="E852" s="8" t="s">
        <v>2544</v>
      </c>
      <c r="G852" s="25" t="s">
        <v>20</v>
      </c>
      <c r="H852" s="1">
        <v>10</v>
      </c>
      <c r="I852" s="25" t="s">
        <v>2545</v>
      </c>
      <c r="L852" s="25" t="s">
        <v>2282</v>
      </c>
      <c r="M852" s="15">
        <v>40417</v>
      </c>
      <c r="N852" s="1">
        <v>1</v>
      </c>
      <c r="O852" s="25" t="s">
        <v>40</v>
      </c>
      <c r="P852" s="25" t="s">
        <v>2208</v>
      </c>
      <c r="Q852" s="25" t="s">
        <v>27</v>
      </c>
      <c r="R852" s="25" t="s">
        <v>56</v>
      </c>
      <c r="S852" s="15">
        <f t="shared" ref="S852:S853" ca="1" si="41">NOW()</f>
        <v>40470.53652858796</v>
      </c>
      <c r="T852" s="8">
        <f t="shared" ref="T852:T853" ca="1" si="42">(YEAR(S852)-YEAR(M852))*12+MONTH(S852)-MONTH(M852)</f>
        <v>2</v>
      </c>
      <c r="U852" s="25" t="s">
        <v>42</v>
      </c>
      <c r="V852" s="25" t="s">
        <v>42</v>
      </c>
      <c r="W852" s="25" t="s">
        <v>42</v>
      </c>
      <c r="X852" s="25" t="s">
        <v>42</v>
      </c>
      <c r="Y852" s="19" t="s">
        <v>2649</v>
      </c>
      <c r="AC852" s="39" t="s">
        <v>1380</v>
      </c>
      <c r="AH852" s="25" t="s">
        <v>1416</v>
      </c>
    </row>
    <row r="853" spans="1:34">
      <c r="A853" s="1">
        <v>851</v>
      </c>
      <c r="B853" s="14">
        <v>40400</v>
      </c>
      <c r="C853" s="15">
        <v>40417</v>
      </c>
      <c r="E853" s="8" t="s">
        <v>2546</v>
      </c>
      <c r="G853" s="25" t="s">
        <v>37</v>
      </c>
      <c r="H853" s="1">
        <v>14</v>
      </c>
      <c r="I853" s="25" t="s">
        <v>2547</v>
      </c>
      <c r="J853" s="8" t="s">
        <v>2548</v>
      </c>
      <c r="L853" s="25" t="s">
        <v>2282</v>
      </c>
      <c r="M853" s="15">
        <v>40417</v>
      </c>
      <c r="N853" s="1">
        <v>1</v>
      </c>
      <c r="O853" s="25" t="s">
        <v>40</v>
      </c>
      <c r="P853" s="25" t="s">
        <v>2096</v>
      </c>
      <c r="Q853" s="25" t="s">
        <v>27</v>
      </c>
      <c r="R853" s="25" t="s">
        <v>42</v>
      </c>
      <c r="S853" s="15">
        <f t="shared" ca="1" si="41"/>
        <v>40470.53652858796</v>
      </c>
      <c r="T853" s="8">
        <f t="shared" ca="1" si="42"/>
        <v>2</v>
      </c>
      <c r="U853" s="25" t="s">
        <v>42</v>
      </c>
      <c r="V853" s="25" t="s">
        <v>42</v>
      </c>
      <c r="W853" s="25" t="s">
        <v>42</v>
      </c>
      <c r="X853" s="25" t="s">
        <v>42</v>
      </c>
      <c r="Y853" s="19" t="s">
        <v>2649</v>
      </c>
      <c r="AC853" s="39" t="s">
        <v>1380</v>
      </c>
      <c r="AH853" s="25" t="s">
        <v>1416</v>
      </c>
    </row>
    <row r="854" spans="1:34">
      <c r="A854" s="1">
        <v>852</v>
      </c>
      <c r="B854" s="14">
        <v>40400</v>
      </c>
      <c r="C854" s="15">
        <v>40420</v>
      </c>
      <c r="E854" s="8" t="s">
        <v>2549</v>
      </c>
      <c r="G854" s="25" t="s">
        <v>20</v>
      </c>
      <c r="H854" s="1">
        <v>78</v>
      </c>
      <c r="I854" s="25" t="s">
        <v>2550</v>
      </c>
      <c r="J854" s="8" t="s">
        <v>2551</v>
      </c>
      <c r="K854" s="8" t="s">
        <v>71</v>
      </c>
      <c r="L854" s="25" t="s">
        <v>2282</v>
      </c>
      <c r="M854" s="15">
        <v>40420</v>
      </c>
      <c r="N854" s="1">
        <v>1</v>
      </c>
      <c r="O854" s="25" t="s">
        <v>25</v>
      </c>
      <c r="Q854" s="25" t="s">
        <v>27</v>
      </c>
      <c r="R854" s="25" t="s">
        <v>60</v>
      </c>
      <c r="U854" s="25" t="s">
        <v>2729</v>
      </c>
      <c r="Y854" s="19"/>
      <c r="AC854" s="39" t="s">
        <v>1380</v>
      </c>
      <c r="AH854" s="25" t="s">
        <v>1416</v>
      </c>
    </row>
    <row r="855" spans="1:34">
      <c r="A855" s="1">
        <v>853</v>
      </c>
      <c r="B855" s="14">
        <v>40400</v>
      </c>
      <c r="C855" s="15">
        <v>40420</v>
      </c>
      <c r="E855" s="8" t="s">
        <v>2552</v>
      </c>
      <c r="G855" s="25" t="s">
        <v>20</v>
      </c>
      <c r="H855" s="1">
        <v>37</v>
      </c>
      <c r="I855" s="25" t="s">
        <v>2553</v>
      </c>
      <c r="J855" s="8" t="s">
        <v>2554</v>
      </c>
      <c r="K855" s="8" t="s">
        <v>291</v>
      </c>
      <c r="L855" s="25" t="s">
        <v>2282</v>
      </c>
      <c r="M855" s="15">
        <v>40420</v>
      </c>
      <c r="N855" s="1">
        <v>1</v>
      </c>
      <c r="O855" s="25" t="s">
        <v>25</v>
      </c>
      <c r="Q855" s="25" t="s">
        <v>27</v>
      </c>
      <c r="R855" s="25" t="s">
        <v>60</v>
      </c>
      <c r="Y855" s="19"/>
      <c r="AC855" s="39" t="s">
        <v>1380</v>
      </c>
      <c r="AH855" s="25" t="s">
        <v>1416</v>
      </c>
    </row>
    <row r="856" spans="1:34">
      <c r="A856" s="1">
        <v>854</v>
      </c>
      <c r="B856" s="14">
        <v>40400</v>
      </c>
      <c r="C856" s="15">
        <v>40421</v>
      </c>
      <c r="E856" s="8" t="s">
        <v>2555</v>
      </c>
      <c r="G856" s="25" t="s">
        <v>20</v>
      </c>
      <c r="H856" s="1">
        <v>27</v>
      </c>
      <c r="I856" s="25" t="s">
        <v>2556</v>
      </c>
      <c r="K856" s="8" t="s">
        <v>291</v>
      </c>
      <c r="L856" s="25" t="s">
        <v>2282</v>
      </c>
      <c r="M856" s="15">
        <v>40421</v>
      </c>
      <c r="N856" s="1">
        <v>2</v>
      </c>
      <c r="O856" s="25" t="s">
        <v>25</v>
      </c>
      <c r="Q856" s="25" t="s">
        <v>27</v>
      </c>
      <c r="R856" s="25" t="s">
        <v>65</v>
      </c>
      <c r="Y856" s="19"/>
      <c r="AC856" s="39" t="s">
        <v>1380</v>
      </c>
      <c r="AH856" s="25" t="s">
        <v>1416</v>
      </c>
    </row>
    <row r="857" spans="1:34">
      <c r="A857" s="1">
        <v>855</v>
      </c>
      <c r="B857" s="14">
        <v>40400</v>
      </c>
      <c r="C857" s="15">
        <v>40421</v>
      </c>
      <c r="E857" s="8" t="s">
        <v>2557</v>
      </c>
      <c r="G857" s="25" t="s">
        <v>20</v>
      </c>
      <c r="H857" s="1">
        <v>28</v>
      </c>
      <c r="I857" s="25" t="s">
        <v>2558</v>
      </c>
      <c r="K857" s="8" t="s">
        <v>291</v>
      </c>
      <c r="L857" s="25" t="s">
        <v>2282</v>
      </c>
      <c r="M857" s="15">
        <v>40421</v>
      </c>
      <c r="N857" s="1">
        <v>1</v>
      </c>
      <c r="O857" s="25" t="s">
        <v>25</v>
      </c>
      <c r="Q857" s="25" t="s">
        <v>27</v>
      </c>
      <c r="R857" s="25" t="s">
        <v>60</v>
      </c>
      <c r="Y857" s="19"/>
      <c r="AC857" s="39" t="s">
        <v>35</v>
      </c>
      <c r="AD857" s="25">
        <v>40426</v>
      </c>
      <c r="AH857" s="25" t="s">
        <v>35</v>
      </c>
    </row>
    <row r="858" spans="1:34">
      <c r="A858" s="1">
        <v>856</v>
      </c>
      <c r="B858" s="14">
        <v>40400</v>
      </c>
      <c r="C858" s="15">
        <v>40421</v>
      </c>
      <c r="E858" s="8" t="s">
        <v>2559</v>
      </c>
      <c r="G858" s="25" t="s">
        <v>20</v>
      </c>
      <c r="H858" s="1">
        <v>22</v>
      </c>
      <c r="I858" s="25" t="s">
        <v>2560</v>
      </c>
      <c r="J858" s="8" t="s">
        <v>2561</v>
      </c>
      <c r="K858" s="8" t="s">
        <v>291</v>
      </c>
      <c r="L858" s="25" t="s">
        <v>2282</v>
      </c>
      <c r="M858" s="15">
        <v>40421</v>
      </c>
      <c r="N858" s="1">
        <v>1</v>
      </c>
      <c r="O858" s="25" t="s">
        <v>25</v>
      </c>
      <c r="Q858" s="25" t="s">
        <v>27</v>
      </c>
      <c r="R858" s="25" t="s">
        <v>65</v>
      </c>
      <c r="U858" s="25" t="s">
        <v>2729</v>
      </c>
      <c r="Y858" s="19"/>
      <c r="AC858" s="39" t="s">
        <v>1380</v>
      </c>
      <c r="AH858" s="25" t="s">
        <v>1416</v>
      </c>
    </row>
    <row r="859" spans="1:34">
      <c r="A859" s="1">
        <v>857</v>
      </c>
      <c r="B859" s="14">
        <v>40400</v>
      </c>
      <c r="C859" s="15">
        <v>40421</v>
      </c>
      <c r="E859" s="8" t="s">
        <v>2562</v>
      </c>
      <c r="G859" s="25" t="s">
        <v>20</v>
      </c>
      <c r="H859" s="1">
        <v>43</v>
      </c>
      <c r="I859" s="25" t="s">
        <v>2563</v>
      </c>
      <c r="J859" s="8" t="s">
        <v>2564</v>
      </c>
      <c r="K859" s="8" t="s">
        <v>291</v>
      </c>
      <c r="L859" s="25" t="s">
        <v>2282</v>
      </c>
      <c r="M859" s="15">
        <v>40421</v>
      </c>
      <c r="N859" s="1">
        <v>2</v>
      </c>
      <c r="O859" s="25" t="s">
        <v>25</v>
      </c>
      <c r="Q859" s="25" t="s">
        <v>49</v>
      </c>
      <c r="R859" s="25" t="s">
        <v>56</v>
      </c>
      <c r="U859" s="25" t="s">
        <v>60</v>
      </c>
      <c r="AC859" s="39" t="s">
        <v>1380</v>
      </c>
      <c r="AH859" s="25" t="s">
        <v>1380</v>
      </c>
    </row>
    <row r="860" spans="1:34">
      <c r="A860" s="1">
        <v>858</v>
      </c>
      <c r="B860" s="14">
        <v>40400</v>
      </c>
      <c r="C860" s="15">
        <v>40421</v>
      </c>
      <c r="E860" s="8" t="s">
        <v>2565</v>
      </c>
      <c r="G860" s="25" t="s">
        <v>37</v>
      </c>
      <c r="H860" s="1">
        <v>23</v>
      </c>
      <c r="I860" s="25" t="s">
        <v>2566</v>
      </c>
      <c r="K860" s="8" t="s">
        <v>291</v>
      </c>
      <c r="L860" s="25" t="s">
        <v>2282</v>
      </c>
      <c r="M860" s="15">
        <v>40421</v>
      </c>
      <c r="N860" s="1">
        <v>1</v>
      </c>
      <c r="O860" s="25" t="s">
        <v>25</v>
      </c>
      <c r="Q860" s="25" t="s">
        <v>110</v>
      </c>
      <c r="R860" s="25" t="s">
        <v>56</v>
      </c>
      <c r="AC860" s="39" t="s">
        <v>1380</v>
      </c>
      <c r="AH860" s="25" t="s">
        <v>1380</v>
      </c>
    </row>
    <row r="861" spans="1:34">
      <c r="A861" s="1">
        <v>859</v>
      </c>
      <c r="B861" s="14">
        <v>40400</v>
      </c>
      <c r="C861" s="15">
        <v>40421</v>
      </c>
      <c r="E861" s="8" t="s">
        <v>2567</v>
      </c>
      <c r="G861" s="25" t="s">
        <v>37</v>
      </c>
      <c r="H861" s="1">
        <v>44</v>
      </c>
      <c r="I861" s="25" t="s">
        <v>2568</v>
      </c>
      <c r="J861" s="8" t="s">
        <v>2569</v>
      </c>
      <c r="K861" s="8" t="s">
        <v>291</v>
      </c>
      <c r="L861" s="25" t="s">
        <v>2282</v>
      </c>
      <c r="M861" s="15">
        <v>40421</v>
      </c>
      <c r="N861" s="1">
        <v>1</v>
      </c>
      <c r="O861" s="25" t="s">
        <v>40</v>
      </c>
      <c r="P861" s="25" t="s">
        <v>2096</v>
      </c>
      <c r="Q861" s="25" t="s">
        <v>27</v>
      </c>
      <c r="R861" s="25" t="s">
        <v>42</v>
      </c>
      <c r="S861" s="15">
        <f t="shared" ref="S861" ca="1" si="43">NOW()</f>
        <v>40470.53652858796</v>
      </c>
      <c r="T861" s="8">
        <f t="shared" ref="T861" ca="1" si="44">(YEAR(S861)-YEAR(M861))*12+MONTH(S861)-MONTH(M861)</f>
        <v>2</v>
      </c>
      <c r="U861" s="25" t="s">
        <v>42</v>
      </c>
      <c r="V861" s="25" t="s">
        <v>42</v>
      </c>
      <c r="W861" s="25" t="s">
        <v>42</v>
      </c>
      <c r="X861" s="25" t="s">
        <v>42</v>
      </c>
      <c r="Y861" s="19" t="s">
        <v>2649</v>
      </c>
      <c r="AC861" s="39" t="s">
        <v>1380</v>
      </c>
      <c r="AH861" s="25" t="s">
        <v>1380</v>
      </c>
    </row>
    <row r="862" spans="1:34">
      <c r="A862" s="1">
        <v>860</v>
      </c>
      <c r="B862" s="14">
        <v>40431</v>
      </c>
      <c r="C862" s="15">
        <v>40422</v>
      </c>
      <c r="E862" s="8" t="s">
        <v>2570</v>
      </c>
      <c r="G862" s="25" t="s">
        <v>37</v>
      </c>
      <c r="H862" s="1">
        <v>14</v>
      </c>
      <c r="I862" s="25" t="s">
        <v>2571</v>
      </c>
      <c r="J862" s="8" t="s">
        <v>2572</v>
      </c>
      <c r="K862" s="8" t="s">
        <v>39</v>
      </c>
      <c r="L862" s="25" t="s">
        <v>2282</v>
      </c>
      <c r="M862" s="15">
        <v>40422</v>
      </c>
      <c r="N862" s="1">
        <v>1</v>
      </c>
      <c r="O862" s="25" t="s">
        <v>25</v>
      </c>
      <c r="Q862" s="25" t="s">
        <v>27</v>
      </c>
      <c r="R862" s="25" t="s">
        <v>28</v>
      </c>
      <c r="U862" s="25" t="s">
        <v>2729</v>
      </c>
      <c r="AC862" s="39" t="s">
        <v>1380</v>
      </c>
      <c r="AH862" s="25" t="s">
        <v>1380</v>
      </c>
    </row>
    <row r="863" spans="1:34">
      <c r="A863" s="1">
        <v>861</v>
      </c>
      <c r="B863" s="14">
        <v>40431</v>
      </c>
      <c r="C863" s="15">
        <v>40422</v>
      </c>
      <c r="E863" s="8" t="s">
        <v>2573</v>
      </c>
      <c r="G863" s="25" t="s">
        <v>20</v>
      </c>
      <c r="H863" s="1">
        <v>32</v>
      </c>
      <c r="I863" s="25" t="s">
        <v>2574</v>
      </c>
      <c r="J863" s="8" t="s">
        <v>2575</v>
      </c>
      <c r="K863" s="8" t="s">
        <v>39</v>
      </c>
      <c r="L863" s="25" t="s">
        <v>2282</v>
      </c>
      <c r="M863" s="15">
        <v>40422</v>
      </c>
      <c r="N863" s="1">
        <v>2</v>
      </c>
      <c r="O863" s="25" t="s">
        <v>40</v>
      </c>
      <c r="P863" s="25" t="s">
        <v>265</v>
      </c>
      <c r="Q863" s="25" t="s">
        <v>381</v>
      </c>
      <c r="R863" s="25" t="s">
        <v>42</v>
      </c>
      <c r="S863" s="15">
        <f t="shared" ref="S863" ca="1" si="45">NOW()</f>
        <v>40470.53652858796</v>
      </c>
      <c r="T863" s="8">
        <f t="shared" ref="T863" ca="1" si="46">(YEAR(S863)-YEAR(M863))*12+MONTH(S863)-MONTH(M863)</f>
        <v>1</v>
      </c>
      <c r="U863" s="25" t="s">
        <v>42</v>
      </c>
      <c r="V863" s="25" t="s">
        <v>42</v>
      </c>
      <c r="W863" s="25" t="s">
        <v>42</v>
      </c>
      <c r="X863" s="25" t="s">
        <v>42</v>
      </c>
      <c r="Y863" s="19" t="s">
        <v>2649</v>
      </c>
      <c r="AC863" s="39" t="s">
        <v>1380</v>
      </c>
      <c r="AH863" s="25" t="s">
        <v>1380</v>
      </c>
    </row>
    <row r="864" spans="1:34">
      <c r="A864" s="1">
        <v>862</v>
      </c>
      <c r="B864" s="14">
        <v>40431</v>
      </c>
      <c r="C864" s="15">
        <v>40422</v>
      </c>
      <c r="E864" s="8" t="s">
        <v>2605</v>
      </c>
      <c r="G864" s="25" t="s">
        <v>37</v>
      </c>
      <c r="H864" s="1">
        <v>45</v>
      </c>
      <c r="I864" s="25" t="s">
        <v>2606</v>
      </c>
      <c r="J864" s="8" t="s">
        <v>2607</v>
      </c>
      <c r="K864" s="8" t="s">
        <v>59</v>
      </c>
      <c r="L864" s="25" t="s">
        <v>2282</v>
      </c>
      <c r="M864" s="15">
        <v>40422</v>
      </c>
      <c r="N864" s="1">
        <v>1</v>
      </c>
      <c r="O864" s="25" t="s">
        <v>25</v>
      </c>
      <c r="Q864" s="25" t="s">
        <v>27</v>
      </c>
      <c r="R864" s="25" t="s">
        <v>28</v>
      </c>
      <c r="AC864" s="39" t="s">
        <v>1380</v>
      </c>
      <c r="AH864" s="25" t="s">
        <v>1380</v>
      </c>
    </row>
    <row r="865" spans="1:34">
      <c r="A865" s="1">
        <v>863</v>
      </c>
      <c r="B865" s="14">
        <v>40431</v>
      </c>
      <c r="C865" s="15">
        <v>40422</v>
      </c>
      <c r="E865" s="8" t="s">
        <v>2608</v>
      </c>
      <c r="G865" s="25" t="s">
        <v>37</v>
      </c>
      <c r="H865" s="1">
        <v>17</v>
      </c>
      <c r="I865" s="25" t="s">
        <v>2609</v>
      </c>
      <c r="J865" s="8" t="s">
        <v>2610</v>
      </c>
      <c r="K865" s="8" t="s">
        <v>291</v>
      </c>
      <c r="L865" s="25" t="s">
        <v>2282</v>
      </c>
      <c r="M865" s="15">
        <v>40422</v>
      </c>
      <c r="N865" s="1">
        <v>1</v>
      </c>
      <c r="O865" s="25" t="s">
        <v>25</v>
      </c>
      <c r="Q865" s="25" t="s">
        <v>27</v>
      </c>
      <c r="R865" s="25" t="s">
        <v>60</v>
      </c>
      <c r="U865" s="25" t="s">
        <v>28</v>
      </c>
      <c r="AC865" s="39" t="s">
        <v>1380</v>
      </c>
      <c r="AH865" s="25" t="s">
        <v>1380</v>
      </c>
    </row>
    <row r="866" spans="1:34">
      <c r="A866" s="1">
        <v>864</v>
      </c>
      <c r="B866" s="14">
        <v>40431</v>
      </c>
      <c r="C866" s="15">
        <v>40422</v>
      </c>
      <c r="E866" s="8" t="s">
        <v>2611</v>
      </c>
      <c r="G866" s="25" t="s">
        <v>37</v>
      </c>
      <c r="H866" s="1">
        <v>35</v>
      </c>
      <c r="I866" s="25" t="s">
        <v>2612</v>
      </c>
      <c r="J866" s="8" t="s">
        <v>2613</v>
      </c>
      <c r="K866" s="8" t="s">
        <v>291</v>
      </c>
      <c r="L866" s="25" t="s">
        <v>2282</v>
      </c>
      <c r="M866" s="15">
        <v>40422</v>
      </c>
      <c r="N866" s="1">
        <v>1</v>
      </c>
      <c r="O866" s="25" t="s">
        <v>25</v>
      </c>
      <c r="Q866" s="25" t="s">
        <v>27</v>
      </c>
      <c r="R866" s="25" t="s">
        <v>56</v>
      </c>
      <c r="AC866" s="39" t="s">
        <v>1380</v>
      </c>
      <c r="AH866" s="25" t="s">
        <v>1380</v>
      </c>
    </row>
    <row r="867" spans="1:34">
      <c r="A867" s="1">
        <v>865</v>
      </c>
      <c r="B867" s="14">
        <v>40431</v>
      </c>
      <c r="C867" s="15">
        <v>40422</v>
      </c>
      <c r="E867" s="8" t="s">
        <v>2614</v>
      </c>
      <c r="G867" s="25" t="s">
        <v>20</v>
      </c>
      <c r="H867" s="1">
        <v>12</v>
      </c>
      <c r="I867" s="25" t="s">
        <v>2615</v>
      </c>
      <c r="J867" s="8" t="s">
        <v>2616</v>
      </c>
      <c r="K867" s="8" t="s">
        <v>39</v>
      </c>
      <c r="L867" s="25" t="s">
        <v>2282</v>
      </c>
      <c r="M867" s="15">
        <v>40422</v>
      </c>
      <c r="N867" s="1">
        <v>1</v>
      </c>
      <c r="O867" s="25" t="s">
        <v>40</v>
      </c>
      <c r="P867" s="25" t="s">
        <v>315</v>
      </c>
      <c r="Q867" s="25" t="s">
        <v>27</v>
      </c>
      <c r="R867" s="25" t="s">
        <v>42</v>
      </c>
      <c r="S867" s="15">
        <f t="shared" ref="S867" ca="1" si="47">NOW()</f>
        <v>40470.53652858796</v>
      </c>
      <c r="T867" s="8">
        <f t="shared" ref="T867" ca="1" si="48">(YEAR(S867)-YEAR(M867))*12+MONTH(S867)-MONTH(M867)</f>
        <v>1</v>
      </c>
      <c r="U867" s="25" t="s">
        <v>42</v>
      </c>
      <c r="V867" s="25" t="s">
        <v>42</v>
      </c>
      <c r="W867" s="25" t="s">
        <v>42</v>
      </c>
      <c r="X867" s="25" t="s">
        <v>42</v>
      </c>
      <c r="Y867" s="19" t="s">
        <v>2649</v>
      </c>
      <c r="AC867" s="39" t="s">
        <v>1380</v>
      </c>
      <c r="AH867" s="25" t="s">
        <v>1380</v>
      </c>
    </row>
    <row r="868" spans="1:34">
      <c r="A868" s="1">
        <v>866</v>
      </c>
      <c r="B868" s="14">
        <v>40431</v>
      </c>
      <c r="C868" s="15">
        <v>40422</v>
      </c>
      <c r="E868" s="8" t="s">
        <v>2617</v>
      </c>
      <c r="G868" s="25" t="s">
        <v>37</v>
      </c>
      <c r="H868" s="1">
        <v>30</v>
      </c>
      <c r="I868" s="25" t="s">
        <v>2618</v>
      </c>
      <c r="J868" s="8" t="s">
        <v>2619</v>
      </c>
      <c r="K868" s="8" t="s">
        <v>48</v>
      </c>
      <c r="L868" s="25" t="s">
        <v>2282</v>
      </c>
      <c r="M868" s="15">
        <v>40422</v>
      </c>
      <c r="N868" s="1">
        <v>2</v>
      </c>
      <c r="O868" s="25" t="s">
        <v>25</v>
      </c>
      <c r="Q868" s="25" t="s">
        <v>49</v>
      </c>
      <c r="R868" s="25" t="s">
        <v>60</v>
      </c>
      <c r="AC868" s="39" t="s">
        <v>1380</v>
      </c>
      <c r="AH868" s="25" t="s">
        <v>1380</v>
      </c>
    </row>
    <row r="869" spans="1:34">
      <c r="A869" s="1">
        <v>867</v>
      </c>
      <c r="B869" s="14">
        <v>40431</v>
      </c>
      <c r="C869" s="15">
        <v>40422</v>
      </c>
      <c r="E869" s="8" t="s">
        <v>2620</v>
      </c>
      <c r="G869" s="25" t="s">
        <v>37</v>
      </c>
      <c r="H869" s="1">
        <v>54</v>
      </c>
      <c r="I869" s="25" t="s">
        <v>2621</v>
      </c>
      <c r="J869" s="8" t="s">
        <v>2622</v>
      </c>
      <c r="K869" s="8" t="s">
        <v>59</v>
      </c>
      <c r="L869" s="25" t="s">
        <v>2282</v>
      </c>
      <c r="M869" s="15">
        <v>40422</v>
      </c>
      <c r="N869" s="1">
        <v>1</v>
      </c>
      <c r="O869" s="25" t="s">
        <v>25</v>
      </c>
      <c r="Q869" s="25" t="s">
        <v>27</v>
      </c>
      <c r="R869" s="25" t="s">
        <v>28</v>
      </c>
      <c r="U869" s="25" t="s">
        <v>2731</v>
      </c>
      <c r="AC869" s="39" t="s">
        <v>1380</v>
      </c>
      <c r="AH869" s="25" t="s">
        <v>1380</v>
      </c>
    </row>
    <row r="870" spans="1:34">
      <c r="A870" s="1">
        <v>868</v>
      </c>
      <c r="B870" s="14">
        <v>40431</v>
      </c>
      <c r="C870" s="15">
        <v>40422</v>
      </c>
      <c r="E870" s="8" t="s">
        <v>2623</v>
      </c>
      <c r="G870" s="25" t="s">
        <v>37</v>
      </c>
      <c r="H870" s="1">
        <v>28</v>
      </c>
      <c r="I870" s="25" t="s">
        <v>2624</v>
      </c>
      <c r="J870" s="8" t="s">
        <v>2625</v>
      </c>
      <c r="K870" s="8" t="s">
        <v>291</v>
      </c>
      <c r="L870" s="25" t="s">
        <v>2282</v>
      </c>
      <c r="M870" s="15">
        <v>40422</v>
      </c>
      <c r="N870" s="1">
        <v>1</v>
      </c>
      <c r="O870" s="25" t="s">
        <v>40</v>
      </c>
      <c r="P870" s="25" t="s">
        <v>2096</v>
      </c>
      <c r="Q870" s="25" t="s">
        <v>27</v>
      </c>
      <c r="R870" s="25" t="s">
        <v>2729</v>
      </c>
      <c r="S870" s="15">
        <f t="shared" ref="S870:S871" ca="1" si="49">NOW()</f>
        <v>40470.53652858796</v>
      </c>
      <c r="T870" s="8">
        <f t="shared" ref="T870:T871" ca="1" si="50">(YEAR(S870)-YEAR(M870))*12+MONTH(S870)-MONTH(M870)</f>
        <v>1</v>
      </c>
      <c r="U870" s="25" t="s">
        <v>42</v>
      </c>
      <c r="V870" s="25" t="s">
        <v>42</v>
      </c>
      <c r="W870" s="25" t="s">
        <v>42</v>
      </c>
      <c r="X870" s="25" t="s">
        <v>42</v>
      </c>
      <c r="Y870" s="19" t="s">
        <v>2649</v>
      </c>
      <c r="AC870" s="39" t="s">
        <v>1380</v>
      </c>
      <c r="AH870" s="25" t="s">
        <v>1380</v>
      </c>
    </row>
    <row r="871" spans="1:34">
      <c r="A871" s="1">
        <v>869</v>
      </c>
      <c r="B871" s="14">
        <v>40431</v>
      </c>
      <c r="C871" s="15">
        <v>40422</v>
      </c>
      <c r="E871" s="8" t="s">
        <v>2626</v>
      </c>
      <c r="G871" s="25" t="s">
        <v>20</v>
      </c>
      <c r="H871" s="1">
        <v>72</v>
      </c>
      <c r="I871" s="25" t="s">
        <v>2627</v>
      </c>
      <c r="J871" s="8" t="s">
        <v>2628</v>
      </c>
      <c r="L871" s="25" t="s">
        <v>2282</v>
      </c>
      <c r="M871" s="15">
        <v>40422</v>
      </c>
      <c r="N871" s="1">
        <v>2</v>
      </c>
      <c r="O871" s="25" t="s">
        <v>40</v>
      </c>
      <c r="P871" s="25" t="s">
        <v>2749</v>
      </c>
      <c r="Q871" s="25" t="s">
        <v>49</v>
      </c>
      <c r="R871" s="25" t="s">
        <v>42</v>
      </c>
      <c r="S871" s="15">
        <f t="shared" ca="1" si="49"/>
        <v>40470.53652858796</v>
      </c>
      <c r="T871" s="8">
        <f t="shared" ca="1" si="50"/>
        <v>1</v>
      </c>
      <c r="U871" s="25" t="s">
        <v>42</v>
      </c>
      <c r="V871" s="25" t="s">
        <v>42</v>
      </c>
      <c r="W871" s="25" t="s">
        <v>42</v>
      </c>
      <c r="X871" s="25" t="s">
        <v>42</v>
      </c>
      <c r="Y871" s="19" t="s">
        <v>2649</v>
      </c>
      <c r="AC871" s="39" t="s">
        <v>1380</v>
      </c>
      <c r="AH871" s="25" t="s">
        <v>1380</v>
      </c>
    </row>
    <row r="872" spans="1:34">
      <c r="A872" s="1">
        <v>870</v>
      </c>
      <c r="B872" s="14">
        <v>40431</v>
      </c>
      <c r="C872" s="15">
        <v>40423</v>
      </c>
      <c r="E872" s="8" t="s">
        <v>2629</v>
      </c>
      <c r="G872" s="25" t="s">
        <v>20</v>
      </c>
      <c r="H872" s="1">
        <v>35</v>
      </c>
      <c r="I872" s="25" t="s">
        <v>2630</v>
      </c>
      <c r="J872" s="8" t="s">
        <v>2631</v>
      </c>
      <c r="K872" s="8" t="s">
        <v>291</v>
      </c>
      <c r="L872" s="25" t="s">
        <v>2282</v>
      </c>
      <c r="M872" s="15">
        <v>40423</v>
      </c>
      <c r="N872" s="1">
        <v>2</v>
      </c>
      <c r="O872" s="25" t="s">
        <v>25</v>
      </c>
      <c r="Q872" s="25" t="s">
        <v>49</v>
      </c>
      <c r="AC872" s="39" t="s">
        <v>1380</v>
      </c>
      <c r="AH872" s="25" t="s">
        <v>1380</v>
      </c>
    </row>
    <row r="873" spans="1:34">
      <c r="A873" s="1">
        <v>871</v>
      </c>
      <c r="B873" s="14">
        <v>40431</v>
      </c>
      <c r="C873" s="15">
        <v>40423</v>
      </c>
      <c r="E873" s="8" t="s">
        <v>2632</v>
      </c>
      <c r="G873" s="25" t="s">
        <v>20</v>
      </c>
      <c r="H873" s="1">
        <v>30</v>
      </c>
      <c r="I873" s="25" t="s">
        <v>2633</v>
      </c>
      <c r="J873" s="8" t="s">
        <v>2634</v>
      </c>
      <c r="K873" s="8" t="s">
        <v>291</v>
      </c>
      <c r="L873" s="25" t="s">
        <v>2282</v>
      </c>
      <c r="M873" s="15">
        <v>40423</v>
      </c>
      <c r="N873" s="1">
        <v>1</v>
      </c>
      <c r="O873" s="25" t="s">
        <v>25</v>
      </c>
      <c r="Q873" s="25" t="s">
        <v>27</v>
      </c>
      <c r="R873" s="25" t="s">
        <v>60</v>
      </c>
      <c r="AC873" s="39" t="s">
        <v>1380</v>
      </c>
      <c r="AH873" s="25" t="s">
        <v>1380</v>
      </c>
    </row>
    <row r="874" spans="1:34">
      <c r="A874" s="1">
        <v>872</v>
      </c>
      <c r="B874" s="14">
        <v>40431</v>
      </c>
      <c r="C874" s="15">
        <v>40423</v>
      </c>
      <c r="E874" s="8" t="s">
        <v>2635</v>
      </c>
      <c r="G874" s="25" t="s">
        <v>37</v>
      </c>
      <c r="H874" s="1">
        <v>25</v>
      </c>
      <c r="I874" s="25" t="s">
        <v>2636</v>
      </c>
      <c r="J874" s="8" t="s">
        <v>2637</v>
      </c>
      <c r="K874" s="8" t="s">
        <v>106</v>
      </c>
      <c r="L874" s="25" t="s">
        <v>2282</v>
      </c>
      <c r="M874" s="15">
        <v>40423</v>
      </c>
      <c r="N874" s="1">
        <v>2</v>
      </c>
      <c r="O874" s="25" t="s">
        <v>40</v>
      </c>
      <c r="P874" s="25" t="s">
        <v>2644</v>
      </c>
      <c r="Q874" s="25" t="s">
        <v>49</v>
      </c>
      <c r="R874" s="25" t="s">
        <v>56</v>
      </c>
      <c r="S874" s="15">
        <f t="shared" ref="S874:S875" ca="1" si="51">NOW()</f>
        <v>40470.53652858796</v>
      </c>
      <c r="T874" s="8">
        <f t="shared" ref="T874:T875" ca="1" si="52">(YEAR(S874)-YEAR(M874))*12+MONTH(S874)-MONTH(M874)</f>
        <v>1</v>
      </c>
      <c r="U874" s="25" t="s">
        <v>42</v>
      </c>
      <c r="V874" s="25" t="s">
        <v>42</v>
      </c>
      <c r="W874" s="25" t="s">
        <v>42</v>
      </c>
      <c r="X874" s="25" t="s">
        <v>42</v>
      </c>
      <c r="Y874" s="19" t="s">
        <v>2649</v>
      </c>
      <c r="AC874" s="39" t="s">
        <v>1380</v>
      </c>
      <c r="AH874" s="25" t="s">
        <v>1380</v>
      </c>
    </row>
    <row r="875" spans="1:34">
      <c r="A875" s="1">
        <v>873</v>
      </c>
      <c r="B875" s="14">
        <v>40431</v>
      </c>
      <c r="C875" s="15">
        <v>40423</v>
      </c>
      <c r="E875" s="8" t="s">
        <v>2638</v>
      </c>
      <c r="G875" s="25" t="s">
        <v>37</v>
      </c>
      <c r="H875" s="1">
        <v>47</v>
      </c>
      <c r="I875" s="25" t="s">
        <v>2640</v>
      </c>
      <c r="J875" s="8" t="s">
        <v>2641</v>
      </c>
      <c r="K875" s="8" t="s">
        <v>291</v>
      </c>
      <c r="L875" s="25" t="s">
        <v>2282</v>
      </c>
      <c r="M875" s="15">
        <v>40423</v>
      </c>
      <c r="N875" s="1">
        <v>2</v>
      </c>
      <c r="O875" s="25" t="s">
        <v>40</v>
      </c>
      <c r="P875" s="25" t="s">
        <v>2096</v>
      </c>
      <c r="Q875" s="25" t="s">
        <v>407</v>
      </c>
      <c r="R875" s="25" t="s">
        <v>2729</v>
      </c>
      <c r="S875" s="15">
        <f t="shared" ca="1" si="51"/>
        <v>40470.53652858796</v>
      </c>
      <c r="T875" s="8">
        <f t="shared" ca="1" si="52"/>
        <v>1</v>
      </c>
      <c r="U875" s="25" t="s">
        <v>42</v>
      </c>
      <c r="V875" s="25" t="s">
        <v>42</v>
      </c>
      <c r="W875" s="25" t="s">
        <v>42</v>
      </c>
      <c r="X875" s="25" t="s">
        <v>42</v>
      </c>
      <c r="Y875" s="19" t="s">
        <v>2649</v>
      </c>
      <c r="AC875" s="39" t="s">
        <v>1380</v>
      </c>
      <c r="AH875" s="25" t="s">
        <v>1380</v>
      </c>
    </row>
    <row r="876" spans="1:34">
      <c r="A876" s="1">
        <v>874</v>
      </c>
      <c r="B876" s="14">
        <v>40431</v>
      </c>
      <c r="C876" s="15">
        <v>40424</v>
      </c>
      <c r="E876" s="8" t="s">
        <v>2639</v>
      </c>
      <c r="G876" s="25" t="s">
        <v>37</v>
      </c>
      <c r="H876" s="1">
        <v>45</v>
      </c>
      <c r="I876" s="25" t="s">
        <v>2642</v>
      </c>
      <c r="J876" s="8" t="s">
        <v>2643</v>
      </c>
      <c r="K876" s="8" t="s">
        <v>59</v>
      </c>
      <c r="L876" s="25" t="s">
        <v>2282</v>
      </c>
      <c r="M876" s="15">
        <v>40424</v>
      </c>
      <c r="N876" s="1">
        <v>1</v>
      </c>
      <c r="O876" s="25" t="s">
        <v>25</v>
      </c>
      <c r="Q876" s="25" t="s">
        <v>27</v>
      </c>
      <c r="R876" s="25" t="s">
        <v>60</v>
      </c>
      <c r="U876" s="25" t="s">
        <v>2729</v>
      </c>
      <c r="AC876" s="39" t="s">
        <v>1380</v>
      </c>
      <c r="AH876" s="25" t="s">
        <v>1380</v>
      </c>
    </row>
    <row r="877" spans="1:34">
      <c r="A877" s="1">
        <v>875</v>
      </c>
      <c r="B877" s="14">
        <v>40431</v>
      </c>
      <c r="C877" s="15">
        <v>40424</v>
      </c>
      <c r="E877" s="8" t="s">
        <v>2645</v>
      </c>
      <c r="G877" s="25" t="s">
        <v>37</v>
      </c>
      <c r="H877" s="1">
        <v>27</v>
      </c>
      <c r="I877" s="25" t="s">
        <v>2646</v>
      </c>
      <c r="J877" s="8" t="s">
        <v>2647</v>
      </c>
      <c r="K877" s="8" t="s">
        <v>291</v>
      </c>
      <c r="L877" s="25" t="s">
        <v>2282</v>
      </c>
      <c r="M877" s="15">
        <v>40424</v>
      </c>
      <c r="N877" s="1">
        <v>2</v>
      </c>
      <c r="O877" s="25" t="s">
        <v>25</v>
      </c>
      <c r="Q877" s="25" t="s">
        <v>381</v>
      </c>
      <c r="R877" s="25" t="s">
        <v>60</v>
      </c>
      <c r="AC877" s="39" t="s">
        <v>1380</v>
      </c>
      <c r="AH877" s="25" t="s">
        <v>1380</v>
      </c>
    </row>
    <row r="878" spans="1:34">
      <c r="A878" s="1">
        <v>876</v>
      </c>
      <c r="B878" s="14">
        <v>40431</v>
      </c>
      <c r="C878" s="15">
        <v>40424</v>
      </c>
      <c r="E878" s="8" t="s">
        <v>2651</v>
      </c>
      <c r="G878" s="25" t="s">
        <v>37</v>
      </c>
      <c r="H878" s="1">
        <v>60</v>
      </c>
      <c r="I878" s="25" t="s">
        <v>2652</v>
      </c>
      <c r="J878" s="8" t="s">
        <v>2653</v>
      </c>
      <c r="K878" s="8" t="s">
        <v>71</v>
      </c>
      <c r="L878" s="25" t="s">
        <v>2282</v>
      </c>
      <c r="M878" s="15">
        <v>40424</v>
      </c>
      <c r="N878" s="1">
        <v>1</v>
      </c>
      <c r="O878" s="25" t="s">
        <v>40</v>
      </c>
      <c r="P878" s="25" t="s">
        <v>2749</v>
      </c>
      <c r="Q878" s="25" t="s">
        <v>27</v>
      </c>
      <c r="R878" s="25" t="s">
        <v>2729</v>
      </c>
      <c r="S878" s="15">
        <f t="shared" ref="S878" ca="1" si="53">NOW()</f>
        <v>40470.53652858796</v>
      </c>
      <c r="T878" s="8">
        <f t="shared" ref="T878" ca="1" si="54">(YEAR(S878)-YEAR(M878))*12+MONTH(S878)-MONTH(M878)</f>
        <v>1</v>
      </c>
      <c r="U878" s="25" t="s">
        <v>42</v>
      </c>
      <c r="V878" s="25" t="s">
        <v>42</v>
      </c>
      <c r="W878" s="25" t="s">
        <v>42</v>
      </c>
      <c r="X878" s="25" t="s">
        <v>42</v>
      </c>
      <c r="Y878" s="19" t="s">
        <v>2649</v>
      </c>
      <c r="AC878" s="39" t="s">
        <v>1380</v>
      </c>
      <c r="AH878" s="25" t="s">
        <v>1380</v>
      </c>
    </row>
    <row r="879" spans="1:34">
      <c r="A879" s="1">
        <v>877</v>
      </c>
      <c r="B879" s="14">
        <v>40431</v>
      </c>
      <c r="C879" s="15">
        <v>40427</v>
      </c>
      <c r="E879" s="8" t="s">
        <v>2654</v>
      </c>
      <c r="G879" s="25" t="s">
        <v>37</v>
      </c>
      <c r="H879" s="1">
        <v>24</v>
      </c>
      <c r="I879" s="25" t="s">
        <v>2655</v>
      </c>
      <c r="J879" s="8" t="s">
        <v>2656</v>
      </c>
      <c r="K879" s="8" t="s">
        <v>2657</v>
      </c>
      <c r="L879" s="25" t="s">
        <v>2282</v>
      </c>
      <c r="M879" s="15">
        <v>40427</v>
      </c>
      <c r="N879" s="1">
        <v>2</v>
      </c>
      <c r="O879" s="25" t="s">
        <v>25</v>
      </c>
      <c r="Q879" s="25" t="s">
        <v>381</v>
      </c>
      <c r="R879" s="25" t="s">
        <v>60</v>
      </c>
      <c r="AC879" s="39" t="s">
        <v>1380</v>
      </c>
      <c r="AH879" s="25" t="s">
        <v>1380</v>
      </c>
    </row>
    <row r="880" spans="1:34">
      <c r="A880" s="1">
        <v>878</v>
      </c>
      <c r="B880" s="14">
        <v>40431</v>
      </c>
      <c r="C880" s="15">
        <v>40427</v>
      </c>
      <c r="E880" s="8" t="s">
        <v>2658</v>
      </c>
      <c r="G880" s="25" t="s">
        <v>37</v>
      </c>
      <c r="H880" s="1">
        <v>50</v>
      </c>
      <c r="I880" s="25" t="s">
        <v>2659</v>
      </c>
      <c r="K880" s="8" t="s">
        <v>291</v>
      </c>
      <c r="L880" s="25" t="s">
        <v>2282</v>
      </c>
      <c r="M880" s="15">
        <v>40427</v>
      </c>
      <c r="N880" s="1">
        <v>1</v>
      </c>
      <c r="O880" s="25" t="s">
        <v>25</v>
      </c>
      <c r="Q880" s="25" t="s">
        <v>27</v>
      </c>
      <c r="R880" s="25" t="s">
        <v>60</v>
      </c>
      <c r="AC880" s="39" t="s">
        <v>1380</v>
      </c>
      <c r="AH880" s="25" t="s">
        <v>1380</v>
      </c>
    </row>
    <row r="881" spans="1:34">
      <c r="A881" s="1">
        <v>879</v>
      </c>
      <c r="B881" s="14">
        <v>40431</v>
      </c>
      <c r="C881" s="15">
        <v>40429</v>
      </c>
      <c r="E881" s="8" t="s">
        <v>2747</v>
      </c>
      <c r="G881" s="25" t="s">
        <v>37</v>
      </c>
      <c r="H881" s="1">
        <v>22</v>
      </c>
      <c r="I881" s="25" t="s">
        <v>2748</v>
      </c>
      <c r="K881" s="8" t="s">
        <v>291</v>
      </c>
      <c r="L881" s="25" t="s">
        <v>2282</v>
      </c>
      <c r="M881" s="15">
        <v>40429</v>
      </c>
      <c r="N881" s="1">
        <v>1</v>
      </c>
      <c r="O881" s="25" t="s">
        <v>25</v>
      </c>
      <c r="Q881" s="25" t="s">
        <v>27</v>
      </c>
      <c r="R881" s="25" t="s">
        <v>2729</v>
      </c>
      <c r="AC881" s="39" t="s">
        <v>35</v>
      </c>
      <c r="AD881" s="25">
        <v>40438</v>
      </c>
      <c r="AH881" s="25" t="s">
        <v>35</v>
      </c>
    </row>
    <row r="882" spans="1:34">
      <c r="A882" s="1">
        <v>880</v>
      </c>
      <c r="B882" s="14">
        <v>40431</v>
      </c>
      <c r="C882" s="15">
        <v>40429</v>
      </c>
      <c r="E882" s="8" t="s">
        <v>2660</v>
      </c>
      <c r="G882" s="25" t="s">
        <v>37</v>
      </c>
      <c r="H882" s="1">
        <v>12</v>
      </c>
      <c r="I882" s="25" t="s">
        <v>2661</v>
      </c>
      <c r="J882" s="8" t="s">
        <v>2662</v>
      </c>
      <c r="K882" s="8" t="s">
        <v>39</v>
      </c>
      <c r="L882" s="25" t="s">
        <v>2282</v>
      </c>
      <c r="M882" s="15">
        <v>40429</v>
      </c>
      <c r="N882" s="1">
        <v>1</v>
      </c>
      <c r="O882" s="25" t="s">
        <v>40</v>
      </c>
      <c r="P882" s="25" t="s">
        <v>2096</v>
      </c>
      <c r="Q882" s="25" t="s">
        <v>27</v>
      </c>
      <c r="R882" s="25" t="s">
        <v>2729</v>
      </c>
      <c r="S882" s="15">
        <f t="shared" ref="S882" ca="1" si="55">NOW()</f>
        <v>40470.53652858796</v>
      </c>
      <c r="T882" s="8">
        <f t="shared" ref="T882" ca="1" si="56">(YEAR(S882)-YEAR(M882))*12+MONTH(S882)-MONTH(M882)</f>
        <v>1</v>
      </c>
      <c r="U882" s="25" t="s">
        <v>42</v>
      </c>
      <c r="V882" s="25" t="s">
        <v>42</v>
      </c>
      <c r="W882" s="25" t="s">
        <v>42</v>
      </c>
      <c r="X882" s="25" t="s">
        <v>42</v>
      </c>
      <c r="Y882" s="19" t="s">
        <v>2649</v>
      </c>
      <c r="AC882" s="39" t="s">
        <v>1380</v>
      </c>
      <c r="AH882" s="25" t="s">
        <v>1380</v>
      </c>
    </row>
    <row r="883" spans="1:34">
      <c r="A883" s="1">
        <v>881</v>
      </c>
      <c r="B883" s="14">
        <v>40431</v>
      </c>
      <c r="C883" s="15">
        <v>40429</v>
      </c>
      <c r="E883" s="8" t="s">
        <v>2663</v>
      </c>
      <c r="G883" s="25" t="s">
        <v>20</v>
      </c>
      <c r="H883" s="1">
        <v>18</v>
      </c>
      <c r="I883" s="25" t="s">
        <v>2664</v>
      </c>
      <c r="J883" s="8" t="s">
        <v>2665</v>
      </c>
      <c r="K883" s="8" t="s">
        <v>291</v>
      </c>
      <c r="L883" s="25" t="s">
        <v>2282</v>
      </c>
      <c r="M883" s="15">
        <v>40429</v>
      </c>
      <c r="N883" s="1">
        <v>2</v>
      </c>
      <c r="O883" s="25" t="s">
        <v>25</v>
      </c>
      <c r="Q883" s="25" t="s">
        <v>49</v>
      </c>
      <c r="R883" s="25" t="s">
        <v>56</v>
      </c>
      <c r="AC883" s="39" t="s">
        <v>1380</v>
      </c>
      <c r="AH883" s="25" t="s">
        <v>1380</v>
      </c>
    </row>
    <row r="884" spans="1:34">
      <c r="A884" s="1">
        <v>882</v>
      </c>
      <c r="B884" s="14">
        <v>40431</v>
      </c>
      <c r="C884" s="15">
        <v>40428</v>
      </c>
      <c r="E884" s="8" t="s">
        <v>2666</v>
      </c>
      <c r="G884" s="25" t="s">
        <v>20</v>
      </c>
      <c r="H884" s="1">
        <v>21</v>
      </c>
      <c r="I884" s="25" t="s">
        <v>2667</v>
      </c>
      <c r="J884" s="8" t="s">
        <v>2668</v>
      </c>
      <c r="K884" s="8" t="s">
        <v>39</v>
      </c>
      <c r="L884" s="25" t="s">
        <v>2282</v>
      </c>
      <c r="M884" s="15">
        <v>40428</v>
      </c>
      <c r="N884" s="1">
        <v>1</v>
      </c>
      <c r="O884" s="25" t="s">
        <v>25</v>
      </c>
      <c r="Q884" s="25" t="s">
        <v>27</v>
      </c>
      <c r="R884" s="25" t="s">
        <v>60</v>
      </c>
      <c r="AC884" s="39" t="s">
        <v>1380</v>
      </c>
      <c r="AH884" s="25" t="s">
        <v>1380</v>
      </c>
    </row>
    <row r="885" spans="1:34">
      <c r="A885" s="1">
        <v>883</v>
      </c>
      <c r="B885" s="14">
        <v>40431</v>
      </c>
      <c r="C885" s="15">
        <v>40428</v>
      </c>
      <c r="E885" s="8" t="s">
        <v>2669</v>
      </c>
      <c r="G885" s="25" t="s">
        <v>20</v>
      </c>
      <c r="H885" s="1">
        <v>54</v>
      </c>
      <c r="I885" s="25" t="s">
        <v>2670</v>
      </c>
      <c r="J885" s="8" t="s">
        <v>2671</v>
      </c>
      <c r="K885" s="8" t="s">
        <v>59</v>
      </c>
      <c r="L885" s="25" t="s">
        <v>2282</v>
      </c>
      <c r="M885" s="15">
        <v>40428</v>
      </c>
      <c r="N885" s="1">
        <v>1</v>
      </c>
      <c r="O885" s="25" t="s">
        <v>25</v>
      </c>
      <c r="Q885" s="25" t="s">
        <v>27</v>
      </c>
      <c r="R885" s="25" t="s">
        <v>60</v>
      </c>
      <c r="AC885" s="39" t="s">
        <v>1380</v>
      </c>
      <c r="AH885" s="25" t="s">
        <v>1380</v>
      </c>
    </row>
    <row r="886" spans="1:34">
      <c r="A886" s="1">
        <v>884</v>
      </c>
      <c r="B886" s="14">
        <v>40431</v>
      </c>
      <c r="C886" s="15">
        <v>40428</v>
      </c>
      <c r="E886" s="8" t="s">
        <v>2672</v>
      </c>
      <c r="G886" s="25" t="s">
        <v>20</v>
      </c>
      <c r="H886" s="1">
        <v>36</v>
      </c>
      <c r="I886" s="25" t="s">
        <v>2673</v>
      </c>
      <c r="J886" s="8" t="s">
        <v>2674</v>
      </c>
      <c r="K886" s="8" t="s">
        <v>291</v>
      </c>
      <c r="L886" s="25" t="s">
        <v>2282</v>
      </c>
      <c r="M886" s="15">
        <v>40428</v>
      </c>
      <c r="N886" s="1">
        <v>2</v>
      </c>
      <c r="O886" s="25" t="s">
        <v>25</v>
      </c>
      <c r="Q886" s="25" t="s">
        <v>49</v>
      </c>
      <c r="R886" s="25" t="s">
        <v>60</v>
      </c>
      <c r="AC886" s="39" t="s">
        <v>1380</v>
      </c>
      <c r="AH886" s="25" t="s">
        <v>1380</v>
      </c>
    </row>
    <row r="887" spans="1:34">
      <c r="A887" s="1">
        <v>885</v>
      </c>
      <c r="B887" s="14">
        <v>40431</v>
      </c>
      <c r="C887" s="15">
        <v>40435</v>
      </c>
      <c r="E887" s="8" t="s">
        <v>2675</v>
      </c>
      <c r="G887" s="25" t="s">
        <v>37</v>
      </c>
      <c r="H887" s="1">
        <v>27</v>
      </c>
      <c r="I887" s="25" t="s">
        <v>2676</v>
      </c>
      <c r="J887" s="8" t="s">
        <v>2677</v>
      </c>
      <c r="K887" s="8" t="s">
        <v>291</v>
      </c>
      <c r="L887" s="25" t="s">
        <v>2282</v>
      </c>
      <c r="M887" s="15">
        <v>40435</v>
      </c>
      <c r="N887" s="1">
        <v>1</v>
      </c>
      <c r="O887" s="25" t="s">
        <v>40</v>
      </c>
      <c r="P887" s="25" t="s">
        <v>2208</v>
      </c>
      <c r="Q887" s="25" t="s">
        <v>27</v>
      </c>
      <c r="R887" s="25" t="s">
        <v>42</v>
      </c>
      <c r="S887" s="15">
        <f t="shared" ref="S887" ca="1" si="57">NOW()</f>
        <v>40470.53652858796</v>
      </c>
      <c r="T887" s="8">
        <f t="shared" ref="T887" ca="1" si="58">(YEAR(S887)-YEAR(M887))*12+MONTH(S887)-MONTH(M887)</f>
        <v>1</v>
      </c>
      <c r="U887" s="25" t="s">
        <v>42</v>
      </c>
      <c r="V887" s="25" t="s">
        <v>42</v>
      </c>
      <c r="W887" s="25" t="s">
        <v>42</v>
      </c>
      <c r="X887" s="25" t="s">
        <v>42</v>
      </c>
      <c r="Y887" s="19" t="s">
        <v>2649</v>
      </c>
      <c r="AC887" s="39" t="s">
        <v>1380</v>
      </c>
      <c r="AH887" s="25" t="s">
        <v>1380</v>
      </c>
    </row>
    <row r="888" spans="1:34">
      <c r="A888" s="1">
        <v>886</v>
      </c>
      <c r="B888" s="14">
        <v>40431</v>
      </c>
      <c r="C888" s="15">
        <v>40437</v>
      </c>
      <c r="E888" s="8" t="s">
        <v>2678</v>
      </c>
      <c r="G888" s="25" t="s">
        <v>20</v>
      </c>
      <c r="H888" s="1">
        <v>62</v>
      </c>
      <c r="I888" s="25" t="s">
        <v>2679</v>
      </c>
      <c r="J888" s="8" t="s">
        <v>2680</v>
      </c>
      <c r="K888" s="8" t="s">
        <v>291</v>
      </c>
      <c r="L888" s="25" t="s">
        <v>2282</v>
      </c>
      <c r="M888" s="15">
        <v>40437</v>
      </c>
      <c r="N888" s="1">
        <v>2</v>
      </c>
      <c r="O888" s="25" t="s">
        <v>25</v>
      </c>
      <c r="Q888" s="25" t="s">
        <v>49</v>
      </c>
      <c r="R888" s="25" t="s">
        <v>60</v>
      </c>
      <c r="AC888" s="39" t="s">
        <v>1380</v>
      </c>
      <c r="AH888" s="25" t="s">
        <v>1380</v>
      </c>
    </row>
    <row r="889" spans="1:34">
      <c r="A889" s="1">
        <v>887</v>
      </c>
      <c r="B889" s="14">
        <v>40431</v>
      </c>
      <c r="C889" s="15">
        <v>40437</v>
      </c>
      <c r="E889" s="8" t="s">
        <v>2681</v>
      </c>
      <c r="G889" s="25" t="s">
        <v>20</v>
      </c>
      <c r="H889" s="1">
        <v>55</v>
      </c>
      <c r="I889" s="25" t="s">
        <v>2734</v>
      </c>
      <c r="J889" s="8" t="s">
        <v>2735</v>
      </c>
      <c r="K889" s="8" t="s">
        <v>71</v>
      </c>
      <c r="L889" s="25" t="s">
        <v>2282</v>
      </c>
      <c r="M889" s="15">
        <v>40437</v>
      </c>
      <c r="N889" s="1">
        <v>2</v>
      </c>
      <c r="O889" s="25" t="s">
        <v>25</v>
      </c>
      <c r="Q889" s="25" t="s">
        <v>27</v>
      </c>
      <c r="AC889" s="39" t="s">
        <v>1380</v>
      </c>
      <c r="AH889" s="25" t="s">
        <v>1380</v>
      </c>
    </row>
    <row r="890" spans="1:34">
      <c r="A890" s="1">
        <v>888</v>
      </c>
      <c r="B890" s="14">
        <v>40431</v>
      </c>
      <c r="C890" s="15">
        <v>40438</v>
      </c>
      <c r="E890" s="8" t="s">
        <v>2736</v>
      </c>
      <c r="G890" s="25" t="s">
        <v>20</v>
      </c>
      <c r="H890" s="1">
        <v>19</v>
      </c>
      <c r="I890" s="25" t="s">
        <v>2737</v>
      </c>
      <c r="J890" s="8" t="s">
        <v>2738</v>
      </c>
      <c r="K890" s="8" t="s">
        <v>291</v>
      </c>
      <c r="L890" s="25" t="s">
        <v>2282</v>
      </c>
      <c r="M890" s="15">
        <v>40438</v>
      </c>
      <c r="N890" s="1">
        <v>1</v>
      </c>
      <c r="O890" s="25" t="s">
        <v>40</v>
      </c>
      <c r="P890" s="25" t="s">
        <v>2096</v>
      </c>
      <c r="Q890" s="25" t="s">
        <v>27</v>
      </c>
      <c r="R890" s="25" t="s">
        <v>42</v>
      </c>
      <c r="S890" s="15">
        <f t="shared" ref="S890" ca="1" si="59">NOW()</f>
        <v>40470.53652858796</v>
      </c>
      <c r="T890" s="8">
        <f t="shared" ref="T890" ca="1" si="60">(YEAR(S890)-YEAR(M890))*12+MONTH(S890)-MONTH(M890)</f>
        <v>1</v>
      </c>
      <c r="U890" s="25" t="s">
        <v>42</v>
      </c>
      <c r="V890" s="25" t="s">
        <v>42</v>
      </c>
      <c r="W890" s="25" t="s">
        <v>42</v>
      </c>
      <c r="X890" s="25" t="s">
        <v>42</v>
      </c>
      <c r="Y890" s="19" t="s">
        <v>2649</v>
      </c>
      <c r="AC890" s="39" t="s">
        <v>1380</v>
      </c>
      <c r="AH890" s="25" t="s">
        <v>1380</v>
      </c>
    </row>
    <row r="891" spans="1:34">
      <c r="A891" s="1">
        <v>889</v>
      </c>
      <c r="B891" s="14">
        <v>40431</v>
      </c>
      <c r="C891" s="15">
        <v>40438</v>
      </c>
      <c r="E891" s="8" t="s">
        <v>2739</v>
      </c>
      <c r="G891" s="25" t="s">
        <v>37</v>
      </c>
      <c r="H891" s="1">
        <v>20</v>
      </c>
      <c r="I891" s="25" t="s">
        <v>2742</v>
      </c>
      <c r="J891" s="8" t="s">
        <v>2741</v>
      </c>
      <c r="K891" s="8" t="s">
        <v>2740</v>
      </c>
      <c r="L891" s="25" t="s">
        <v>2282</v>
      </c>
      <c r="M891" s="15">
        <v>40438</v>
      </c>
      <c r="N891" s="1">
        <v>1</v>
      </c>
      <c r="O891" s="25" t="s">
        <v>25</v>
      </c>
      <c r="Q891" s="25" t="s">
        <v>27</v>
      </c>
      <c r="R891" s="25" t="s">
        <v>28</v>
      </c>
      <c r="AC891" s="39" t="s">
        <v>1380</v>
      </c>
      <c r="AH891" s="25" t="s">
        <v>1380</v>
      </c>
    </row>
    <row r="892" spans="1:34">
      <c r="A892" s="1">
        <v>890</v>
      </c>
      <c r="B892" s="14">
        <v>40431</v>
      </c>
      <c r="C892" s="15">
        <v>40441</v>
      </c>
      <c r="E892" s="8" t="s">
        <v>2743</v>
      </c>
      <c r="G892" s="25" t="s">
        <v>37</v>
      </c>
      <c r="H892" s="1">
        <v>28</v>
      </c>
      <c r="I892" s="25" t="s">
        <v>2744</v>
      </c>
      <c r="J892" s="8" t="s">
        <v>2745</v>
      </c>
      <c r="K892" s="8" t="s">
        <v>291</v>
      </c>
      <c r="L892" s="25" t="s">
        <v>2282</v>
      </c>
      <c r="M892" s="15">
        <v>40441</v>
      </c>
      <c r="N892" s="1">
        <v>2</v>
      </c>
      <c r="O892" s="25" t="s">
        <v>25</v>
      </c>
      <c r="Q892" s="25" t="s">
        <v>110</v>
      </c>
      <c r="R892" s="25" t="s">
        <v>60</v>
      </c>
      <c r="AH892" s="39"/>
    </row>
    <row r="893" spans="1:34">
      <c r="A893" s="1">
        <v>891</v>
      </c>
      <c r="B893" s="14">
        <v>40431</v>
      </c>
      <c r="C893" s="15">
        <v>40442</v>
      </c>
      <c r="E893" s="8" t="s">
        <v>2753</v>
      </c>
      <c r="G893" s="25" t="s">
        <v>20</v>
      </c>
      <c r="H893" s="1">
        <v>32</v>
      </c>
      <c r="I893" s="25" t="s">
        <v>2754</v>
      </c>
      <c r="J893" s="8" t="s">
        <v>2755</v>
      </c>
      <c r="K893" s="8" t="s">
        <v>291</v>
      </c>
      <c r="L893" s="25" t="s">
        <v>2282</v>
      </c>
      <c r="M893" s="15">
        <v>40442</v>
      </c>
      <c r="N893" s="1">
        <v>1</v>
      </c>
      <c r="O893" s="25" t="s">
        <v>25</v>
      </c>
      <c r="Q893" s="25" t="s">
        <v>27</v>
      </c>
      <c r="R893" s="25" t="s">
        <v>2729</v>
      </c>
    </row>
    <row r="894" spans="1:34">
      <c r="A894" s="1">
        <v>892</v>
      </c>
      <c r="B894" s="14">
        <v>40431</v>
      </c>
      <c r="C894" s="15">
        <v>40442</v>
      </c>
      <c r="E894" s="8" t="s">
        <v>2756</v>
      </c>
      <c r="G894" s="25" t="s">
        <v>20</v>
      </c>
      <c r="H894" s="1">
        <v>22</v>
      </c>
      <c r="I894" s="25" t="s">
        <v>2757</v>
      </c>
      <c r="J894" s="8" t="s">
        <v>2758</v>
      </c>
      <c r="K894" s="8" t="s">
        <v>291</v>
      </c>
      <c r="L894" s="25" t="s">
        <v>2282</v>
      </c>
      <c r="M894" s="15">
        <v>40442</v>
      </c>
      <c r="N894" s="1">
        <v>1</v>
      </c>
      <c r="O894" s="25" t="s">
        <v>25</v>
      </c>
      <c r="Q894" s="25" t="s">
        <v>27</v>
      </c>
      <c r="R894" s="25" t="s">
        <v>60</v>
      </c>
    </row>
    <row r="895" spans="1:34">
      <c r="A895" s="1">
        <v>893</v>
      </c>
      <c r="B895" s="14">
        <v>40431</v>
      </c>
      <c r="C895" s="15">
        <v>40442</v>
      </c>
      <c r="E895" s="8" t="s">
        <v>2759</v>
      </c>
      <c r="G895" s="25" t="s">
        <v>37</v>
      </c>
      <c r="H895" s="1">
        <v>27</v>
      </c>
      <c r="I895" s="25" t="s">
        <v>2760</v>
      </c>
      <c r="J895" s="8" t="s">
        <v>2761</v>
      </c>
      <c r="K895" s="8" t="s">
        <v>291</v>
      </c>
      <c r="L895" s="25" t="s">
        <v>2282</v>
      </c>
      <c r="M895" s="15">
        <v>40442</v>
      </c>
      <c r="N895" s="1">
        <v>1</v>
      </c>
      <c r="O895" s="25" t="s">
        <v>40</v>
      </c>
      <c r="P895" s="25" t="s">
        <v>431</v>
      </c>
      <c r="Q895" s="25" t="s">
        <v>27</v>
      </c>
      <c r="R895" s="25" t="s">
        <v>42</v>
      </c>
    </row>
    <row r="896" spans="1:34">
      <c r="A896" s="1">
        <v>894</v>
      </c>
      <c r="B896" s="14">
        <v>40431</v>
      </c>
      <c r="C896" s="15">
        <v>40442</v>
      </c>
      <c r="E896" s="8" t="s">
        <v>2762</v>
      </c>
      <c r="G896" s="25" t="s">
        <v>37</v>
      </c>
      <c r="H896" s="1">
        <v>24</v>
      </c>
      <c r="I896" s="25" t="s">
        <v>2763</v>
      </c>
      <c r="J896" s="8" t="s">
        <v>2764</v>
      </c>
      <c r="K896" s="8" t="s">
        <v>39</v>
      </c>
      <c r="L896" s="25" t="s">
        <v>2282</v>
      </c>
      <c r="M896" s="15">
        <v>40442</v>
      </c>
      <c r="N896" s="1">
        <v>2</v>
      </c>
      <c r="O896" s="25" t="s">
        <v>25</v>
      </c>
      <c r="Q896" s="25" t="s">
        <v>49</v>
      </c>
      <c r="R896" s="25" t="s">
        <v>60</v>
      </c>
    </row>
    <row r="897" spans="1:21">
      <c r="A897" s="1">
        <v>895</v>
      </c>
      <c r="B897" s="14">
        <v>40431</v>
      </c>
      <c r="C897" s="15">
        <v>40442</v>
      </c>
      <c r="E897" s="8" t="s">
        <v>2765</v>
      </c>
      <c r="G897" s="25" t="s">
        <v>37</v>
      </c>
      <c r="H897" s="1">
        <v>25</v>
      </c>
      <c r="I897" s="25" t="s">
        <v>2766</v>
      </c>
      <c r="K897" s="8" t="s">
        <v>291</v>
      </c>
      <c r="L897" s="25" t="s">
        <v>2282</v>
      </c>
      <c r="M897" s="15">
        <v>40442</v>
      </c>
      <c r="N897" s="1">
        <v>1</v>
      </c>
      <c r="O897" s="25" t="s">
        <v>25</v>
      </c>
      <c r="Q897" s="25" t="s">
        <v>27</v>
      </c>
      <c r="R897" s="25" t="s">
        <v>28</v>
      </c>
      <c r="U897" s="25" t="s">
        <v>65</v>
      </c>
    </row>
    <row r="898" spans="1:21">
      <c r="A898" s="1">
        <v>896</v>
      </c>
      <c r="B898" s="14">
        <v>40431</v>
      </c>
      <c r="C898" s="15">
        <v>40442</v>
      </c>
      <c r="E898" s="8" t="s">
        <v>2767</v>
      </c>
      <c r="G898" s="25" t="s">
        <v>20</v>
      </c>
      <c r="H898" s="1">
        <v>18</v>
      </c>
      <c r="I898" s="25" t="s">
        <v>2768</v>
      </c>
      <c r="J898" s="8" t="s">
        <v>2769</v>
      </c>
      <c r="K898" s="8" t="s">
        <v>291</v>
      </c>
      <c r="L898" s="25" t="s">
        <v>2282</v>
      </c>
      <c r="M898" s="15">
        <v>40442</v>
      </c>
      <c r="N898" s="1">
        <v>2</v>
      </c>
      <c r="O898" s="25" t="s">
        <v>25</v>
      </c>
      <c r="Q898" s="25" t="s">
        <v>49</v>
      </c>
      <c r="R898" s="25" t="s">
        <v>60</v>
      </c>
    </row>
    <row r="899" spans="1:21">
      <c r="A899" s="1">
        <v>897</v>
      </c>
      <c r="B899" s="14">
        <v>40431</v>
      </c>
      <c r="C899" s="15">
        <v>40443</v>
      </c>
      <c r="E899" s="8" t="s">
        <v>2770</v>
      </c>
      <c r="G899" s="25" t="s">
        <v>20</v>
      </c>
      <c r="H899" s="1">
        <v>49</v>
      </c>
      <c r="I899" s="25" t="s">
        <v>2775</v>
      </c>
      <c r="J899" s="8" t="s">
        <v>2776</v>
      </c>
      <c r="K899" s="8" t="s">
        <v>291</v>
      </c>
      <c r="L899" s="25" t="s">
        <v>2282</v>
      </c>
      <c r="M899" s="15">
        <v>40443</v>
      </c>
      <c r="N899" s="1">
        <v>2</v>
      </c>
      <c r="O899" s="25" t="s">
        <v>25</v>
      </c>
      <c r="Q899" s="25" t="s">
        <v>477</v>
      </c>
      <c r="R899" s="25" t="s">
        <v>56</v>
      </c>
    </row>
    <row r="900" spans="1:21">
      <c r="A900" s="1">
        <v>898</v>
      </c>
      <c r="B900" s="14">
        <v>40431</v>
      </c>
      <c r="C900" s="15">
        <v>40443</v>
      </c>
      <c r="E900" s="8" t="s">
        <v>2771</v>
      </c>
      <c r="G900" s="25" t="s">
        <v>37</v>
      </c>
      <c r="H900" s="1">
        <v>37</v>
      </c>
      <c r="I900" s="25" t="s">
        <v>2777</v>
      </c>
      <c r="J900" s="8" t="s">
        <v>2591</v>
      </c>
      <c r="K900" s="8" t="s">
        <v>291</v>
      </c>
      <c r="L900" s="25" t="s">
        <v>2282</v>
      </c>
      <c r="M900" s="15">
        <v>40443</v>
      </c>
      <c r="N900" s="1">
        <v>1</v>
      </c>
      <c r="O900" s="25" t="s">
        <v>40</v>
      </c>
      <c r="P900" s="25" t="s">
        <v>2592</v>
      </c>
      <c r="Q900" s="25" t="s">
        <v>27</v>
      </c>
      <c r="R900" s="25" t="s">
        <v>42</v>
      </c>
    </row>
    <row r="901" spans="1:21">
      <c r="A901" s="1">
        <v>899</v>
      </c>
      <c r="B901" s="14">
        <v>40431</v>
      </c>
      <c r="C901" s="15">
        <v>40443</v>
      </c>
      <c r="E901" s="8" t="s">
        <v>2772</v>
      </c>
      <c r="G901" s="25" t="s">
        <v>20</v>
      </c>
      <c r="H901" s="1">
        <v>64</v>
      </c>
      <c r="I901" s="25" t="s">
        <v>2593</v>
      </c>
      <c r="J901" s="8" t="s">
        <v>2594</v>
      </c>
      <c r="K901" s="8" t="s">
        <v>253</v>
      </c>
      <c r="L901" s="25" t="s">
        <v>2282</v>
      </c>
      <c r="M901" s="15">
        <v>40443</v>
      </c>
      <c r="N901" s="1">
        <v>2</v>
      </c>
      <c r="O901" s="25" t="s">
        <v>25</v>
      </c>
      <c r="Q901" s="25" t="s">
        <v>477</v>
      </c>
      <c r="R901" s="25" t="s">
        <v>56</v>
      </c>
    </row>
    <row r="902" spans="1:21">
      <c r="A902" s="1">
        <v>900</v>
      </c>
      <c r="B902" s="14">
        <v>40431</v>
      </c>
      <c r="C902" s="15">
        <v>40443</v>
      </c>
      <c r="E902" s="8" t="s">
        <v>2773</v>
      </c>
      <c r="G902" s="25" t="s">
        <v>37</v>
      </c>
      <c r="H902" s="1">
        <v>33</v>
      </c>
      <c r="I902" s="25" t="s">
        <v>2595</v>
      </c>
      <c r="J902" s="8" t="s">
        <v>2596</v>
      </c>
      <c r="K902" s="8" t="s">
        <v>2657</v>
      </c>
      <c r="L902" s="25" t="s">
        <v>2282</v>
      </c>
      <c r="M902" s="15">
        <v>40443</v>
      </c>
      <c r="N902" s="1">
        <v>1</v>
      </c>
      <c r="O902" s="25" t="s">
        <v>25</v>
      </c>
      <c r="Q902" s="25" t="s">
        <v>27</v>
      </c>
      <c r="R902" s="25" t="s">
        <v>65</v>
      </c>
    </row>
    <row r="903" spans="1:21">
      <c r="A903" s="1">
        <v>901</v>
      </c>
      <c r="B903" s="14">
        <v>40431</v>
      </c>
      <c r="C903" s="15">
        <v>40443</v>
      </c>
      <c r="E903" s="8" t="s">
        <v>2774</v>
      </c>
      <c r="G903" s="25" t="s">
        <v>20</v>
      </c>
      <c r="H903" s="1">
        <v>80</v>
      </c>
      <c r="I903" s="25" t="s">
        <v>2597</v>
      </c>
      <c r="J903" s="8" t="s">
        <v>2598</v>
      </c>
      <c r="K903" s="8" t="s">
        <v>2599</v>
      </c>
      <c r="L903" s="25" t="s">
        <v>2282</v>
      </c>
      <c r="M903" s="15">
        <v>40443</v>
      </c>
      <c r="N903" s="1">
        <v>2</v>
      </c>
      <c r="O903" s="25" t="s">
        <v>25</v>
      </c>
      <c r="Q903" s="25" t="s">
        <v>49</v>
      </c>
      <c r="R903" s="25" t="s">
        <v>56</v>
      </c>
    </row>
    <row r="904" spans="1:21">
      <c r="A904" s="1">
        <v>902</v>
      </c>
      <c r="B904" s="14">
        <v>40431</v>
      </c>
      <c r="C904" s="15">
        <v>40444</v>
      </c>
      <c r="E904" s="8" t="s">
        <v>2600</v>
      </c>
      <c r="G904" s="25" t="s">
        <v>37</v>
      </c>
      <c r="H904" s="1">
        <v>10</v>
      </c>
      <c r="I904" s="25" t="s">
        <v>2601</v>
      </c>
      <c r="J904" s="8" t="s">
        <v>2602</v>
      </c>
      <c r="L904" s="25" t="s">
        <v>2282</v>
      </c>
      <c r="M904" s="15">
        <v>40444</v>
      </c>
      <c r="N904" s="1">
        <v>2</v>
      </c>
      <c r="O904" s="25" t="s">
        <v>25</v>
      </c>
      <c r="Q904" s="25" t="s">
        <v>477</v>
      </c>
      <c r="R904" s="25" t="s">
        <v>56</v>
      </c>
    </row>
    <row r="905" spans="1:21">
      <c r="A905" s="1">
        <v>903</v>
      </c>
      <c r="B905" s="14">
        <v>40431</v>
      </c>
      <c r="C905" s="15">
        <v>40445</v>
      </c>
      <c r="E905" s="8" t="s">
        <v>2603</v>
      </c>
      <c r="G905" s="25" t="s">
        <v>20</v>
      </c>
      <c r="H905" s="1">
        <v>45</v>
      </c>
      <c r="I905" s="25" t="s">
        <v>2604</v>
      </c>
      <c r="J905" s="8" t="s">
        <v>2683</v>
      </c>
      <c r="K905" s="8" t="s">
        <v>71</v>
      </c>
      <c r="L905" s="25" t="s">
        <v>2282</v>
      </c>
      <c r="M905" s="15">
        <v>40445</v>
      </c>
      <c r="N905" s="1">
        <v>1</v>
      </c>
      <c r="O905" s="25" t="s">
        <v>40</v>
      </c>
      <c r="P905" s="25" t="s">
        <v>213</v>
      </c>
      <c r="Q905" s="25" t="s">
        <v>27</v>
      </c>
      <c r="R905" s="25" t="s">
        <v>2729</v>
      </c>
    </row>
    <row r="906" spans="1:21">
      <c r="A906" s="1">
        <v>904</v>
      </c>
      <c r="B906" s="14">
        <v>40431</v>
      </c>
      <c r="C906" s="15">
        <v>40448</v>
      </c>
      <c r="E906" s="8" t="s">
        <v>2684</v>
      </c>
      <c r="G906" s="25" t="s">
        <v>20</v>
      </c>
      <c r="H906" s="1">
        <v>22</v>
      </c>
      <c r="I906" s="25" t="s">
        <v>2697</v>
      </c>
      <c r="J906" s="8" t="s">
        <v>2698</v>
      </c>
      <c r="K906" s="8" t="s">
        <v>291</v>
      </c>
      <c r="L906" s="25" t="s">
        <v>2282</v>
      </c>
      <c r="M906" s="15">
        <v>40448</v>
      </c>
      <c r="N906" s="1">
        <v>1</v>
      </c>
      <c r="O906" s="25" t="s">
        <v>25</v>
      </c>
      <c r="Q906" s="25" t="s">
        <v>27</v>
      </c>
      <c r="R906" s="25" t="s">
        <v>60</v>
      </c>
    </row>
    <row r="907" spans="1:21">
      <c r="A907" s="1">
        <v>905</v>
      </c>
      <c r="B907" s="14">
        <v>40431</v>
      </c>
      <c r="C907" s="15">
        <v>40448</v>
      </c>
      <c r="E907" s="8" t="s">
        <v>2685</v>
      </c>
      <c r="G907" s="25" t="s">
        <v>37</v>
      </c>
      <c r="H907" s="1">
        <v>40</v>
      </c>
      <c r="I907" s="25" t="s">
        <v>2699</v>
      </c>
      <c r="J907" s="8" t="s">
        <v>2700</v>
      </c>
      <c r="K907" s="8" t="s">
        <v>59</v>
      </c>
      <c r="L907" s="25" t="s">
        <v>2282</v>
      </c>
      <c r="M907" s="15">
        <v>40448</v>
      </c>
      <c r="N907" s="1">
        <v>1</v>
      </c>
      <c r="O907" s="25" t="s">
        <v>25</v>
      </c>
      <c r="Q907" s="25" t="s">
        <v>27</v>
      </c>
      <c r="R907" s="25" t="s">
        <v>60</v>
      </c>
    </row>
    <row r="908" spans="1:21">
      <c r="A908" s="1">
        <v>906</v>
      </c>
      <c r="B908" s="14">
        <v>40431</v>
      </c>
      <c r="C908" s="15">
        <v>40448</v>
      </c>
      <c r="E908" s="8" t="s">
        <v>2686</v>
      </c>
      <c r="G908" s="25" t="s">
        <v>20</v>
      </c>
      <c r="H908" s="1">
        <v>70</v>
      </c>
      <c r="I908" s="25" t="s">
        <v>2701</v>
      </c>
      <c r="J908" s="8" t="s">
        <v>2702</v>
      </c>
      <c r="K908" s="8" t="s">
        <v>291</v>
      </c>
      <c r="L908" s="25" t="s">
        <v>2282</v>
      </c>
      <c r="M908" s="15">
        <v>40448</v>
      </c>
      <c r="N908" s="1">
        <v>2</v>
      </c>
      <c r="O908" s="25" t="s">
        <v>25</v>
      </c>
      <c r="Q908" s="25" t="s">
        <v>49</v>
      </c>
      <c r="R908" s="25" t="s">
        <v>56</v>
      </c>
    </row>
    <row r="909" spans="1:21">
      <c r="A909" s="1">
        <v>907</v>
      </c>
      <c r="B909" s="14">
        <v>40431</v>
      </c>
      <c r="C909" s="15">
        <v>40448</v>
      </c>
      <c r="E909" s="8" t="s">
        <v>2687</v>
      </c>
      <c r="G909" s="25" t="s">
        <v>37</v>
      </c>
      <c r="H909" s="1">
        <v>23</v>
      </c>
      <c r="I909" s="25" t="s">
        <v>2703</v>
      </c>
      <c r="J909" s="8" t="s">
        <v>2704</v>
      </c>
      <c r="K909" s="8" t="s">
        <v>291</v>
      </c>
      <c r="L909" s="25" t="s">
        <v>2282</v>
      </c>
      <c r="M909" s="15">
        <v>40448</v>
      </c>
      <c r="N909" s="1">
        <v>1</v>
      </c>
      <c r="O909" s="25" t="s">
        <v>25</v>
      </c>
      <c r="Q909" s="25" t="s">
        <v>27</v>
      </c>
      <c r="R909" s="25" t="s">
        <v>65</v>
      </c>
    </row>
    <row r="910" spans="1:21">
      <c r="A910" s="1">
        <v>908</v>
      </c>
      <c r="B910" s="14">
        <v>40431</v>
      </c>
      <c r="C910" s="15">
        <v>40448</v>
      </c>
      <c r="E910" s="8" t="s">
        <v>2688</v>
      </c>
      <c r="G910" s="25" t="s">
        <v>20</v>
      </c>
      <c r="H910" s="1">
        <v>53</v>
      </c>
      <c r="I910" s="25" t="s">
        <v>2705</v>
      </c>
      <c r="J910" s="8" t="s">
        <v>2706</v>
      </c>
      <c r="K910" s="8" t="s">
        <v>253</v>
      </c>
      <c r="L910" s="25" t="s">
        <v>2282</v>
      </c>
      <c r="M910" s="15">
        <v>40448</v>
      </c>
      <c r="N910" s="1">
        <v>1</v>
      </c>
      <c r="O910" s="25" t="s">
        <v>25</v>
      </c>
      <c r="Q910" s="25" t="s">
        <v>27</v>
      </c>
      <c r="R910" s="25" t="s">
        <v>60</v>
      </c>
    </row>
    <row r="911" spans="1:21">
      <c r="A911" s="1">
        <v>909</v>
      </c>
      <c r="B911" s="14">
        <v>40431</v>
      </c>
      <c r="C911" s="15">
        <v>40448</v>
      </c>
      <c r="E911" s="8" t="s">
        <v>2689</v>
      </c>
      <c r="G911" s="25" t="s">
        <v>20</v>
      </c>
      <c r="H911" s="1">
        <v>19</v>
      </c>
      <c r="I911" s="25" t="s">
        <v>2707</v>
      </c>
      <c r="J911" s="8" t="s">
        <v>2708</v>
      </c>
      <c r="K911" s="8" t="s">
        <v>291</v>
      </c>
      <c r="L911" s="25" t="s">
        <v>2282</v>
      </c>
      <c r="M911" s="15">
        <v>40448</v>
      </c>
      <c r="N911" s="1">
        <v>1</v>
      </c>
      <c r="O911" s="25" t="s">
        <v>25</v>
      </c>
      <c r="Q911" s="25" t="s">
        <v>27</v>
      </c>
      <c r="R911" s="25" t="s">
        <v>60</v>
      </c>
    </row>
    <row r="912" spans="1:21">
      <c r="A912" s="1">
        <v>910</v>
      </c>
      <c r="B912" s="14">
        <v>40431</v>
      </c>
      <c r="C912" s="15">
        <v>40449</v>
      </c>
      <c r="E912" s="8" t="s">
        <v>2690</v>
      </c>
      <c r="G912" s="25" t="s">
        <v>37</v>
      </c>
      <c r="H912" s="1">
        <v>34</v>
      </c>
      <c r="I912" s="25" t="s">
        <v>2709</v>
      </c>
      <c r="J912" s="8" t="s">
        <v>2710</v>
      </c>
      <c r="K912" s="8" t="s">
        <v>291</v>
      </c>
      <c r="L912" s="25" t="s">
        <v>2282</v>
      </c>
      <c r="M912" s="15">
        <v>40449</v>
      </c>
      <c r="N912" s="1">
        <v>1</v>
      </c>
      <c r="O912" s="25" t="s">
        <v>25</v>
      </c>
      <c r="Q912" s="25" t="s">
        <v>27</v>
      </c>
    </row>
    <row r="913" spans="1:34">
      <c r="A913" s="1">
        <v>9111</v>
      </c>
      <c r="B913" s="14">
        <v>40431</v>
      </c>
      <c r="C913" s="15">
        <v>40449</v>
      </c>
      <c r="E913" s="8" t="s">
        <v>2691</v>
      </c>
      <c r="G913" s="25" t="s">
        <v>20</v>
      </c>
      <c r="H913" s="1">
        <v>32</v>
      </c>
      <c r="I913" s="25" t="s">
        <v>2711</v>
      </c>
      <c r="J913" s="8" t="s">
        <v>2712</v>
      </c>
      <c r="K913" s="8" t="s">
        <v>253</v>
      </c>
      <c r="L913" s="25" t="s">
        <v>2282</v>
      </c>
      <c r="M913" s="15">
        <v>40449</v>
      </c>
      <c r="N913" s="1">
        <v>2</v>
      </c>
      <c r="O913" s="25" t="s">
        <v>25</v>
      </c>
      <c r="Q913" s="25" t="s">
        <v>49</v>
      </c>
      <c r="R913" s="25" t="s">
        <v>60</v>
      </c>
    </row>
    <row r="914" spans="1:34">
      <c r="A914" s="1">
        <v>912</v>
      </c>
      <c r="B914" s="14">
        <v>40431</v>
      </c>
      <c r="C914" s="15">
        <v>40449</v>
      </c>
      <c r="E914" s="8" t="s">
        <v>2692</v>
      </c>
      <c r="G914" s="25" t="s">
        <v>20</v>
      </c>
      <c r="H914" s="1">
        <v>60</v>
      </c>
      <c r="I914" s="25" t="s">
        <v>2713</v>
      </c>
      <c r="J914" s="8" t="s">
        <v>2714</v>
      </c>
      <c r="K914" s="8" t="s">
        <v>71</v>
      </c>
      <c r="L914" s="25" t="s">
        <v>2282</v>
      </c>
      <c r="M914" s="15">
        <v>40449</v>
      </c>
      <c r="N914" s="1">
        <v>1</v>
      </c>
      <c r="O914" s="25" t="s">
        <v>25</v>
      </c>
      <c r="Q914" s="25" t="s">
        <v>27</v>
      </c>
      <c r="R914" s="25" t="s">
        <v>56</v>
      </c>
    </row>
    <row r="915" spans="1:34">
      <c r="A915" s="1">
        <v>913</v>
      </c>
      <c r="B915" s="14">
        <v>40431</v>
      </c>
      <c r="C915" s="15">
        <v>40449</v>
      </c>
      <c r="E915" s="8" t="s">
        <v>2693</v>
      </c>
      <c r="G915" s="25" t="s">
        <v>20</v>
      </c>
      <c r="H915" s="1">
        <v>18</v>
      </c>
      <c r="I915" s="25" t="s">
        <v>2715</v>
      </c>
      <c r="J915" s="8" t="s">
        <v>2719</v>
      </c>
      <c r="K915" s="8" t="s">
        <v>291</v>
      </c>
      <c r="L915" s="25" t="s">
        <v>2282</v>
      </c>
      <c r="M915" s="15">
        <v>40449</v>
      </c>
      <c r="N915" s="1">
        <v>1</v>
      </c>
      <c r="O915" s="25" t="s">
        <v>40</v>
      </c>
      <c r="P915" s="25" t="s">
        <v>315</v>
      </c>
      <c r="Q915" s="25" t="s">
        <v>27</v>
      </c>
      <c r="R915" s="25" t="s">
        <v>42</v>
      </c>
    </row>
    <row r="916" spans="1:34">
      <c r="A916" s="1">
        <v>914</v>
      </c>
      <c r="B916" s="14">
        <v>40431</v>
      </c>
      <c r="C916" s="15">
        <v>40449</v>
      </c>
      <c r="E916" s="8" t="s">
        <v>2694</v>
      </c>
      <c r="G916" s="25" t="s">
        <v>37</v>
      </c>
      <c r="H916" s="1">
        <v>40</v>
      </c>
      <c r="I916" s="25" t="s">
        <v>2720</v>
      </c>
      <c r="J916" s="8" t="s">
        <v>2721</v>
      </c>
      <c r="K916" s="8" t="s">
        <v>291</v>
      </c>
      <c r="L916" s="25" t="s">
        <v>2282</v>
      </c>
      <c r="M916" s="15">
        <v>40449</v>
      </c>
      <c r="N916" s="1">
        <v>1</v>
      </c>
      <c r="O916" s="25" t="s">
        <v>25</v>
      </c>
      <c r="Q916" s="25" t="s">
        <v>27</v>
      </c>
      <c r="R916" s="25" t="s">
        <v>56</v>
      </c>
      <c r="U916" s="25"/>
      <c r="V916" s="25"/>
      <c r="W916" s="25"/>
    </row>
    <row r="917" spans="1:34">
      <c r="A917" s="1">
        <v>915</v>
      </c>
      <c r="B917" s="14">
        <v>40431</v>
      </c>
      <c r="C917" s="15">
        <v>40450</v>
      </c>
      <c r="E917" s="8" t="s">
        <v>2695</v>
      </c>
      <c r="G917" s="25" t="s">
        <v>20</v>
      </c>
      <c r="H917" s="1">
        <v>38</v>
      </c>
      <c r="I917" s="25" t="s">
        <v>2722</v>
      </c>
      <c r="J917" s="8" t="s">
        <v>2723</v>
      </c>
      <c r="L917" s="25" t="s">
        <v>2282</v>
      </c>
      <c r="M917" s="15">
        <v>40450</v>
      </c>
      <c r="N917" s="1">
        <v>2</v>
      </c>
      <c r="O917" s="25" t="s">
        <v>25</v>
      </c>
      <c r="Q917" s="25" t="s">
        <v>407</v>
      </c>
      <c r="R917" s="25" t="s">
        <v>60</v>
      </c>
      <c r="U917" s="25" t="s">
        <v>60</v>
      </c>
      <c r="V917" s="25" t="s">
        <v>65</v>
      </c>
      <c r="W917" s="25" t="s">
        <v>65</v>
      </c>
      <c r="AC917" s="12" t="s">
        <v>2289</v>
      </c>
      <c r="AD917" s="25">
        <v>40450</v>
      </c>
      <c r="AH917" s="25" t="s">
        <v>2289</v>
      </c>
    </row>
    <row r="918" spans="1:34">
      <c r="A918" s="1">
        <v>916</v>
      </c>
      <c r="B918" s="14">
        <v>40431</v>
      </c>
      <c r="C918" s="15">
        <v>40450</v>
      </c>
      <c r="E918" s="8" t="s">
        <v>2696</v>
      </c>
      <c r="G918" s="25" t="s">
        <v>20</v>
      </c>
      <c r="H918" s="1">
        <v>60</v>
      </c>
      <c r="I918" s="25" t="s">
        <v>2716</v>
      </c>
      <c r="J918" s="8" t="s">
        <v>2717</v>
      </c>
      <c r="K918" s="8" t="s">
        <v>291</v>
      </c>
      <c r="L918" s="25" t="s">
        <v>2282</v>
      </c>
      <c r="M918" s="15">
        <v>40450</v>
      </c>
      <c r="N918" s="1">
        <v>1</v>
      </c>
      <c r="O918" s="25" t="s">
        <v>25</v>
      </c>
      <c r="Q918" s="25" t="s">
        <v>27</v>
      </c>
      <c r="R918" s="25" t="s">
        <v>56</v>
      </c>
    </row>
    <row r="919" spans="1:34">
      <c r="A919" s="1">
        <v>917</v>
      </c>
      <c r="B919" s="14">
        <v>40431</v>
      </c>
      <c r="C919" s="15">
        <v>40450</v>
      </c>
      <c r="E919" s="8" t="s">
        <v>2718</v>
      </c>
      <c r="G919" s="25" t="s">
        <v>20</v>
      </c>
      <c r="H919" s="1">
        <v>55</v>
      </c>
      <c r="I919" s="25" t="s">
        <v>2724</v>
      </c>
      <c r="J919" s="8" t="s">
        <v>2725</v>
      </c>
      <c r="K919" s="8" t="s">
        <v>71</v>
      </c>
      <c r="L919" s="25" t="s">
        <v>2282</v>
      </c>
      <c r="M919" s="15">
        <v>40450</v>
      </c>
      <c r="N919" s="1">
        <v>1</v>
      </c>
      <c r="O919" s="25" t="s">
        <v>25</v>
      </c>
      <c r="Q919" s="25" t="s">
        <v>27</v>
      </c>
    </row>
    <row r="920" spans="1:34">
      <c r="A920" s="1">
        <v>918</v>
      </c>
      <c r="B920" s="14">
        <v>40431</v>
      </c>
      <c r="C920" s="15">
        <v>40450</v>
      </c>
      <c r="E920" s="8" t="s">
        <v>2726</v>
      </c>
      <c r="G920" s="25" t="s">
        <v>37</v>
      </c>
      <c r="H920" s="1">
        <v>26</v>
      </c>
      <c r="I920" s="25" t="s">
        <v>2727</v>
      </c>
      <c r="J920" s="8" t="s">
        <v>2728</v>
      </c>
      <c r="K920" s="8" t="s">
        <v>39</v>
      </c>
      <c r="L920" s="25" t="s">
        <v>2282</v>
      </c>
      <c r="M920" s="15">
        <v>40450</v>
      </c>
      <c r="N920" s="1">
        <v>1</v>
      </c>
      <c r="O920" s="25" t="s">
        <v>40</v>
      </c>
      <c r="P920" s="25" t="s">
        <v>2096</v>
      </c>
      <c r="Q920" s="25" t="s">
        <v>27</v>
      </c>
      <c r="R920" s="25" t="s">
        <v>42</v>
      </c>
    </row>
  </sheetData>
  <phoneticPr fontId="3" type="noConversion"/>
  <pageMargins left="0.75" right="0.75" top="1" bottom="1" header="0.5" footer="0.5"/>
  <pageSetup orientation="portrait" horizontalDpi="200" verticalDpi="200" r:id="rId1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Original Sheet</vt:lpstr>
      <vt:lpstr>'Original Sheet'!Print_Area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</dc:creator>
  <cp:lastModifiedBy>Owais</cp:lastModifiedBy>
  <dcterms:created xsi:type="dcterms:W3CDTF">2010-08-26T06:35:55Z</dcterms:created>
  <dcterms:modified xsi:type="dcterms:W3CDTF">2010-10-19T08:12:58Z</dcterms:modified>
</cp:coreProperties>
</file>